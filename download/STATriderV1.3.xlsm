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7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trlProps/ctrlProp9.xml" ContentType="application/vnd.ms-excel.controlproperties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imelines/timeline1.xml" ContentType="application/vnd.ms-excel.timelin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1.xml" ContentType="application/vnd.openxmlformats-officedocument.spreadsheetml.pivotTab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rge\Documents\GitHub\statrider.github.io\download\"/>
    </mc:Choice>
  </mc:AlternateContent>
  <xr:revisionPtr revIDLastSave="0" documentId="13_ncr:1_{F755E53A-FFE2-4B9A-BB3D-5D457EBC6E42}" xr6:coauthVersionLast="47" xr6:coauthVersionMax="47" xr10:uidLastSave="{00000000-0000-0000-0000-000000000000}"/>
  <bookViews>
    <workbookView showHorizontalScroll="0" showVerticalScroll="0" xWindow="28680" yWindow="-120" windowWidth="29040" windowHeight="16440" tabRatio="718" xr2:uid="{176E5CDE-11CE-4816-90C4-A70810F0F0B8}"/>
  </bookViews>
  <sheets>
    <sheet name="Events" sheetId="20" r:id="rId1"/>
    <sheet name="Setup" sheetId="6" r:id="rId2"/>
    <sheet name="Calendar" sheetId="4" r:id="rId3"/>
    <sheet name="Targets" sheetId="27" r:id="rId4"/>
    <sheet name="Weight" sheetId="22" r:id="rId5"/>
    <sheet name="Load" sheetId="21" r:id="rId6"/>
    <sheet name="Dashboard" sheetId="3" r:id="rId7"/>
    <sheet name="Analytics" sheetId="37" r:id="rId8"/>
    <sheet name="PivotAnalytics4" sheetId="44" state="veryHidden" r:id="rId9"/>
    <sheet name="Log" sheetId="29" state="veryHidden" r:id="rId10"/>
    <sheet name="Gauges" sheetId="14" state="veryHidden" r:id="rId11"/>
    <sheet name="Tables" sheetId="36" state="veryHidden" r:id="rId12"/>
    <sheet name="PivotAnalytics" sheetId="43" state="veryHidden" r:id="rId13"/>
    <sheet name="PivotAnalytics1" sheetId="39" state="veryHidden" r:id="rId14"/>
    <sheet name="PivotAnalytics2" sheetId="40" state="veryHidden" r:id="rId15"/>
    <sheet name="PivotAnalytics3" sheetId="41" state="veryHidden" r:id="rId16"/>
    <sheet name="PivotPlan" sheetId="25" state="veryHidden" r:id="rId17"/>
    <sheet name="PivotCal" sheetId="19" state="veryHidden" r:id="rId18"/>
    <sheet name="PivotSpeed" sheetId="24" state="veryHidden" r:id="rId19"/>
    <sheet name="PivotWeight" sheetId="28" state="veryHidden" r:id="rId20"/>
    <sheet name="PivotAddWeight" sheetId="35" state="veryHidden" r:id="rId21"/>
    <sheet name="PivotWeightTarget" sheetId="31" state="veryHidden" r:id="rId22"/>
    <sheet name="PivotCalTarget" sheetId="30" state="veryHidden" r:id="rId23"/>
    <sheet name="PivotHRTarget" sheetId="32" state="veryHidden" r:id="rId24"/>
    <sheet name="PivotPowerTarget" sheetId="33" state="veryHidden" r:id="rId25"/>
  </sheets>
  <functionGroups builtInGroupCount="19"/>
  <definedNames>
    <definedName name="Actual_BMI">Gauges!$B$9</definedName>
    <definedName name="Actual_Week">Gauges!$B$4</definedName>
    <definedName name="Actual_Weight">Gauges!$B$8</definedName>
    <definedName name="ActualBMILimit">Gauges!$F$26</definedName>
    <definedName name="ActualHeight">Gauges!$G$4</definedName>
    <definedName name="AddDate">Weight!$B$9</definedName>
    <definedName name="Advanced_Setup">Setup!$B$11</definedName>
    <definedName name="Advanced_Setup_Range_End">Setup!$H$28</definedName>
    <definedName name="Advanced_Setup_Range_Start">Setup!$B$12</definedName>
    <definedName name="Analytics1Field1">Tables!$CV$4</definedName>
    <definedName name="Analytics1Field2">Tables!$CV$5</definedName>
    <definedName name="Analytics2Field1">Tables!$CV$6</definedName>
    <definedName name="Analytics2Field2">Tables!$CV$7</definedName>
    <definedName name="Analytics3Field1">Tables!$CV$8</definedName>
    <definedName name="Analytics3Field2">Tables!$CV$9</definedName>
    <definedName name="Analytics4Field1">Tables!$CV$10</definedName>
    <definedName name="Analytics4Field2">Tables!$CV$11</definedName>
    <definedName name="APIList">APITable[Database]</definedName>
    <definedName name="APISearch">Tables!$CI$4</definedName>
    <definedName name="Available_Annual_Hours">Setup!$C$13</definedName>
    <definedName name="aweight">#REF!</definedName>
    <definedName name="b1_weight">#REF!</definedName>
    <definedName name="b2_weight">#REF!</definedName>
    <definedName name="b3_weight">#REF!</definedName>
    <definedName name="b4_weight">#REF!</definedName>
    <definedName name="b5_weight">#REF!</definedName>
    <definedName name="b6_weight">#REF!</definedName>
    <definedName name="BMI_max">Setup!$C$28</definedName>
    <definedName name="BMI_min">Setup!$C$27</definedName>
    <definedName name="Bottom10Icon">Tables!$DB$5</definedName>
    <definedName name="CalChartAnchor">Dashboard!$E$4</definedName>
    <definedName name="CalChartCell">'Calendar'!$B$4</definedName>
    <definedName name="CalendarChartNeedReset">Tables!$DI$7</definedName>
    <definedName name="CalendarFirstRow">'Calendar'!$B$15</definedName>
    <definedName name="CalendarTime">Log!$B$5</definedName>
    <definedName name="ChartPlanTime">Log!$B$8</definedName>
    <definedName name="ConditionalRulesTime">Log!$B$7</definedName>
    <definedName name="CountdownTxt">Gauges!$C$5</definedName>
    <definedName name="DashboardChartNeedReset">Tables!$DI$9</definedName>
    <definedName name="DashboardNeedRefresh">Tables!$DI$6</definedName>
    <definedName name="DaysPerWeek">Setup!$C$5</definedName>
    <definedName name="Dst_Label">Load!$IU$2</definedName>
    <definedName name="EventsDashboardQueryNeedRefresh">Tables!$DI$15</definedName>
    <definedName name="EventsTableBottom">Dashboard!$C$28</definedName>
    <definedName name="EventsTableTop">Dashboard!$B$16</definedName>
    <definedName name="EventsTime">Log!$B$10</definedName>
    <definedName name="EventType">Tables!$CI$5</definedName>
    <definedName name="EventTypeList">Tables!$BU$4:$BU$7</definedName>
    <definedName name="ExternalData_1" localSheetId="6" hidden="1">Dashboard!$B$16:$C$16</definedName>
    <definedName name="ExternalData_1" localSheetId="0" hidden="1">Events!$B$19:$I$89</definedName>
    <definedName name="ExternalData_1" localSheetId="5" hidden="1">Load!$B$5:$Y$6</definedName>
    <definedName name="ExternalData_1" localSheetId="1" hidden="1">Setup!$J$4:$M$11</definedName>
    <definedName name="FavEventsQueryNeedRefresh">Tables!$DI$14</definedName>
    <definedName name="FirstWeek">Setup!$C$9</definedName>
    <definedName name="FolderIcon">Tables!$DB$3</definedName>
    <definedName name="HeightPrimary">Setup!$C$8</definedName>
    <definedName name="HeightSecondary">Setup!$E$8</definedName>
    <definedName name="HeightUnit">Setup!$D$8</definedName>
    <definedName name="HoursPerDay">Setup!$C$4</definedName>
    <definedName name="Last_Weight_Update">Gauges!$B$13</definedName>
    <definedName name="Last_Weight_Week">Gauges!$B$12</definedName>
    <definedName name="LastWeek">Setup!$C$10</definedName>
    <definedName name="MinPerDay">Setup!$E$4</definedName>
    <definedName name="NewWeight">Weight!$B$5</definedName>
    <definedName name="NewWeightUnit">Weight!$C$5</definedName>
    <definedName name="Period_Weight">Setup!$H$16:$H$23</definedName>
    <definedName name="PivotAnalyticsNeedRefresh">Tables!$DI$10</definedName>
    <definedName name="PivotCalTime">Log!#REF!</definedName>
    <definedName name="PivotPlanNeedRefresh">Tables!$DI$11</definedName>
    <definedName name="PivotPlanTime">Log!$B$6</definedName>
    <definedName name="PivotSpeedTime">Log!#REF!</definedName>
    <definedName name="PivotTablesTime">Log!$B$14</definedName>
    <definedName name="PivotTargetTime">Log!#REF!</definedName>
    <definedName name="PivotWeightTime">Log!#REF!</definedName>
    <definedName name="RaceDay">Setup!$E$7</definedName>
    <definedName name="RaceMonth">Setup!$C$7</definedName>
    <definedName name="RaceYear">Setup!$G$7</definedName>
    <definedName name="radius">Gauges!$B$24</definedName>
    <definedName name="Season">'Calendar'!$B$2</definedName>
    <definedName name="SeasonList">Tables!$CA$4:$CA$7</definedName>
    <definedName name="SeasonSearch">Tables!$CI$8</definedName>
    <definedName name="SeasonTable" localSheetId="11">Tables!$CA$4:$CA$6</definedName>
    <definedName name="SetupIcon" localSheetId="11">Tables!$CO$3</definedName>
    <definedName name="solver_adj" localSheetId="2" hidden="1">'Calendar'!$G$11:$G$14</definedName>
    <definedName name="solver_adj" localSheetId="9" hidden="1">Log!$G$20:$G$27</definedName>
    <definedName name="solver_adj" localSheetId="1" hidden="1">Setup!$G$16:$G$23</definedName>
    <definedName name="solver_adj" localSheetId="4" hidden="1">Weight!#REF!</definedName>
    <definedName name="solver_cvg" localSheetId="2" hidden="1">0.0001</definedName>
    <definedName name="solver_cvg" localSheetId="9" hidden="1">0.0001</definedName>
    <definedName name="solver_cvg" localSheetId="1" hidden="1">0.0001</definedName>
    <definedName name="solver_cvg" localSheetId="4" hidden="1">0.0001</definedName>
    <definedName name="solver_drv" localSheetId="2" hidden="1">1</definedName>
    <definedName name="solver_drv" localSheetId="9" hidden="1">1</definedName>
    <definedName name="solver_drv" localSheetId="1" hidden="1">1</definedName>
    <definedName name="solver_drv" localSheetId="4" hidden="1">1</definedName>
    <definedName name="solver_eng" localSheetId="2" hidden="1">2</definedName>
    <definedName name="solver_eng" localSheetId="0" hidden="1">1</definedName>
    <definedName name="solver_eng" localSheetId="9" hidden="1">2</definedName>
    <definedName name="solver_eng" localSheetId="1" hidden="1">2</definedName>
    <definedName name="solver_eng" localSheetId="4" hidden="1">2</definedName>
    <definedName name="solver_est" localSheetId="1" hidden="1">1</definedName>
    <definedName name="solver_itr" localSheetId="1" hidden="1">2147483647</definedName>
    <definedName name="solver_lhs1" localSheetId="2" hidden="1">'Calendar'!#REF!</definedName>
    <definedName name="solver_lhs1" localSheetId="9" hidden="1">Log!$G$28</definedName>
    <definedName name="solver_lhs1" localSheetId="1" hidden="1">Setup!$G$16:$G$23</definedName>
    <definedName name="solver_lhs1" localSheetId="4" hidden="1">Weight!#REF!</definedName>
    <definedName name="solver_lhs2" localSheetId="2" hidden="1">'Calendar'!$G$11:$G$14</definedName>
    <definedName name="solver_lhs2" localSheetId="9" hidden="1">Log!$G$20:$G$27</definedName>
    <definedName name="solver_lhs2" localSheetId="1" hidden="1">Setup!$G$24</definedName>
    <definedName name="solver_lhs2" localSheetId="4" hidden="1">Weight!#REF!</definedName>
    <definedName name="solver_lhs3" localSheetId="2" hidden="1">'Calendar'!$G$11:$G$14</definedName>
    <definedName name="solver_lhs3" localSheetId="9" hidden="1">Log!$G$20:$G$27</definedName>
    <definedName name="solver_lhs3" localSheetId="1" hidden="1">Setup!$G$16:$G$23</definedName>
    <definedName name="solver_lhs3" localSheetId="4" hidden="1">Weight!#REF!</definedName>
    <definedName name="solver_lhs4" localSheetId="1" hidden="1">Setup!$G$16:$G$23</definedName>
    <definedName name="solver_lin" localSheetId="9" hidden="1">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2" hidden="1">1</definedName>
    <definedName name="solver_neg" localSheetId="0" hidden="1">1</definedName>
    <definedName name="solver_neg" localSheetId="9" hidden="1">1</definedName>
    <definedName name="solver_neg" localSheetId="1" hidden="1">1</definedName>
    <definedName name="solver_neg" localSheetId="4" hidden="1">1</definedName>
    <definedName name="solver_nod" localSheetId="1" hidden="1">2147483647</definedName>
    <definedName name="solver_num" localSheetId="2" hidden="1">3</definedName>
    <definedName name="solver_num" localSheetId="0" hidden="1">0</definedName>
    <definedName name="solver_num" localSheetId="9" hidden="1">3</definedName>
    <definedName name="solver_num" localSheetId="1" hidden="1">4</definedName>
    <definedName name="solver_num" localSheetId="4" hidden="1">3</definedName>
    <definedName name="solver_nwt" localSheetId="9" hidden="1">2</definedName>
    <definedName name="solver_nwt" localSheetId="1" hidden="1">1</definedName>
    <definedName name="solver_opt" localSheetId="2" hidden="1">'Calendar'!#REF!</definedName>
    <definedName name="solver_opt" localSheetId="0" hidden="1">Events!$A$1</definedName>
    <definedName name="solver_opt" localSheetId="9" hidden="1">Log!$U$28</definedName>
    <definedName name="solver_opt" localSheetId="1" hidden="1">Setup!$H$24</definedName>
    <definedName name="solver_opt" localSheetId="4" hidden="1">Weight!#REF!</definedName>
    <definedName name="solver_pre" localSheetId="2" hidden="1">0.000001</definedName>
    <definedName name="solver_pre" localSheetId="9" hidden="1">0.000001</definedName>
    <definedName name="solver_pre" localSheetId="1" hidden="1">0.0001</definedName>
    <definedName name="solver_pre" localSheetId="4" hidden="1">0.000001</definedName>
    <definedName name="solver_rbv" localSheetId="1" hidden="1">1</definedName>
    <definedName name="solver_rel1" localSheetId="2" hidden="1">1</definedName>
    <definedName name="solver_rel1" localSheetId="9" hidden="1">1</definedName>
    <definedName name="solver_rel1" localSheetId="1" hidden="1">4</definedName>
    <definedName name="solver_rel1" localSheetId="4" hidden="1">1</definedName>
    <definedName name="solver_rel2" localSheetId="2" hidden="1">1</definedName>
    <definedName name="solver_rel2" localSheetId="9" hidden="1">1</definedName>
    <definedName name="solver_rel2" localSheetId="1" hidden="1">1</definedName>
    <definedName name="solver_rel2" localSheetId="4" hidden="1">1</definedName>
    <definedName name="solver_rel3" localSheetId="2" hidden="1">3</definedName>
    <definedName name="solver_rel3" localSheetId="9" hidden="1">3</definedName>
    <definedName name="solver_rel3" localSheetId="1" hidden="1">1</definedName>
    <definedName name="solver_rel3" localSheetId="4" hidden="1">3</definedName>
    <definedName name="solver_rel4" localSheetId="1" hidden="1">3</definedName>
    <definedName name="solver_rhs1" localSheetId="2" hidden="1">Weeks_Available</definedName>
    <definedName name="solver_rhs1" localSheetId="9" hidden="1">Weeks_Available</definedName>
    <definedName name="solver_rhs1" localSheetId="1" hidden="1">"integer"</definedName>
    <definedName name="solver_rhs1" localSheetId="4" hidden="1">Weeks_Available</definedName>
    <definedName name="solver_rhs2" localSheetId="2" hidden="1">Setup!$C$16:$C$23</definedName>
    <definedName name="solver_rhs2" localSheetId="9" hidden="1">Number_of_Weeks[Max]</definedName>
    <definedName name="solver_rhs2" localSheetId="1" hidden="1">Weeks_Available</definedName>
    <definedName name="solver_rhs2" localSheetId="4" hidden="1">Number_of_Weeks[Max]</definedName>
    <definedName name="solver_rhs3" localSheetId="2" hidden="1">Setup!$E$16:$E$23</definedName>
    <definedName name="solver_rhs3" localSheetId="9" hidden="1">Number_of_Weeks[Min]</definedName>
    <definedName name="solver_rhs3" localSheetId="1" hidden="1">Number_of_Weeks[Max]</definedName>
    <definedName name="solver_rhs3" localSheetId="4" hidden="1">Number_of_Weeks[Min]</definedName>
    <definedName name="solver_rhs4" localSheetId="1" hidden="1">Number_of_Weeks[Min]</definedName>
    <definedName name="solver_rlx" localSheetId="1" hidden="1">2</definedName>
    <definedName name="solver_rsd" localSheetId="1" hidden="1">0</definedName>
    <definedName name="solver_scl" localSheetId="2" hidden="1">1</definedName>
    <definedName name="solver_scl" localSheetId="9" hidden="1">1</definedName>
    <definedName name="solver_scl" localSheetId="1" hidden="1">1</definedName>
    <definedName name="solver_scl" localSheetId="4" hidden="1">1</definedName>
    <definedName name="solver_sho" localSheetId="2" hidden="1">2</definedName>
    <definedName name="solver_sho" localSheetId="9" hidden="1">2</definedName>
    <definedName name="solver_sho" localSheetId="1" hidden="1">2</definedName>
    <definedName name="solver_sho" localSheetId="4" hidden="1">2</definedName>
    <definedName name="solver_ssz" localSheetId="1" hidden="1">100</definedName>
    <definedName name="solver_tim" localSheetId="2" hidden="1">60</definedName>
    <definedName name="solver_tim" localSheetId="9" hidden="1">60</definedName>
    <definedName name="solver_tim" localSheetId="1" hidden="1">60</definedName>
    <definedName name="solver_tim" localSheetId="4" hidden="1">60</definedName>
    <definedName name="solver_tol" localSheetId="1" hidden="1">0.01</definedName>
    <definedName name="solver_typ" localSheetId="2" hidden="1">1</definedName>
    <definedName name="solver_typ" localSheetId="0" hidden="1">1</definedName>
    <definedName name="solver_typ" localSheetId="9" hidden="1">1</definedName>
    <definedName name="solver_typ" localSheetId="1" hidden="1">1</definedName>
    <definedName name="solver_typ" localSheetId="4" hidden="1">1</definedName>
    <definedName name="solver_val" localSheetId="2" hidden="1">0</definedName>
    <definedName name="solver_val" localSheetId="0" hidden="1">0</definedName>
    <definedName name="solver_val" localSheetId="9" hidden="1">0</definedName>
    <definedName name="solver_val" localSheetId="1" hidden="1">0</definedName>
    <definedName name="solver_val" localSheetId="4" hidden="1">0</definedName>
    <definedName name="solver_ver" localSheetId="2" hidden="1">3</definedName>
    <definedName name="solver_ver" localSheetId="0" hidden="1">3</definedName>
    <definedName name="solver_ver" localSheetId="9" hidden="1">3</definedName>
    <definedName name="solver_ver" localSheetId="1" hidden="1">3</definedName>
    <definedName name="solver_ver" localSheetId="4" hidden="1">3</definedName>
    <definedName name="SolverTarget">Setup!$H$24</definedName>
    <definedName name="SolverTime">Log!$B$4</definedName>
    <definedName name="SpeedChartAnchor">Dashboard!$E$15</definedName>
    <definedName name="StartDay">Setup!$E$6</definedName>
    <definedName name="StartMonth">Setup!$C$6</definedName>
    <definedName name="StartYear">Setup!$G$6</definedName>
    <definedName name="StateAbbreviation" localSheetId="11">Tables!$CI$7</definedName>
    <definedName name="StateNames">Tables!$AZ$4:$AZ$62</definedName>
    <definedName name="StateSearch">Tables!$CI$6</definedName>
    <definedName name="TableCheckTime">Log!$B$3</definedName>
    <definedName name="TargetsChartNeedReset">Tables!$DI$8</definedName>
    <definedName name="TargetsNeedRefresh">Tables!$DI$5</definedName>
    <definedName name="TargetsTableFirstRow">Targets!$B$3</definedName>
    <definedName name="Time_Label">Load!$IU$3</definedName>
    <definedName name="TimePeriodSlicerPivotAnalyticsCache">#N/A</definedName>
    <definedName name="TodayDate">Gauges!$G$3</definedName>
    <definedName name="Top10Icon">Tables!$DB$4</definedName>
    <definedName name="Total_Weeks_Max">Setup!$C$24</definedName>
    <definedName name="Total_Weeks_Min">Setup!$E$24</definedName>
    <definedName name="Total_Weeks_Planned">Setup!$G$24</definedName>
    <definedName name="TotalTime">Log!$B$2</definedName>
    <definedName name="UCIPATHFILE" localSheetId="11">Tables!$CK$4</definedName>
    <definedName name="UploadFolder">Tables!$DD$4</definedName>
    <definedName name="UploadQueryFields">Tables!$CS$4:$CS$15</definedName>
    <definedName name="Weeks_Available">Setup!$C$12</definedName>
    <definedName name="Weeks_Max">Setup!$C$16:$C$23</definedName>
    <definedName name="Weeks_Min">Setup!$E$16:$E$23</definedName>
    <definedName name="Weeks_To_Race">Gauges!$B$5</definedName>
    <definedName name="WeeksGaugeAnchor">Dashboard!$B$4</definedName>
    <definedName name="WeeksToRaceTxt">Gauges!$A$5</definedName>
    <definedName name="WeightChartAnchor">Dashboard!$K$15</definedName>
    <definedName name="WeightDashboardChartNeedReset">Tables!$DI$12</definedName>
    <definedName name="WeightTargetChartNeedReset">Tables!$DI$13</definedName>
    <definedName name="WeightUnit">Tables!$CM$1</definedName>
    <definedName name="WeightUnitList">Tables!$CQ$4:$CQ$5</definedName>
    <definedName name="WeightUnitSetup">Setup!$B$25</definedName>
  </definedNames>
  <calcPr calcId="191029" calcMode="manual"/>
  <pivotCaches>
    <pivotCache cacheId="0" r:id="rId26"/>
    <pivotCache cacheId="1" r:id="rId27"/>
    <pivotCache cacheId="2" r:id="rId28"/>
    <pivotCache cacheId="3" r:id="rId2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E4" i="36" l="1"/>
  <c r="BI4" i="36"/>
  <c r="BO4" i="36"/>
  <c r="BP4" i="36"/>
  <c r="BE5" i="36"/>
  <c r="BI5" i="36"/>
  <c r="BO5" i="36"/>
  <c r="BP5" i="36"/>
  <c r="BE6" i="36"/>
  <c r="BI6" i="36"/>
  <c r="BO6" i="36"/>
  <c r="BR10" i="36"/>
  <c r="BQ10" i="36"/>
  <c r="BP10" i="36"/>
  <c r="BO10" i="36"/>
  <c r="BI10" i="36"/>
  <c r="BE10" i="36"/>
  <c r="AK16" i="4"/>
  <c r="AL16" i="4"/>
  <c r="T16" i="4"/>
  <c r="V16" i="4"/>
  <c r="W16" i="4"/>
  <c r="X16" i="4"/>
  <c r="AE16" i="4"/>
  <c r="AF16" i="4"/>
  <c r="AG16" i="4"/>
  <c r="AH16" i="4"/>
  <c r="AI16" i="4"/>
  <c r="AK17" i="4"/>
  <c r="AL17" i="4"/>
  <c r="T17" i="4"/>
  <c r="V17" i="4"/>
  <c r="W17" i="4"/>
  <c r="X17" i="4"/>
  <c r="AE17" i="4"/>
  <c r="AF17" i="4"/>
  <c r="AG17" i="4"/>
  <c r="AH17" i="4"/>
  <c r="AI17" i="4"/>
  <c r="AJ17" i="4"/>
  <c r="AK18" i="4"/>
  <c r="AL18" i="4"/>
  <c r="T18" i="4"/>
  <c r="V18" i="4"/>
  <c r="W18" i="4"/>
  <c r="X18" i="4"/>
  <c r="AE18" i="4"/>
  <c r="AF18" i="4"/>
  <c r="AG18" i="4"/>
  <c r="AH18" i="4"/>
  <c r="AI18" i="4"/>
  <c r="AK19" i="4"/>
  <c r="AJ19" i="4" s="1"/>
  <c r="AL19" i="4"/>
  <c r="T19" i="4"/>
  <c r="V19" i="4"/>
  <c r="W19" i="4"/>
  <c r="X19" i="4"/>
  <c r="AE19" i="4"/>
  <c r="AF19" i="4"/>
  <c r="AG19" i="4"/>
  <c r="AH19" i="4"/>
  <c r="AI19" i="4"/>
  <c r="AK20" i="4"/>
  <c r="AL20" i="4"/>
  <c r="T20" i="4"/>
  <c r="V20" i="4"/>
  <c r="W20" i="4"/>
  <c r="X20" i="4"/>
  <c r="AE20" i="4"/>
  <c r="AF20" i="4"/>
  <c r="AG20" i="4"/>
  <c r="AH20" i="4"/>
  <c r="AI20" i="4"/>
  <c r="AK21" i="4"/>
  <c r="AL21" i="4"/>
  <c r="T21" i="4"/>
  <c r="V21" i="4"/>
  <c r="W21" i="4"/>
  <c r="X21" i="4"/>
  <c r="AE21" i="4"/>
  <c r="AF21" i="4"/>
  <c r="AG21" i="4"/>
  <c r="AH21" i="4"/>
  <c r="AI21" i="4"/>
  <c r="AK22" i="4"/>
  <c r="AJ22" i="4" s="1"/>
  <c r="AL22" i="4"/>
  <c r="T22" i="4"/>
  <c r="V22" i="4"/>
  <c r="W22" i="4"/>
  <c r="X22" i="4"/>
  <c r="AE22" i="4"/>
  <c r="AF22" i="4"/>
  <c r="AG22" i="4"/>
  <c r="AH22" i="4"/>
  <c r="AI22" i="4"/>
  <c r="AK23" i="4"/>
  <c r="AJ23" i="4" s="1"/>
  <c r="AL23" i="4"/>
  <c r="Z23" i="4"/>
  <c r="T23" i="4"/>
  <c r="V23" i="4"/>
  <c r="W23" i="4"/>
  <c r="X23" i="4"/>
  <c r="AE23" i="4"/>
  <c r="AF23" i="4"/>
  <c r="AG23" i="4"/>
  <c r="AH23" i="4"/>
  <c r="AI23" i="4"/>
  <c r="AK24" i="4"/>
  <c r="AL24" i="4"/>
  <c r="T24" i="4"/>
  <c r="V24" i="4"/>
  <c r="W24" i="4"/>
  <c r="X24" i="4"/>
  <c r="AE24" i="4"/>
  <c r="AF24" i="4"/>
  <c r="AG24" i="4"/>
  <c r="AH24" i="4"/>
  <c r="AI24" i="4"/>
  <c r="AK25" i="4"/>
  <c r="AL25" i="4"/>
  <c r="T25" i="4"/>
  <c r="V25" i="4"/>
  <c r="W25" i="4"/>
  <c r="X25" i="4"/>
  <c r="AE25" i="4"/>
  <c r="AF25" i="4"/>
  <c r="AG25" i="4"/>
  <c r="AH25" i="4"/>
  <c r="AI25" i="4"/>
  <c r="AJ25" i="4"/>
  <c r="AK26" i="4"/>
  <c r="AL26" i="4"/>
  <c r="T26" i="4"/>
  <c r="V26" i="4"/>
  <c r="W26" i="4"/>
  <c r="X26" i="4"/>
  <c r="AE26" i="4"/>
  <c r="AF26" i="4"/>
  <c r="AG26" i="4"/>
  <c r="AH26" i="4"/>
  <c r="AI26" i="4"/>
  <c r="AJ26" i="4"/>
  <c r="AK27" i="4"/>
  <c r="AL27" i="4"/>
  <c r="T27" i="4"/>
  <c r="V27" i="4"/>
  <c r="W27" i="4"/>
  <c r="X27" i="4"/>
  <c r="AE27" i="4"/>
  <c r="AF27" i="4"/>
  <c r="AG27" i="4"/>
  <c r="AH27" i="4"/>
  <c r="AI27" i="4"/>
  <c r="AJ27" i="4"/>
  <c r="AK28" i="4"/>
  <c r="AL28" i="4"/>
  <c r="T28" i="4"/>
  <c r="V28" i="4"/>
  <c r="W28" i="4"/>
  <c r="X28" i="4"/>
  <c r="AE28" i="4"/>
  <c r="AF28" i="4"/>
  <c r="AG28" i="4"/>
  <c r="AH28" i="4"/>
  <c r="AI28" i="4"/>
  <c r="AJ28" i="4"/>
  <c r="AK29" i="4"/>
  <c r="AL29" i="4"/>
  <c r="T29" i="4"/>
  <c r="V29" i="4"/>
  <c r="W29" i="4"/>
  <c r="X29" i="4"/>
  <c r="AE29" i="4"/>
  <c r="AF29" i="4"/>
  <c r="AG29" i="4"/>
  <c r="AH29" i="4"/>
  <c r="AI29" i="4"/>
  <c r="AJ29" i="4"/>
  <c r="AK30" i="4"/>
  <c r="AL30" i="4"/>
  <c r="T30" i="4"/>
  <c r="V30" i="4"/>
  <c r="W30" i="4"/>
  <c r="X30" i="4"/>
  <c r="AE30" i="4"/>
  <c r="AF30" i="4"/>
  <c r="AG30" i="4"/>
  <c r="AH30" i="4"/>
  <c r="AI30" i="4"/>
  <c r="AJ30" i="4"/>
  <c r="AK31" i="4"/>
  <c r="AL31" i="4"/>
  <c r="T31" i="4"/>
  <c r="V31" i="4"/>
  <c r="W31" i="4"/>
  <c r="X31" i="4"/>
  <c r="AE31" i="4"/>
  <c r="AF31" i="4"/>
  <c r="AG31" i="4"/>
  <c r="AH31" i="4"/>
  <c r="AI31" i="4"/>
  <c r="AJ31" i="4"/>
  <c r="AK32" i="4"/>
  <c r="AL32" i="4"/>
  <c r="T32" i="4"/>
  <c r="V32" i="4"/>
  <c r="W32" i="4"/>
  <c r="X32" i="4"/>
  <c r="AE32" i="4"/>
  <c r="AF32" i="4"/>
  <c r="AG32" i="4"/>
  <c r="AH32" i="4"/>
  <c r="AI32" i="4"/>
  <c r="AJ32" i="4"/>
  <c r="AK33" i="4"/>
  <c r="AL33" i="4"/>
  <c r="T33" i="4"/>
  <c r="V33" i="4"/>
  <c r="W33" i="4"/>
  <c r="X33" i="4"/>
  <c r="AE33" i="4"/>
  <c r="AF33" i="4"/>
  <c r="AG33" i="4"/>
  <c r="AH33" i="4"/>
  <c r="AI33" i="4"/>
  <c r="AJ33" i="4"/>
  <c r="AK34" i="4"/>
  <c r="AL34" i="4"/>
  <c r="T34" i="4"/>
  <c r="V34" i="4"/>
  <c r="W34" i="4"/>
  <c r="X34" i="4"/>
  <c r="AE34" i="4"/>
  <c r="AF34" i="4"/>
  <c r="AG34" i="4"/>
  <c r="AH34" i="4"/>
  <c r="AI34" i="4"/>
  <c r="AJ34" i="4"/>
  <c r="AK35" i="4"/>
  <c r="AL35" i="4"/>
  <c r="T35" i="4"/>
  <c r="V35" i="4"/>
  <c r="W35" i="4"/>
  <c r="X35" i="4"/>
  <c r="AE35" i="4"/>
  <c r="AF35" i="4"/>
  <c r="AG35" i="4"/>
  <c r="AH35" i="4"/>
  <c r="AI35" i="4"/>
  <c r="AJ35" i="4"/>
  <c r="AK36" i="4"/>
  <c r="AL36" i="4"/>
  <c r="T36" i="4"/>
  <c r="V36" i="4"/>
  <c r="W36" i="4"/>
  <c r="X36" i="4"/>
  <c r="AE36" i="4"/>
  <c r="AF36" i="4"/>
  <c r="AG36" i="4"/>
  <c r="AH36" i="4"/>
  <c r="AI36" i="4"/>
  <c r="AJ36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CA7" i="36"/>
  <c r="CA6" i="36"/>
  <c r="CA5" i="36"/>
  <c r="CA4" i="36"/>
  <c r="CD13" i="36"/>
  <c r="CE13" i="36"/>
  <c r="CD14" i="36"/>
  <c r="CE14" i="36"/>
  <c r="CC22" i="36"/>
  <c r="CD22" i="36" s="1"/>
  <c r="CE22" i="36" s="1"/>
  <c r="CF22" i="36"/>
  <c r="CF27" i="36"/>
  <c r="CD29" i="36"/>
  <c r="CE29" i="36"/>
  <c r="CF29" i="36"/>
  <c r="CD30" i="36"/>
  <c r="CE30" i="36"/>
  <c r="CF30" i="36"/>
  <c r="DB5" i="36"/>
  <c r="DB4" i="36"/>
  <c r="DD4" i="36"/>
  <c r="DB3" i="36"/>
  <c r="AQ11" i="36"/>
  <c r="AQ10" i="36"/>
  <c r="AQ9" i="36"/>
  <c r="AQ8" i="36"/>
  <c r="CI7" i="36"/>
  <c r="AQ7" i="36"/>
  <c r="AQ6" i="36"/>
  <c r="AQ5" i="36"/>
  <c r="AQ4" i="36"/>
  <c r="CO3" i="36"/>
  <c r="H24" i="6"/>
  <c r="C13" i="6"/>
  <c r="H5" i="6" s="1"/>
  <c r="C21" i="14"/>
  <c r="D20" i="14"/>
  <c r="E20" i="14" s="1"/>
  <c r="G18" i="14"/>
  <c r="C18" i="14" s="1"/>
  <c r="F18" i="14"/>
  <c r="B18" i="14" s="1"/>
  <c r="E17" i="14" s="1"/>
  <c r="D17" i="14"/>
  <c r="D19" i="14" s="1"/>
  <c r="D16" i="14"/>
  <c r="B11" i="14"/>
  <c r="B10" i="14"/>
  <c r="C8" i="14"/>
  <c r="B3" i="3"/>
  <c r="D28" i="6"/>
  <c r="D27" i="6"/>
  <c r="G24" i="6"/>
  <c r="C3" i="14" s="1"/>
  <c r="E24" i="6"/>
  <c r="F23" i="6"/>
  <c r="D23" i="6"/>
  <c r="F21" i="6"/>
  <c r="D21" i="6"/>
  <c r="F20" i="6"/>
  <c r="D20" i="6"/>
  <c r="F19" i="6"/>
  <c r="D19" i="6"/>
  <c r="F18" i="6"/>
  <c r="D18" i="6"/>
  <c r="F17" i="6"/>
  <c r="D17" i="6"/>
  <c r="F16" i="6"/>
  <c r="D16" i="6"/>
  <c r="F8" i="6"/>
  <c r="D8" i="29"/>
  <c r="D7" i="29"/>
  <c r="D6" i="29"/>
  <c r="D5" i="29"/>
  <c r="D4" i="29"/>
  <c r="D3" i="29"/>
  <c r="C24" i="6"/>
  <c r="D22" i="6"/>
  <c r="F22" i="6"/>
  <c r="Z28" i="4"/>
  <c r="Z22" i="4"/>
  <c r="Z16" i="4"/>
  <c r="AJ16" i="4"/>
  <c r="G4" i="14"/>
  <c r="AD29" i="4"/>
  <c r="AD31" i="4"/>
  <c r="AD18" i="4"/>
  <c r="AD32" i="4"/>
  <c r="AD21" i="4"/>
  <c r="C10" i="6"/>
  <c r="AD28" i="4"/>
  <c r="AD35" i="4"/>
  <c r="AD23" i="4"/>
  <c r="AD27" i="4"/>
  <c r="C9" i="6"/>
  <c r="AD19" i="4"/>
  <c r="AD26" i="4"/>
  <c r="AD24" i="4"/>
  <c r="AD36" i="4"/>
  <c r="AD33" i="4"/>
  <c r="AD25" i="4"/>
  <c r="AD34" i="4"/>
  <c r="AD22" i="4"/>
  <c r="AD30" i="4"/>
  <c r="CD25" i="36"/>
  <c r="CE15" i="36" a="1"/>
  <c r="CE16" i="36" a="1"/>
  <c r="CD10" i="36" a="1"/>
  <c r="B12" i="14"/>
  <c r="CD5" i="36" a="1"/>
  <c r="CE27" i="36" a="1"/>
  <c r="CD16" i="36" a="1"/>
  <c r="CE18" i="36" a="1"/>
  <c r="CE8" i="36" a="1"/>
  <c r="CD11" i="36" a="1"/>
  <c r="CD26" i="36"/>
  <c r="CD27" i="36" a="1"/>
  <c r="CD15" i="36" a="1"/>
  <c r="CD18" i="36" a="1"/>
  <c r="CE20" i="36" a="1"/>
  <c r="CD17" i="36" a="1"/>
  <c r="CD8" i="36" a="1"/>
  <c r="CD19" i="36" a="1"/>
  <c r="CE19" i="36" a="1"/>
  <c r="CE17" i="36" a="1"/>
  <c r="CE9" i="36" a="1"/>
  <c r="CD9" i="36" a="1"/>
  <c r="CD12" i="36" a="1"/>
  <c r="CD20" i="36" a="1"/>
  <c r="BQ5" i="36" l="1"/>
  <c r="BR5" i="36" s="1"/>
  <c r="BQ6" i="36"/>
  <c r="BR6" i="36" s="1"/>
  <c r="BQ4" i="36"/>
  <c r="BR4" i="36" s="1"/>
  <c r="AJ24" i="4"/>
  <c r="B3" i="14"/>
  <c r="Z19" i="4"/>
  <c r="Z20" i="4"/>
  <c r="H4" i="6"/>
  <c r="Z17" i="4"/>
  <c r="D21" i="14"/>
  <c r="E21" i="14" s="1"/>
  <c r="Z32" i="4"/>
  <c r="Z26" i="4"/>
  <c r="AJ21" i="4"/>
  <c r="E16" i="14"/>
  <c r="AJ20" i="4"/>
  <c r="Z18" i="4"/>
  <c r="D2" i="29"/>
  <c r="Z36" i="4"/>
  <c r="Z30" i="4"/>
  <c r="Z24" i="4"/>
  <c r="Z34" i="4"/>
  <c r="Z25" i="4"/>
  <c r="Y28" i="4"/>
  <c r="Y22" i="4"/>
  <c r="Z31" i="4"/>
  <c r="Z35" i="4"/>
  <c r="Z27" i="4"/>
  <c r="Z21" i="4"/>
  <c r="F29" i="14"/>
  <c r="Z33" i="4"/>
  <c r="Z29" i="4"/>
  <c r="Y35" i="4"/>
  <c r="Y34" i="4"/>
  <c r="Y30" i="4"/>
  <c r="Y25" i="4"/>
  <c r="Y29" i="4"/>
  <c r="Y36" i="4"/>
  <c r="Y31" i="4"/>
  <c r="Y26" i="4"/>
  <c r="Y19" i="4"/>
  <c r="Y27" i="4"/>
  <c r="C12" i="6"/>
  <c r="H6" i="6" s="1"/>
  <c r="CE8" i="36"/>
  <c r="CD20" i="36"/>
  <c r="CD15" i="36"/>
  <c r="CD9" i="36"/>
  <c r="CD8" i="36"/>
  <c r="CE27" i="36"/>
  <c r="CD27" i="36"/>
  <c r="CE18" i="36"/>
  <c r="CE15" i="36"/>
  <c r="CD5" i="36"/>
  <c r="CE16" i="36"/>
  <c r="CD12" i="36"/>
  <c r="CD11" i="36"/>
  <c r="CD16" i="36"/>
  <c r="CE17" i="36"/>
  <c r="CE19" i="36"/>
  <c r="CE9" i="36"/>
  <c r="CD17" i="36"/>
  <c r="CD19" i="36"/>
  <c r="CD10" i="36"/>
  <c r="CD18" i="36"/>
  <c r="CE20" i="36"/>
  <c r="Y33" i="4"/>
  <c r="Y24" i="4"/>
  <c r="Y21" i="4"/>
  <c r="Y17" i="4"/>
  <c r="AJ18" i="4"/>
  <c r="Y18" i="4"/>
  <c r="Y16" i="4"/>
  <c r="E18" i="14"/>
  <c r="E19" i="14"/>
  <c r="Y32" i="4"/>
  <c r="Y23" i="4"/>
  <c r="Y20" i="4"/>
  <c r="AD17" i="4"/>
  <c r="AD20" i="4"/>
  <c r="AD16" i="4"/>
  <c r="B13" i="14"/>
  <c r="D4" i="14"/>
  <c r="D22" i="14" l="1"/>
  <c r="F25" i="14" s="1"/>
  <c r="E22" i="14"/>
  <c r="H7" i="6"/>
  <c r="C4" i="14"/>
  <c r="F28" i="14" l="1"/>
  <c r="G29" i="14" s="1"/>
  <c r="B4" i="14"/>
  <c r="B5" i="14" s="1"/>
  <c r="A5" i="14" l="1"/>
  <c r="C5" i="14"/>
  <c r="R26" i="3"/>
  <c r="R24" i="3"/>
  <c r="R16" i="3"/>
  <c r="R20" i="3"/>
  <c r="R18" i="3"/>
  <c r="R22" i="3"/>
  <c r="R28" i="3"/>
  <c r="D8" i="14"/>
  <c r="S22" i="3" l="1"/>
  <c r="S20" i="3"/>
  <c r="S16" i="3"/>
  <c r="S26" i="3"/>
  <c r="S18" i="3"/>
  <c r="B8" i="14"/>
  <c r="S24" i="3"/>
  <c r="S28" i="3"/>
  <c r="B9" i="14"/>
  <c r="F26" i="14" l="1"/>
  <c r="G30" i="14" s="1"/>
  <c r="D9" i="14"/>
  <c r="G26" i="14" l="1"/>
  <c r="C25" i="14" s="1"/>
  <c r="B25" i="14" s="1"/>
  <c r="B26" i="14" s="1"/>
  <c r="B28" i="14" s="1"/>
  <c r="B32" i="14" s="1"/>
  <c r="B27" i="14" l="1"/>
  <c r="B29" i="14" s="1"/>
  <c r="C32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PIQuery" description="Connection to the 'APIQuery' query in the workbook." type="5" refreshedVersion="7" background="1" saveData="1">
    <dbPr connection="Provider=Microsoft.Mashup.OleDb.1;Data Source=$Workbook$;Location=APIQuery;Extended Properties=&quot;&quot;" command="SELECT * FROM [APIQuery]"/>
  </connection>
  <connection id="2" xr16:uid="{00000000-0015-0000-FFFF-FFFF01000000}" keepAlive="1" name="Query - BikeRegQuery" description="Connection to the 'BikeRegQuery' query in the workbook." type="5" refreshedVersion="6" saveData="1">
    <dbPr connection="Provider=Microsoft.Mashup.OleDb.1;Data Source=$Workbook$;Location=BikeRegQuery;Extended Properties=&quot;&quot;" command="SELECT * FROM [BikeRegQuery]"/>
  </connection>
  <connection id="3" xr16:uid="{00000000-0015-0000-FFFF-FFFF02000000}" keepAlive="1" name="Query - BikeRegQuery(1)" description="Connection to the 'BikeRegQuery' query in the workbook." type="5" refreshedVersion="6" background="1" saveData="1">
    <dbPr connection="Provider=Microsoft.Mashup.OleDb.1;Data Source=$Workbook$;Location=BikeRegQuery;Extended Properties=&quot;&quot;" command="SELECT * FROM [BikeRegQuery]"/>
  </connection>
  <connection id="4" xr16:uid="{00000000-0015-0000-FFFF-FFFF03000000}" keepAlive="1" name="Query - Events" description="Connection to the 'Events' query in the workbook." type="5" refreshedVersion="7" background="1" saveData="1">
    <dbPr connection="Provider=Microsoft.Mashup.OleDb.1;Data Source=$Workbook$;Location=Events;Extended Properties=&quot;&quot;" command="SELECT * FROM [Events]"/>
  </connection>
  <connection id="5" xr16:uid="{00000000-0015-0000-FFFF-FFFF04000000}" keepAlive="1" name="Query - FavEventsQuery" description="Connection to the 'FavEventsQuery' query in the workbook." type="5" refreshedVersion="7" background="1" saveData="1">
    <dbPr connection="Provider=Microsoft.Mashup.OleDb.1;Data Source=$Workbook$;Location=FavEventsQuery;Extended Properties=&quot;&quot;" command="SELECT * FROM [FavEventsQuery]"/>
  </connection>
  <connection id="6" xr16:uid="{00000000-0015-0000-FFFF-FFFF05000000}" keepAlive="1" name="Query - GetData" description="Connection to the 'GetData' query in the workbook." type="5" refreshedVersion="0" background="1">
    <dbPr connection="Provider=Microsoft.Mashup.OleDb.1;Data Source=$Workbook$;Location=GetData;Extended Properties=&quot;&quot;" command="SELECT * FROM [GetData]"/>
  </connection>
  <connection id="7" xr16:uid="{00000000-0015-0000-FFFF-FFFF06000000}" keepAlive="1" name="Query - StateTable" description="Connection to the 'StateTable' query in the workbook." type="5" refreshedVersion="6" background="1" saveData="1">
    <dbPr connection="Provider=Microsoft.Mashup.OleDb.1;Data Source=$Workbook$;Location=StateTable;Extended Properties=&quot;&quot;" command="SELECT * FROM [StateTable]"/>
  </connection>
  <connection id="8" xr16:uid="{11D888EE-8C89-4FD6-9606-CB9B369A1221}" keepAlive="1" name="Query - UCIQuery" description="Connection to the 'UCIQuery' query in the workbook." type="5" refreshedVersion="0">
    <dbPr connection="Provider=Microsoft.Mashup.OleDb.1;Data Source=$Workbook$;Location=UCIQuery;Extended Properties=&quot;&quot;" command="SELECT * FROM [UCIQuery]"/>
  </connection>
  <connection id="9" xr16:uid="{00000000-0015-0000-FFFF-FFFF08000000}" keepAlive="1" name="Query - UploadQuery" description="Connection to the 'UploadQuery' query in the workbook." type="5" refreshedVersion="7" saveData="1">
    <dbPr connection="Provider=Microsoft.Mashup.OleDb.1;Data Source=$Workbook$;Location=UploadQuery;Extended Properties=&quot;&quot;" command="SELECT * FROM [UploadQuery]"/>
  </connection>
  <connection id="10" xr16:uid="{00000000-0015-0000-FFFF-FFFF0A000000}" keepAlive="1" name="Query - UploadQuery(1)" description="Connection to the 'UploadQuery' query in the workbook." type="5" refreshedVersion="6" background="1">
    <dbPr connection="Provider=Microsoft.Mashup.OleDb.1;Data Source=$Workbook$;Location=UploadQuery;Extended Properties=&quot;&quot;" command="SELECT * FROM [UploadQuery]"/>
  </connection>
  <connection id="11" xr16:uid="{32F5671F-4C64-42C4-ACA5-5831B2321328}" keepAlive="1" name="Query - USACyclingQuery" description="Connection to the 'USACyclingQuery' query in the workbook." type="5" refreshedVersion="0">
    <dbPr connection="Provider=Microsoft.Mashup.OleDb.1;Data Source=$Workbook$;Location=USACyclingQuery;Extended Properties=&quot;&quot;" command="SELECT * FROM [USACyclingQuery]"/>
  </connection>
  <connection id="12" xr16:uid="{00000000-0015-0000-FFFF-FFFF0C000000}" keepAlive="1" name="Query - WeightTable" description="Connection to the 'WeightTable' query in the workbook." type="5" refreshedVersion="6" background="1" saveData="1">
    <dbPr connection="Provider=Microsoft.Mashup.OleDb.1;Data Source=$Workbook$;Location=WeightTable;Extended Properties=&quot;&quot;" command="SELECT * FROM [Weigh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<sst xmlns="http://schemas.openxmlformats.org/spreadsheetml/2006/main" count="2423" uniqueCount="733">
  <si>
    <t>Period</t>
  </si>
  <si>
    <t>Peak</t>
  </si>
  <si>
    <t>Race</t>
  </si>
  <si>
    <t>Mon</t>
  </si>
  <si>
    <t>Tue</t>
  </si>
  <si>
    <t>Wed</t>
  </si>
  <si>
    <t>Thu</t>
  </si>
  <si>
    <t>Fri</t>
  </si>
  <si>
    <t>Sat</t>
  </si>
  <si>
    <t>Sun</t>
  </si>
  <si>
    <t>Event</t>
  </si>
  <si>
    <t>Build II</t>
  </si>
  <si>
    <t>Build I</t>
  </si>
  <si>
    <t>Total</t>
  </si>
  <si>
    <t>Max</t>
  </si>
  <si>
    <t>Min</t>
  </si>
  <si>
    <t>Plan</t>
  </si>
  <si>
    <t>Weight</t>
  </si>
  <si>
    <t>Date</t>
  </si>
  <si>
    <t>Weight Goal</t>
  </si>
  <si>
    <t>Period2</t>
  </si>
  <si>
    <t>Base I</t>
  </si>
  <si>
    <t>Base II</t>
  </si>
  <si>
    <t>Base III</t>
  </si>
  <si>
    <t>Column Labels</t>
  </si>
  <si>
    <t>Cal.</t>
  </si>
  <si>
    <t>Cal. Goal</t>
  </si>
  <si>
    <t>Wk</t>
  </si>
  <si>
    <t>Actual Week</t>
  </si>
  <si>
    <t>Plan. Hrs</t>
  </si>
  <si>
    <t>Rcode</t>
  </si>
  <si>
    <t>Gcode</t>
  </si>
  <si>
    <t>Bcode</t>
  </si>
  <si>
    <t>Colors for chart series</t>
  </si>
  <si>
    <t>Today Week</t>
  </si>
  <si>
    <t>Actual Hrs</t>
  </si>
  <si>
    <t>Sum of Actual Hrs</t>
  </si>
  <si>
    <t>Weeks to Race Gap</t>
  </si>
  <si>
    <t>Events</t>
  </si>
  <si>
    <t>HR</t>
  </si>
  <si>
    <t>Activities</t>
  </si>
  <si>
    <t>Time Period</t>
  </si>
  <si>
    <t>Goal</t>
  </si>
  <si>
    <t>BMI</t>
  </si>
  <si>
    <t>Sum of PlanH Chart</t>
  </si>
  <si>
    <t>HR Goal</t>
  </si>
  <si>
    <t>Speed</t>
  </si>
  <si>
    <t>Power</t>
  </si>
  <si>
    <t>Weeks To Race Chart</t>
  </si>
  <si>
    <t>BMI Chart</t>
  </si>
  <si>
    <t>Actual Weight</t>
  </si>
  <si>
    <t>Actual BMI</t>
  </si>
  <si>
    <t>h</t>
  </si>
  <si>
    <t>min</t>
  </si>
  <si>
    <t>Available Time For Training</t>
  </si>
  <si>
    <t>/</t>
  </si>
  <si>
    <t>Race goal date:</t>
  </si>
  <si>
    <t>Rider height:</t>
  </si>
  <si>
    <t>Days per week:</t>
  </si>
  <si>
    <t>Avg. time per day:</t>
  </si>
  <si>
    <t>Weight unit</t>
  </si>
  <si>
    <t>Max BMI</t>
  </si>
  <si>
    <t>Min BMI</t>
  </si>
  <si>
    <t>lb</t>
  </si>
  <si>
    <t>Training start date:</t>
  </si>
  <si>
    <t>Advanced Setup (Optional)</t>
  </si>
  <si>
    <t>Number of Weeks / Period</t>
  </si>
  <si>
    <t>Weeks available for training:</t>
  </si>
  <si>
    <t>BMI Max</t>
  </si>
  <si>
    <t>BMI Min</t>
  </si>
  <si>
    <t>Overweight</t>
  </si>
  <si>
    <t>Obese</t>
  </si>
  <si>
    <t>Blank</t>
  </si>
  <si>
    <t>B1</t>
  </si>
  <si>
    <t>B2</t>
  </si>
  <si>
    <t>Lower Limit</t>
  </si>
  <si>
    <t>Upper Limit</t>
  </si>
  <si>
    <t>Underweight</t>
  </si>
  <si>
    <t>Healthy weight</t>
  </si>
  <si>
    <t>Activity Calories</t>
  </si>
  <si>
    <t>Distance Unit</t>
  </si>
  <si>
    <t>Time Unit</t>
  </si>
  <si>
    <t>Calories Unit</t>
  </si>
  <si>
    <t>Elevation Unit</t>
  </si>
  <si>
    <t>Speed Unit</t>
  </si>
  <si>
    <t>Heart Rate Unit</t>
  </si>
  <si>
    <t>Cadence Unit</t>
  </si>
  <si>
    <t>Power Unit</t>
  </si>
  <si>
    <t>Row Labels</t>
  </si>
  <si>
    <t>Values</t>
  </si>
  <si>
    <t>Sum of Cal.</t>
  </si>
  <si>
    <t>Sum of Weight</t>
  </si>
  <si>
    <t>Sum of Weight Goal</t>
  </si>
  <si>
    <t>Sum of Speed</t>
  </si>
  <si>
    <t>Sum of HR</t>
  </si>
  <si>
    <t>Elevation</t>
  </si>
  <si>
    <t>Event Date</t>
  </si>
  <si>
    <t>.</t>
  </si>
  <si>
    <t>Prep.</t>
  </si>
  <si>
    <t>Sum of Today Week</t>
  </si>
  <si>
    <t>Distance</t>
  </si>
  <si>
    <t>Climber Index</t>
  </si>
  <si>
    <t>Sum of Climber Index</t>
  </si>
  <si>
    <t>Overall Time</t>
  </si>
  <si>
    <t>hh:mm:ss</t>
  </si>
  <si>
    <t>Solver</t>
  </si>
  <si>
    <t>Calendar</t>
  </si>
  <si>
    <t>Step</t>
  </si>
  <si>
    <t>Description</t>
  </si>
  <si>
    <t>PivotPlan</t>
  </si>
  <si>
    <t>Chart types</t>
  </si>
  <si>
    <t>Name</t>
  </si>
  <si>
    <t>Value</t>
  </si>
  <si>
    <t>xl3DArea</t>
  </si>
  <si>
    <t>xl3DAreaStacked</t>
  </si>
  <si>
    <t>xl3DAreaStacked100</t>
  </si>
  <si>
    <t>xl3DBarClustered</t>
  </si>
  <si>
    <t>xl3DBarStacked</t>
  </si>
  <si>
    <t>xl3DBarStacked100</t>
  </si>
  <si>
    <t>xl3DColumn</t>
  </si>
  <si>
    <t>xl3DColumnClustered</t>
  </si>
  <si>
    <t>xl3DColumnStacked</t>
  </si>
  <si>
    <t>xl3DColumnStacked100</t>
  </si>
  <si>
    <t>xl3DLine</t>
  </si>
  <si>
    <t>xl3DPie</t>
  </si>
  <si>
    <t>xl3DPieExploded</t>
  </si>
  <si>
    <t>xlArea</t>
  </si>
  <si>
    <t>Area</t>
  </si>
  <si>
    <t>xlAreaStacked</t>
  </si>
  <si>
    <t>xlAreaStacked100</t>
  </si>
  <si>
    <t>xlBarClustered</t>
  </si>
  <si>
    <t>xlBarOfPie</t>
  </si>
  <si>
    <t>xlBarStacked</t>
  </si>
  <si>
    <t>xlBarStacked100</t>
  </si>
  <si>
    <t>xlBubble</t>
  </si>
  <si>
    <t>xlBubble3DEffect</t>
  </si>
  <si>
    <t>xlColumnClustered</t>
  </si>
  <si>
    <t>xlColumnStacked</t>
  </si>
  <si>
    <t>xlColumnStacked100</t>
  </si>
  <si>
    <t>xlConeBarClustered</t>
  </si>
  <si>
    <t>xlConeBarStacked</t>
  </si>
  <si>
    <t>xlConeBarStacked100</t>
  </si>
  <si>
    <t>xlConeCol</t>
  </si>
  <si>
    <t>xlConeColClustered</t>
  </si>
  <si>
    <t>xlConeColStacked</t>
  </si>
  <si>
    <t>xlConeColStacked100</t>
  </si>
  <si>
    <t>xlCylinderBarClustered</t>
  </si>
  <si>
    <t>xlCylinderBarStacked</t>
  </si>
  <si>
    <t>xlCylinderBarStacked100</t>
  </si>
  <si>
    <t>xlCylinderCol</t>
  </si>
  <si>
    <t>xlCylinderColClustered</t>
  </si>
  <si>
    <t>xlCylinderColStacked</t>
  </si>
  <si>
    <t>xlCylinderColStacked100</t>
  </si>
  <si>
    <t>xlDoughnut</t>
  </si>
  <si>
    <t>xlDoughnutExploded</t>
  </si>
  <si>
    <t>xlLine</t>
  </si>
  <si>
    <t>xlLineMarkers</t>
  </si>
  <si>
    <t>xlLineMarkersStacked</t>
  </si>
  <si>
    <t>xlLineMarkersStacked100</t>
  </si>
  <si>
    <t>xlLineStacked</t>
  </si>
  <si>
    <t>xlLineStacked100</t>
  </si>
  <si>
    <t>xlPie</t>
  </si>
  <si>
    <t>xlPieExploded</t>
  </si>
  <si>
    <t>xlPieOfPie</t>
  </si>
  <si>
    <t>xlPyramidBarClustered</t>
  </si>
  <si>
    <t>xlPyramidBarStacked</t>
  </si>
  <si>
    <t>xlPyramidBarStacked100</t>
  </si>
  <si>
    <t>xlPyramidCol</t>
  </si>
  <si>
    <t>xlPyramidColClustered</t>
  </si>
  <si>
    <t>xlPyramidColStacked</t>
  </si>
  <si>
    <t>xlPyramidColStacked100</t>
  </si>
  <si>
    <t>xlRadar</t>
  </si>
  <si>
    <t>xlRadarFilled</t>
  </si>
  <si>
    <t>xlRadarMarkers</t>
  </si>
  <si>
    <t>xlStockHLC</t>
  </si>
  <si>
    <t>xlStockOHLC</t>
  </si>
  <si>
    <t>xlStockVHLC</t>
  </si>
  <si>
    <t>xlStockVOHLC</t>
  </si>
  <si>
    <t>xlSurface</t>
  </si>
  <si>
    <t>xlSurfaceTopView</t>
  </si>
  <si>
    <t>xlSurfaceTopViewWireframe</t>
  </si>
  <si>
    <t>xlSurfaceWireframe</t>
  </si>
  <si>
    <t>xlXYScatter</t>
  </si>
  <si>
    <t>xlXYScatterLines</t>
  </si>
  <si>
    <t>xlXYScatterLinesNoMarkers</t>
  </si>
  <si>
    <t>xlXYScatterSmooth</t>
  </si>
  <si>
    <t>xlXYScatterSmoothNoMarkers</t>
  </si>
  <si>
    <t>X</t>
  </si>
  <si>
    <t>Y</t>
  </si>
  <si>
    <t>Center of circle</t>
  </si>
  <si>
    <t>Radius</t>
  </si>
  <si>
    <t>Circle point</t>
  </si>
  <si>
    <t>dy</t>
  </si>
  <si>
    <t>dx</t>
  </si>
  <si>
    <t>Angle</t>
  </si>
  <si>
    <t>Cos</t>
  </si>
  <si>
    <t>Angle (degrees)</t>
  </si>
  <si>
    <t>Sen</t>
  </si>
  <si>
    <t>\</t>
  </si>
  <si>
    <t>Current Week Plan (hrs)</t>
  </si>
  <si>
    <t>BMI Gauge</t>
  </si>
  <si>
    <t>Weight on Last Week</t>
  </si>
  <si>
    <t>Last Week Update</t>
  </si>
  <si>
    <t>BMI Doughnut</t>
  </si>
  <si>
    <t>Charts Legends</t>
  </si>
  <si>
    <t>Doughnut Start</t>
  </si>
  <si>
    <t>BMI goal*</t>
  </si>
  <si>
    <t>*For adults 20 years old and older - CDC.GOV</t>
  </si>
  <si>
    <t>Website</t>
  </si>
  <si>
    <t>State</t>
  </si>
  <si>
    <t>Abbreviation</t>
  </si>
  <si>
    <t>ALABAMA</t>
  </si>
  <si>
    <t>AL</t>
  </si>
  <si>
    <t>ALASKA</t>
  </si>
  <si>
    <t>AK</t>
  </si>
  <si>
    <t>ARIZONA</t>
  </si>
  <si>
    <t>AZ</t>
  </si>
  <si>
    <t>ARKANSAS</t>
  </si>
  <si>
    <t>AR</t>
  </si>
  <si>
    <t>CALIFORNIA</t>
  </si>
  <si>
    <t>CA</t>
  </si>
  <si>
    <t>COLORADO</t>
  </si>
  <si>
    <t>CO</t>
  </si>
  <si>
    <t>CONNECTICUT</t>
  </si>
  <si>
    <t>CT</t>
  </si>
  <si>
    <t>DELAWARE</t>
  </si>
  <si>
    <t>DE</t>
  </si>
  <si>
    <t>FLORIDA</t>
  </si>
  <si>
    <t>FL</t>
  </si>
  <si>
    <t>GEORGIA</t>
  </si>
  <si>
    <t>GA</t>
  </si>
  <si>
    <t>HAWAII</t>
  </si>
  <si>
    <t>HI</t>
  </si>
  <si>
    <t>IDAHO</t>
  </si>
  <si>
    <t>ID</t>
  </si>
  <si>
    <t>ILLINOIS</t>
  </si>
  <si>
    <t>IL</t>
  </si>
  <si>
    <t>INDIANA</t>
  </si>
  <si>
    <t>IN</t>
  </si>
  <si>
    <t>IOWA</t>
  </si>
  <si>
    <t>IA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</si>
  <si>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</si>
  <si>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</si>
  <si>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</si>
  <si>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</si>
  <si>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</si>
  <si>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</si>
  <si>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</si>
  <si>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</si>
  <si>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MARYLAND</t>
  </si>
  <si>
    <t>MD</t>
  </si>
  <si>
    <t>MASSACHUSETTS</t>
  </si>
  <si>
    <t>MA</t>
  </si>
  <si>
    <t>MICHIGAN</t>
  </si>
  <si>
    <t>MI</t>
  </si>
  <si>
    <t>MINNESOTA</t>
  </si>
  <si>
    <t>MN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</si>
  <si>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</si>
  <si>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</si>
  <si>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</si>
  <si>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</si>
  <si>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</si>
  <si>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</si>
  <si>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</si>
  <si>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</si>
  <si>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</si>
  <si>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</si>
  <si>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NEW HAMPSHIRE</t>
  </si>
  <si>
    <t>NH</t>
  </si>
  <si>
    <t>NEW JERSEY</t>
  </si>
  <si>
    <t>NJ</t>
  </si>
  <si>
    <t>NEW MEXICO</t>
  </si>
  <si>
    <t>NM</t>
  </si>
  <si>
    <t>NEW YORK</t>
  </si>
  <si>
    <t>NY</t>
  </si>
  <si>
    <t>NORTH CAROLINA</t>
  </si>
  <si>
    <t>NC</t>
  </si>
  <si>
    <t>NORTH DAKOTA</t>
  </si>
  <si>
    <t>ND</t>
  </si>
  <si>
    <t>OHIO</t>
  </si>
  <si>
    <t>OH</t>
  </si>
  <si>
    <t>OKLAHOMA</t>
  </si>
  <si>
    <t>OK</t>
  </si>
  <si>
    <t>OREGON</t>
  </si>
  <si>
    <t>OR</t>
  </si>
  <si>
    <t>PENNSYLVANIA</t>
  </si>
  <si>
    <t>PA</t>
  </si>
  <si>
    <t>RHODE ISLAND</t>
  </si>
  <si>
    <t>RI</t>
  </si>
  <si>
    <t>SOUTH CAROLINA</t>
  </si>
  <si>
    <t>SC</t>
  </si>
  <si>
    <t>SOUTH DAKOTA</t>
  </si>
  <si>
    <t>SD</t>
  </si>
  <si>
    <t>TENNESSEE</t>
  </si>
  <si>
    <t>TN</t>
  </si>
  <si>
    <t>TEXAS</t>
  </si>
  <si>
    <t>TX</t>
  </si>
  <si>
    <t>UTAH</t>
  </si>
  <si>
    <t>UT</t>
  </si>
  <si>
    <t>VERMONT</t>
  </si>
  <si>
    <t>VT</t>
  </si>
  <si>
    <t>VIRGINIA</t>
  </si>
  <si>
    <t>VA</t>
  </si>
  <si>
    <t>WASHINGTON</t>
  </si>
  <si>
    <t>WA</t>
  </si>
  <si>
    <t>WEST VIRGINIA</t>
  </si>
  <si>
    <t>WV</t>
  </si>
  <si>
    <t>WISCONSIN</t>
  </si>
  <si>
    <t>WI</t>
  </si>
  <si>
    <t>WYOMING</t>
  </si>
  <si>
    <t>WY</t>
  </si>
  <si>
    <t>AMERICAN SAMOA</t>
  </si>
  <si>
    <t>AS</t>
  </si>
  <si>
    <t>DISTRICT OF COLUMBIA</t>
  </si>
  <si>
    <t>DC</t>
  </si>
  <si>
    <t>FEDERATED STATES OF MICRONESIA</t>
  </si>
  <si>
    <t>FM</t>
  </si>
  <si>
    <t>GUAM</t>
  </si>
  <si>
    <t>GU</t>
  </si>
  <si>
    <t>MARSHALL ISLANDS</t>
  </si>
  <si>
    <t>MH</t>
  </si>
  <si>
    <t>NORTHERN MARIANA ISLANDS</t>
  </si>
  <si>
    <t>MP</t>
  </si>
  <si>
    <t>PALAU</t>
  </si>
  <si>
    <t>PW</t>
  </si>
  <si>
    <t>PUERTO RICO</t>
  </si>
  <si>
    <t>PR</t>
  </si>
  <si>
    <t>VIRGIN ISLANDS</t>
  </si>
  <si>
    <t>VI</t>
  </si>
  <si>
    <t>Database</t>
  </si>
  <si>
    <t>BikeReg</t>
  </si>
  <si>
    <t xml:space="preserve"> </t>
  </si>
  <si>
    <t>Cal. Goal Chart</t>
  </si>
  <si>
    <t>Sum of Cal. Goal Chart</t>
  </si>
  <si>
    <t>Power Goal</t>
  </si>
  <si>
    <t>Sum of HR Goal</t>
  </si>
  <si>
    <t>Sum of Power</t>
  </si>
  <si>
    <t>Sum of Power Goal</t>
  </si>
  <si>
    <t>BMIGaugeGroup</t>
  </si>
  <si>
    <t>BMILegGroup</t>
  </si>
  <si>
    <t>Reset Charts / Targets</t>
  </si>
  <si>
    <t>Plan. Hrs Chart</t>
  </si>
  <si>
    <t>Field</t>
  </si>
  <si>
    <t>Unit</t>
  </si>
  <si>
    <t>Hrs</t>
  </si>
  <si>
    <t>Cadence</t>
  </si>
  <si>
    <t>Legend</t>
  </si>
  <si>
    <t>Calories</t>
  </si>
  <si>
    <t>Watts</t>
  </si>
  <si>
    <t>Weight Goal Chart</t>
  </si>
  <si>
    <t>HR Goal Chart</t>
  </si>
  <si>
    <t>Power Goal Chart</t>
  </si>
  <si>
    <t>UCI</t>
  </si>
  <si>
    <t>Country</t>
  </si>
  <si>
    <t>City / Venue</t>
  </si>
  <si>
    <t>Category</t>
  </si>
  <si>
    <t>Class</t>
  </si>
  <si>
    <t>Type</t>
  </si>
  <si>
    <t>Road</t>
  </si>
  <si>
    <t>Cyclo-cross</t>
  </si>
  <si>
    <t>Mountain bike</t>
  </si>
  <si>
    <t>ROA</t>
  </si>
  <si>
    <t>MTB</t>
  </si>
  <si>
    <t>CRO</t>
  </si>
  <si>
    <t>Road Race</t>
  </si>
  <si>
    <t>Off Road</t>
  </si>
  <si>
    <t>Cyclocross</t>
  </si>
  <si>
    <t>Track</t>
  </si>
  <si>
    <t>PIS</t>
  </si>
  <si>
    <t>Events Combobox Values</t>
  </si>
  <si>
    <t>Box Name</t>
  </si>
  <si>
    <t>APIBox</t>
  </si>
  <si>
    <t>EventTypeBox</t>
  </si>
  <si>
    <t>StateBox</t>
  </si>
  <si>
    <t>StateAbbreviation</t>
  </si>
  <si>
    <t>Season</t>
  </si>
  <si>
    <t>SeasonBox</t>
  </si>
  <si>
    <t>Method</t>
  </si>
  <si>
    <t>URL</t>
  </si>
  <si>
    <t>Header Type</t>
  </si>
  <si>
    <t>Header Value</t>
  </si>
  <si>
    <t>Post</t>
  </si>
  <si>
    <t>Content-Type</t>
  </si>
  <si>
    <t>application/x-www-form-urlencoded</t>
  </si>
  <si>
    <t>Source</t>
  </si>
  <si>
    <t>UNITED STATES OF AMERICA</t>
  </si>
  <si>
    <t>UCI calendar temp path file</t>
  </si>
  <si>
    <t>API Table</t>
  </si>
  <si>
    <t>State Table</t>
  </si>
  <si>
    <t>Event Type Table</t>
  </si>
  <si>
    <t>List</t>
  </si>
  <si>
    <t>Path</t>
  </si>
  <si>
    <t>USA Cycling</t>
  </si>
  <si>
    <t>Get</t>
  </si>
  <si>
    <t>Query</t>
  </si>
  <si>
    <t>Event Type</t>
  </si>
  <si>
    <t>search?</t>
  </si>
  <si>
    <t>states</t>
  </si>
  <si>
    <t>eventtype</t>
  </si>
  <si>
    <t>year</t>
  </si>
  <si>
    <t>QueryName</t>
  </si>
  <si>
    <t>BikeRegQuery</t>
  </si>
  <si>
    <t>USACyclingQuery</t>
  </si>
  <si>
    <t>UCIQuery</t>
  </si>
  <si>
    <t>TableCheck</t>
  </si>
  <si>
    <t>Check if  Target and Calendar table are correct</t>
  </si>
  <si>
    <t>Create Calendar</t>
  </si>
  <si>
    <t>Conditional rules</t>
  </si>
  <si>
    <t>ConditionalRulesTime - Period Colors</t>
  </si>
  <si>
    <t>Today Date</t>
  </si>
  <si>
    <t>Format</t>
  </si>
  <si>
    <t>[hh]:mm</t>
  </si>
  <si>
    <t>Plan. Hrs2</t>
  </si>
  <si>
    <t>Actual Hrs2</t>
  </si>
  <si>
    <t>#,###</t>
  </si>
  <si>
    <t>Units Table</t>
  </si>
  <si>
    <t>Field units</t>
  </si>
  <si>
    <t>Hours / Week</t>
  </si>
  <si>
    <t>Weight Units</t>
  </si>
  <si>
    <t>Actual Height</t>
  </si>
  <si>
    <t>kg</t>
  </si>
  <si>
    <t>Estimated annual hours:</t>
  </si>
  <si>
    <t>First week:</t>
  </si>
  <si>
    <t>Last week:</t>
  </si>
  <si>
    <t>W.</t>
  </si>
  <si>
    <t>WeightTable.lb</t>
  </si>
  <si>
    <t>WeightTable.kg</t>
  </si>
  <si>
    <t>Grand Total</t>
  </si>
  <si>
    <t>Count of Activities</t>
  </si>
  <si>
    <t>Sum of Activities</t>
  </si>
  <si>
    <t>Sum of Activity Calories</t>
  </si>
  <si>
    <t>UploadQueryFields</t>
  </si>
  <si>
    <t>Scatter with Smoothed Lines and No Data Markers</t>
  </si>
  <si>
    <t>3D Area</t>
  </si>
  <si>
    <t>3D Stacked Area</t>
  </si>
  <si>
    <t>100% Stacked Area</t>
  </si>
  <si>
    <t>3D Clustered Bar</t>
  </si>
  <si>
    <t>3D Stacked Bar</t>
  </si>
  <si>
    <t>3D 100% Stacked Bar</t>
  </si>
  <si>
    <t>3D Column</t>
  </si>
  <si>
    <t>3D Clustered Column</t>
  </si>
  <si>
    <t>3D Stacked Column</t>
  </si>
  <si>
    <t>3D 100% Stacked Column</t>
  </si>
  <si>
    <t>3D Line</t>
  </si>
  <si>
    <t>3D Pie</t>
  </si>
  <si>
    <t>Exploded 3D Pie</t>
  </si>
  <si>
    <t>Stacked Area</t>
  </si>
  <si>
    <t>Clustered Bar</t>
  </si>
  <si>
    <t>Bar of Pie</t>
  </si>
  <si>
    <t>Stacked Bar</t>
  </si>
  <si>
    <t>100% Stacked Bar</t>
  </si>
  <si>
    <t>Bubble</t>
  </si>
  <si>
    <t>Bubble with 3D effects</t>
  </si>
  <si>
    <t>Clustered Column</t>
  </si>
  <si>
    <t>Stacked Column</t>
  </si>
  <si>
    <t>100% Stacked Column</t>
  </si>
  <si>
    <t>Clustered Cone Bar</t>
  </si>
  <si>
    <t>Stacked Cone Bar</t>
  </si>
  <si>
    <t>100% Stacked Cone Bar</t>
  </si>
  <si>
    <t>3D Cone Column</t>
  </si>
  <si>
    <t>Clustered Cone Column</t>
  </si>
  <si>
    <t>Stacked Cone Column</t>
  </si>
  <si>
    <t>100% Stacked Cone Column</t>
  </si>
  <si>
    <t>Clustered Cylinder Bar</t>
  </si>
  <si>
    <t>Stacked Cylinder Bar</t>
  </si>
  <si>
    <t>100% Stacked Cylinder Bar</t>
  </si>
  <si>
    <t>3D Cylinder Column</t>
  </si>
  <si>
    <t>100% Stacked Cylinder Column</t>
  </si>
  <si>
    <t>Doughnut</t>
  </si>
  <si>
    <t>Exploded Doughnut</t>
  </si>
  <si>
    <t>Line</t>
  </si>
  <si>
    <t>Line with Markers</t>
  </si>
  <si>
    <t>Stacked Line with Markers</t>
  </si>
  <si>
    <t>100% Stacked Line with Markers</t>
  </si>
  <si>
    <t>Stacked Line</t>
  </si>
  <si>
    <t>100% Stacked Line</t>
  </si>
  <si>
    <t>Pie</t>
  </si>
  <si>
    <t>Exploded Pie</t>
  </si>
  <si>
    <t>Pie of Pie</t>
  </si>
  <si>
    <t>Clustered Pyramid Bar</t>
  </si>
  <si>
    <t>Stacked Pyramid Bar</t>
  </si>
  <si>
    <t>100% Stacked Pyramid Bar</t>
  </si>
  <si>
    <t>3D Pyramid Column</t>
  </si>
  <si>
    <t>Clustered Pyramid Column</t>
  </si>
  <si>
    <t>Stacked Pyramid Column</t>
  </si>
  <si>
    <t>100% Stacked Pyramid Column</t>
  </si>
  <si>
    <t>Radar</t>
  </si>
  <si>
    <t>Filled Radar</t>
  </si>
  <si>
    <t>Radar with Data Markers</t>
  </si>
  <si>
    <t>High-Low-Close</t>
  </si>
  <si>
    <t>Open-High-Low-Close</t>
  </si>
  <si>
    <t>Volume-High-Low-Close</t>
  </si>
  <si>
    <t>Volume-Open-High-Low-Close</t>
  </si>
  <si>
    <t>3D Surface</t>
  </si>
  <si>
    <t>Surface (Top View)</t>
  </si>
  <si>
    <t>Surface (Top View wireframe)</t>
  </si>
  <si>
    <t>3D Surface (wireframe)</t>
  </si>
  <si>
    <t>Scatter</t>
  </si>
  <si>
    <t>Scatter with Lines</t>
  </si>
  <si>
    <t>Scatter with Lines and No Data Markers</t>
  </si>
  <si>
    <t>Scatter with Smoothed Lines</t>
  </si>
  <si>
    <t>Hours / Activity</t>
  </si>
  <si>
    <t>ft</t>
  </si>
  <si>
    <t>Sum of Actual Hrs2</t>
  </si>
  <si>
    <t>Sum of Plan. Hrs Chart</t>
  </si>
  <si>
    <t>Activities / Week</t>
  </si>
  <si>
    <t>Calculation</t>
  </si>
  <si>
    <t>ChartType</t>
  </si>
  <si>
    <t>Activity Time</t>
  </si>
  <si>
    <t>Elev Gain</t>
  </si>
  <si>
    <t>Heart Rate</t>
  </si>
  <si>
    <t>Bike Cadence</t>
  </si>
  <si>
    <t>Hrs/Activity</t>
  </si>
  <si>
    <t>Sum of Activity Time</t>
  </si>
  <si>
    <t>Sum of Distance</t>
  </si>
  <si>
    <t>Average of Hrs/Activity</t>
  </si>
  <si>
    <t>Sum of Elev Gain</t>
  </si>
  <si>
    <t>List for Analytics ComboBoxes</t>
  </si>
  <si>
    <t>Analytics Fields ComboBoxes Values</t>
  </si>
  <si>
    <t>Pivot1ComboBox1</t>
  </si>
  <si>
    <t>Pivot2ComboBox1</t>
  </si>
  <si>
    <t>Pivot1ComboBox2</t>
  </si>
  <si>
    <t>Pivot2ComboBox2</t>
  </si>
  <si>
    <t>Analytics Chart and Calculation per field</t>
  </si>
  <si>
    <t>Pivot3ComboBox1</t>
  </si>
  <si>
    <t>Pivot3ComboBox2</t>
  </si>
  <si>
    <t>Pivot4ComboBox1</t>
  </si>
  <si>
    <t>Pivot4ComboBox2</t>
  </si>
  <si>
    <t>Favorite Events</t>
  </si>
  <si>
    <t>% of Overal Time</t>
  </si>
  <si>
    <t>Cal/hour</t>
  </si>
  <si>
    <t>Sum of Cal/hour</t>
  </si>
  <si>
    <t>TargetsNeedRefresh</t>
  </si>
  <si>
    <t>DashboardNeedRefresh</t>
  </si>
  <si>
    <t>CalendarChartNeedReset</t>
  </si>
  <si>
    <t>TargetsChartNeedReset</t>
  </si>
  <si>
    <t>DashboardChartNeedReset</t>
  </si>
  <si>
    <t>PivotAnalyticsNeedRefresh</t>
  </si>
  <si>
    <t>PivotPlanNeedRefresh</t>
  </si>
  <si>
    <t>WeightDashboardChartNeedReset</t>
  </si>
  <si>
    <t>WeightTargetChartNeedReset</t>
  </si>
  <si>
    <t>AppVariable</t>
  </si>
  <si>
    <t>Status</t>
  </si>
  <si>
    <t>FavEventsQueryNeedRefresh</t>
  </si>
  <si>
    <t>ChartPlan</t>
  </si>
  <si>
    <t>EventsDashboardQueryNeedRefresh</t>
  </si>
  <si>
    <t>App status Saved Before Close</t>
  </si>
  <si>
    <t>For Text Box use</t>
  </si>
  <si>
    <t>For Queries - M code use</t>
  </si>
  <si>
    <t>PlanH Chart</t>
  </si>
  <si>
    <t>STATrider / Events</t>
  </si>
  <si>
    <t>STATrider / Setup</t>
  </si>
  <si>
    <t>STATrider / Calendar</t>
  </si>
  <si>
    <t>STATrider / Targets</t>
  </si>
  <si>
    <t>STATrider / Weight</t>
  </si>
  <si>
    <t>STATrider / Load Data</t>
  </si>
  <si>
    <t>STATrider / Dashboard</t>
  </si>
  <si>
    <t>STATrider / Analytics</t>
  </si>
  <si>
    <t/>
  </si>
  <si>
    <t>Average of lb</t>
  </si>
  <si>
    <t>date_end=</t>
  </si>
  <si>
    <t>EndDate</t>
  </si>
  <si>
    <t>?name=&amp;discipline=</t>
  </si>
  <si>
    <t>sub_disciplines=&amp;event_types=&amp;special_calendars=&amp;date_start=</t>
  </si>
  <si>
    <t>location=&amp;state=</t>
  </si>
  <si>
    <t>&amp;city=&amp;zip=</t>
  </si>
  <si>
    <t>Brooklyn</t>
  </si>
  <si>
    <t>Lucarelli &amp; Castaldi Cup</t>
  </si>
  <si>
    <t>Speed/HR</t>
  </si>
  <si>
    <t>C:\Users\jorge\AppData\Local\Temp\UCIMTB.xlsx</t>
  </si>
  <si>
    <t>New York</t>
  </si>
  <si>
    <t>Average of Cal/hour</t>
  </si>
  <si>
    <t>2022</t>
  </si>
  <si>
    <t>Average of Speed</t>
  </si>
  <si>
    <t>Castelli Series</t>
  </si>
  <si>
    <t>Season 2022 / 2022</t>
  </si>
  <si>
    <t>CRCA Grant's Tomb Crit (2022)</t>
  </si>
  <si>
    <t>http://www.BikeReg.com/53932</t>
  </si>
  <si>
    <t>OLD-UCI</t>
  </si>
  <si>
    <t>past</t>
  </si>
  <si>
    <t>Parameter1</t>
  </si>
  <si>
    <t>Parameter2</t>
  </si>
  <si>
    <t>Parameter3</t>
  </si>
  <si>
    <t>Parameter4</t>
  </si>
  <si>
    <t>Parameter5</t>
  </si>
  <si>
    <t>discipline</t>
  </si>
  <si>
    <t>2022 Genesee Valley Cycling Club Membership</t>
  </si>
  <si>
    <t xml:space="preserve">Rochester </t>
  </si>
  <si>
    <t>Randall's Island Crit #1 by Hilltop Bicycles and New York Bicycle Lawyers</t>
  </si>
  <si>
    <t>2022 CRCA Women's Development Series (Race 1)</t>
  </si>
  <si>
    <t>Manhattan</t>
  </si>
  <si>
    <t>Canceled! Randall's Island Crit #2 by Hilltop Bicycles and New York Bicycle Lawyers</t>
  </si>
  <si>
    <t>GVCC Spring Giro Series</t>
  </si>
  <si>
    <t>Victor</t>
  </si>
  <si>
    <t>CRCA Mengoni Grand Prix p/b Hincapie (2022)</t>
  </si>
  <si>
    <t>Randall's Island Crit #3 by Hilltop Bicycles and New York Bicycle Lawyers</t>
  </si>
  <si>
    <t>Kissena Women's Track Clinic</t>
  </si>
  <si>
    <t>Randall's Island Crit #4 by Hilltop Bicycles and New York Bicycle Lawyers</t>
  </si>
  <si>
    <t>2022 CRCA Men &amp; Women's Beginner Racing Clinic p/b Ostroy NYC</t>
  </si>
  <si>
    <t>Toad Strangler</t>
  </si>
  <si>
    <t>Chatham</t>
  </si>
  <si>
    <t>Lucarelli &amp; Castaldi Cup #2</t>
  </si>
  <si>
    <t>Army Spring Classic - ECCC Races</t>
  </si>
  <si>
    <t>Stony Point</t>
  </si>
  <si>
    <t>Army Spring Classic - USA Cycling races - ***CANCELLED***</t>
  </si>
  <si>
    <t>2022 CRCA Women's Development Series (Race 3)</t>
  </si>
  <si>
    <t>Trooper David Brinkerhoff Memorial Race Series</t>
  </si>
  <si>
    <t>Coxsackie</t>
  </si>
  <si>
    <t>Prospect Park Circuit race by New York Triathlon Club</t>
  </si>
  <si>
    <t>Castelli Series #2</t>
  </si>
  <si>
    <t>2022 CRCA Women's Development Series (Race 4)</t>
  </si>
  <si>
    <t>Lucarelli &amp; Castaldi Cup #3</t>
  </si>
  <si>
    <t>Castelli Series #3</t>
  </si>
  <si>
    <t>Hollenbeck's Spring Classic Road Race</t>
  </si>
  <si>
    <t>Virgil</t>
  </si>
  <si>
    <t>Women's Woodstock Cycling Grand Prix</t>
  </si>
  <si>
    <t>Woodstock</t>
  </si>
  <si>
    <t>Cazenovia Hillbender 2022</t>
  </si>
  <si>
    <t>Chittenango</t>
  </si>
  <si>
    <t>Central Park Time Trial p/b Collado.Live</t>
  </si>
  <si>
    <t>CRCA Bear Mountain Classic (2022)</t>
  </si>
  <si>
    <t>2022 CRCA Women's Development Series (Race 5)</t>
  </si>
  <si>
    <t>Farmer's Daughter Gravel Grinder</t>
  </si>
  <si>
    <t>Beach Channel Time Trial p/b Long Beach Bicycles and New York Bike Lawyers</t>
  </si>
  <si>
    <t>Rockaway Park</t>
  </si>
  <si>
    <t>MVP Health Care Rochester Twilight Criterium</t>
  </si>
  <si>
    <t>Rochester</t>
  </si>
  <si>
    <t>Keuka Lake Gravel Classic</t>
  </si>
  <si>
    <t>Hammondsport</t>
  </si>
  <si>
    <t>Tour of Buffalo</t>
  </si>
  <si>
    <t>Buffalo</t>
  </si>
  <si>
    <t>Whiteface Mountain 20th Annual Uphill Bike Race</t>
  </si>
  <si>
    <t>Wilmington</t>
  </si>
  <si>
    <t>ShelterBox Ride</t>
  </si>
  <si>
    <t>Henderson Harbor</t>
  </si>
  <si>
    <t>CNY Women's Road Racing Clinic - Beginner and Skills Refresher</t>
  </si>
  <si>
    <t>Syracuse</t>
  </si>
  <si>
    <t>Hamburg Weekend</t>
  </si>
  <si>
    <t>Hamburg</t>
  </si>
  <si>
    <t>Buffalo Bicycling Club's 50th Anniversary Criterium</t>
  </si>
  <si>
    <t>Orchard Park</t>
  </si>
  <si>
    <t>NY Capital Region Road Race</t>
  </si>
  <si>
    <t>Albany (Ravena)</t>
  </si>
  <si>
    <t>Freedom Run Winery Road Race powered by Kanberra</t>
  </si>
  <si>
    <t>Lockport</t>
  </si>
  <si>
    <t>2022 CRCA Women's Development Series (Race 8)</t>
  </si>
  <si>
    <t>The Plan2Peak: Two Days of Buffalo Stage Race</t>
  </si>
  <si>
    <t>2022 CRCA Women's Development Series (Race 9)</t>
  </si>
  <si>
    <t>2022 CRCA Women's Development Series (Series Championship)</t>
  </si>
  <si>
    <t>East Arcade Weekend</t>
  </si>
  <si>
    <t>Arcade</t>
  </si>
  <si>
    <t>2022 CRCA Women's Development Series (Race 12)</t>
  </si>
  <si>
    <t>KIngs County Challenge</t>
  </si>
  <si>
    <t>Kings County Challenge</t>
  </si>
  <si>
    <t>http://www.BikeReg.com/52644</t>
  </si>
  <si>
    <t>http://www.BikeReg.com/53755</t>
  </si>
  <si>
    <t>http://www.BikeReg.com/54353</t>
  </si>
  <si>
    <t>http://www.BikeReg.com/54042</t>
  </si>
  <si>
    <t>http://www.BikeReg.com/54495</t>
  </si>
  <si>
    <t>CRCA Mengoni Grand Prix</t>
  </si>
  <si>
    <t>http://www.BikeReg.com/54371</t>
  </si>
  <si>
    <t>http://www.BikeReg.com/54043</t>
  </si>
  <si>
    <t>http://www.BikeReg.com/54708</t>
  </si>
  <si>
    <t>http://www.BikeReg.com/54045</t>
  </si>
  <si>
    <t>http://www.BikeReg.com/54143</t>
  </si>
  <si>
    <t>http://www.BikeReg.com/54738</t>
  </si>
  <si>
    <t>http://www.BikeReg.com/54364</t>
  </si>
  <si>
    <t>Randall's Island Crit</t>
  </si>
  <si>
    <t>http://www.BikeReg.com/53159</t>
  </si>
  <si>
    <t>http://www.BikeReg.com/54736</t>
  </si>
  <si>
    <t>Prospect Park race</t>
  </si>
  <si>
    <t>http://www.BikeReg.com/54356</t>
  </si>
  <si>
    <t>http://www.BikeReg.com/54638</t>
  </si>
  <si>
    <t>http://www.BikeReg.com/53953</t>
  </si>
  <si>
    <t>http://www.BikeReg.com/54741</t>
  </si>
  <si>
    <t>Army Spring Classic</t>
  </si>
  <si>
    <t>West Point</t>
  </si>
  <si>
    <t>http://www.BikeReg.com/54636</t>
  </si>
  <si>
    <t>http://www.BikeReg.com/54357</t>
  </si>
  <si>
    <t>http://www.BikeReg.com/55109</t>
  </si>
  <si>
    <t>http://www.BikeReg.com/53165</t>
  </si>
  <si>
    <t>http://www.BikeReg.com/55110</t>
  </si>
  <si>
    <t>http://www.BikeReg.com/54712</t>
  </si>
  <si>
    <t>http://www.BikeReg.com/54154</t>
  </si>
  <si>
    <t>http://www.BikeReg.com/53343</t>
  </si>
  <si>
    <t>http://www.BikeReg.com/54122</t>
  </si>
  <si>
    <t>http://www.BikeReg.com/55299</t>
  </si>
  <si>
    <t>http://www.BikeReg.com/54358</t>
  </si>
  <si>
    <t>http://www.BikeReg.com/52319</t>
  </si>
  <si>
    <t>http://www.BikeReg.com/54194</t>
  </si>
  <si>
    <t>http://www.BikeReg.com/55234</t>
  </si>
  <si>
    <t>http://www.BikeReg.com/53065</t>
  </si>
  <si>
    <t>http://www.BikeReg.com/54359</t>
  </si>
  <si>
    <t>http://www.BikeReg.com/54349</t>
  </si>
  <si>
    <t>Charlton Road &amp; River Rd Time Trial Series - Week 1</t>
  </si>
  <si>
    <t>Ballston Spa</t>
  </si>
  <si>
    <t>http://www.BikeReg.com/55217</t>
  </si>
  <si>
    <t>http://www.BikeReg.com/53930</t>
  </si>
  <si>
    <t>http://www.BikeReg.com/53870</t>
  </si>
  <si>
    <t>http://www.BikeReg.com/54788</t>
  </si>
  <si>
    <t>Charlton Road &amp; River Rd Time Trial Series - Week 2</t>
  </si>
  <si>
    <t>Fort Edward</t>
  </si>
  <si>
    <t>http://www.BikeReg.com/55231</t>
  </si>
  <si>
    <t>Charlton Road &amp; River Rd Time Trial Series - Week 3</t>
  </si>
  <si>
    <t>http://www.BikeReg.com/55227</t>
  </si>
  <si>
    <t>http://www.BikeReg.com/54365</t>
  </si>
  <si>
    <t>Charlton Road &amp; River Rd Time Trial Series - Week 4</t>
  </si>
  <si>
    <t>http://www.BikeReg.com/55273</t>
  </si>
  <si>
    <t>Charlton Road &amp; River Rd Time Trial Series - Week 5</t>
  </si>
  <si>
    <t>http://www.BikeReg.com/55228</t>
  </si>
  <si>
    <t>Charlton Road &amp; River Rd Time Trial Series - Week 6</t>
  </si>
  <si>
    <t>http://www.BikeReg.com/55274</t>
  </si>
  <si>
    <t>http://www.BikeReg.com/54373</t>
  </si>
  <si>
    <t>2022 New York State Time Trial Championships</t>
  </si>
  <si>
    <t>Tioga Center</t>
  </si>
  <si>
    <t>http://www.BikeReg.com/53135</t>
  </si>
  <si>
    <t>Charlton Road &amp; River Rd Time Trial Series - Week 7</t>
  </si>
  <si>
    <t>http://www.BikeReg.com/55229</t>
  </si>
  <si>
    <t>http://www.BikeReg.com/55387</t>
  </si>
  <si>
    <t>http://www.BikeReg.com/54360</t>
  </si>
  <si>
    <t>http://www.BikeReg.com/54370</t>
  </si>
  <si>
    <t>http://www.BikeReg.com/54361</t>
  </si>
  <si>
    <t>http://www.BikeReg.com/53035</t>
  </si>
  <si>
    <t>http://www.BikeReg.com/54362</t>
  </si>
  <si>
    <t>http://www.BikeReg.com/54379</t>
  </si>
  <si>
    <t>http://www.BikeReg.com/54363</t>
  </si>
  <si>
    <t>CRCA Club Series</t>
  </si>
  <si>
    <t>http://www.BikeReg.com/53972</t>
  </si>
  <si>
    <t>CRCA Dave Jordan Central Park Classic - 10th Annual Edition</t>
  </si>
  <si>
    <t>http://www.BikeReg.com/55555</t>
  </si>
  <si>
    <t>2022 Harlem Skyscraper Cycling Classic</t>
  </si>
  <si>
    <t>http://www.BikeReg.com/55546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</si>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</sst>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8">
    <numFmt numFmtId="164" formatCode="[hh]:mm"/>
    <numFmt numFmtId="165" formatCode="ddd\ mmm/dd/yyyy"/>
    <numFmt numFmtId="166" formatCode="0.0"/>
    <numFmt numFmtId="167" formatCode="[$-409]General"/>
    <numFmt numFmtId="168" formatCode="mmm/dd/yy"/>
    <numFmt numFmtId="169" formatCode="mmm/d/yy"/>
    <numFmt numFmtId="170" formatCode="ddd\ mm/dd/yy"/>
    <numFmt numFmtId="171" formatCode="ddd\ mmm/d/yyyy"/>
    <numFmt numFmtId="172" formatCode="#,##0.0"/>
    <numFmt numFmtId="173" formatCode="#,##0.00&quot; &quot;;&quot; (&quot;#,##0.00&quot;)&quot;;&quot; -&quot;#&quot; &quot;;@&quot; &quot;"/>
    <numFmt numFmtId="174" formatCode="[$$-409]#,##0.00;[Red]&quot;-&quot;[$$-409]#,##0.00"/>
    <numFmt numFmtId="175" formatCode="mmm\ ddd\ dd/yy"/>
    <numFmt numFmtId="176" formatCode="mmm\ ddd/dd/yy"/>
    <numFmt numFmtId="177" formatCode="#,###"/>
    <numFmt numFmtId="178" formatCode="[hh]:mm:ss"/>
    <numFmt numFmtId="179" formatCode="ddd\ mmm/dd/yy"/>
    <numFmt numFmtId="180" formatCode="mmm\ dd"/>
    <numFmt numFmtId="181" formatCode="[hh]:mm;;;@"/>
    <numFmt numFmtId="182" formatCode=".0"/>
    <numFmt numFmtId="183" formatCode="000.0"/>
    <numFmt numFmtId="184" formatCode="mm/dd/yy"/>
    <numFmt numFmtId="185" formatCode="#,###.0"/>
    <numFmt numFmtId="186" formatCode="0.000"/>
    <numFmt numFmtId="187" formatCode="mmm/dd"/>
    <numFmt numFmtId="188" formatCode="0.0000"/>
    <numFmt numFmtId="189" formatCode="d\.hh:mm:ss"/>
    <numFmt numFmtId="190" formatCode="000.000"/>
    <numFmt numFmtId="191" formatCode="0.0%"/>
  </numFmts>
  <fonts count="6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u/>
      <sz val="10"/>
      <color rgb="FF0563C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 Nova"/>
      <family val="2"/>
    </font>
    <font>
      <b/>
      <sz val="14"/>
      <color theme="1"/>
      <name val="Arial Nova"/>
      <family val="2"/>
    </font>
    <font>
      <sz val="14"/>
      <color theme="1"/>
      <name val="Arial Nova"/>
      <family val="2"/>
    </font>
    <font>
      <sz val="12"/>
      <color theme="1"/>
      <name val="Arial Nova"/>
      <family val="2"/>
    </font>
    <font>
      <b/>
      <sz val="14"/>
      <color theme="0" tint="-0.499984740745262"/>
      <name val="Arial Nova"/>
      <family val="2"/>
    </font>
    <font>
      <sz val="12"/>
      <color theme="0" tint="-0.249977111117893"/>
      <name val="Arial Nova"/>
      <family val="2"/>
    </font>
    <font>
      <b/>
      <sz val="12"/>
      <color theme="0"/>
      <name val="Arial Nova"/>
      <family val="2"/>
    </font>
    <font>
      <sz val="10"/>
      <color theme="1"/>
      <name val="Arial Nova"/>
      <family val="2"/>
    </font>
    <font>
      <b/>
      <sz val="14"/>
      <name val="Arial Nova"/>
      <family val="2"/>
    </font>
    <font>
      <sz val="20"/>
      <color theme="1"/>
      <name val="Arial Nova"/>
      <family val="2"/>
    </font>
    <font>
      <b/>
      <sz val="12"/>
      <color theme="1"/>
      <name val="Arial Nova"/>
      <family val="2"/>
    </font>
    <font>
      <b/>
      <sz val="12"/>
      <color rgb="FF0078C8"/>
      <name val="Arial Nova"/>
      <family val="2"/>
    </font>
    <font>
      <sz val="12"/>
      <color rgb="FF000000"/>
      <name val="Arial Nova"/>
      <family val="2"/>
    </font>
    <font>
      <b/>
      <sz val="10"/>
      <color rgb="FFBFBFBF"/>
      <name val="Arial Nova"/>
      <family val="2"/>
    </font>
    <font>
      <b/>
      <sz val="12"/>
      <color rgb="FF0070C0"/>
      <name val="Arial Nova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12"/>
      <color rgb="FFBFBFBF"/>
      <name val="Arial Nova"/>
      <family val="2"/>
    </font>
    <font>
      <b/>
      <sz val="12"/>
      <color theme="0" tint="-0.499984740745262"/>
      <name val="Arial Nova"/>
      <family val="2"/>
    </font>
    <font>
      <b/>
      <sz val="14"/>
      <color rgb="FFA6A6A6"/>
      <name val="Arial Nova"/>
      <family val="2"/>
    </font>
    <font>
      <b/>
      <sz val="16"/>
      <color theme="0"/>
      <name val="Arial Nova"/>
      <family val="2"/>
    </font>
    <font>
      <sz val="16"/>
      <color theme="0"/>
      <name val="Arial Nova"/>
      <family val="2"/>
    </font>
    <font>
      <sz val="16"/>
      <color theme="1"/>
      <name val="Arial Nova"/>
      <family val="2"/>
    </font>
    <font>
      <sz val="10"/>
      <name val="Arial Nova"/>
      <family val="2"/>
    </font>
    <font>
      <sz val="12"/>
      <color theme="0"/>
      <name val="Arial Nova"/>
      <family val="2"/>
    </font>
    <font>
      <b/>
      <sz val="12"/>
      <color rgb="FF0064FF"/>
      <name val="Arial Nova"/>
      <family val="2"/>
    </font>
    <font>
      <b/>
      <i/>
      <sz val="12"/>
      <color rgb="FF0D0D0D"/>
      <name val="Arial Nova"/>
      <family val="2"/>
    </font>
    <font>
      <b/>
      <sz val="12"/>
      <name val="Arial Nova"/>
      <family val="2"/>
    </font>
    <font>
      <sz val="16"/>
      <color theme="1"/>
      <name val="Calibri"/>
      <family val="2"/>
      <scheme val="minor"/>
    </font>
    <font>
      <sz val="12"/>
      <color theme="0" tint="-0.499984740745262"/>
      <name val="Arial Nova"/>
      <family val="2"/>
    </font>
    <font>
      <b/>
      <sz val="11"/>
      <color theme="0" tint="-0.499984740745262"/>
      <name val="Arial Nova"/>
      <family val="2"/>
    </font>
    <font>
      <u/>
      <sz val="8"/>
      <color theme="10"/>
      <name val="Arial Nova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 Nova"/>
      <family val="2"/>
    </font>
    <font>
      <sz val="12"/>
      <color rgb="FFFFFFFF"/>
      <name val="Arial Nova"/>
      <family val="2"/>
    </font>
    <font>
      <b/>
      <sz val="16"/>
      <color rgb="FFFFFFFF"/>
      <name val="Arial Nova"/>
      <family val="2"/>
    </font>
    <font>
      <b/>
      <sz val="10"/>
      <color rgb="FFFFFFFF"/>
      <name val="Arial Nova"/>
      <family val="2"/>
    </font>
    <font>
      <b/>
      <sz val="12"/>
      <color rgb="FF131313"/>
      <name val="Arial Nova"/>
      <family val="2"/>
    </font>
    <font>
      <sz val="12"/>
      <color theme="1"/>
      <name val="Aria nova"/>
    </font>
    <font>
      <b/>
      <sz val="12"/>
      <color rgb="FFFFFFFF"/>
      <name val="Arial Nova"/>
      <family val="2"/>
    </font>
    <font>
      <b/>
      <u/>
      <sz val="12"/>
      <color rgb="FF0064FF"/>
      <name val="Arial Nova"/>
      <family val="2"/>
    </font>
    <font>
      <sz val="12"/>
      <color rgb="FF0064FF"/>
      <name val="Arial Nova"/>
      <family val="2"/>
    </font>
    <font>
      <u/>
      <sz val="11"/>
      <color theme="1"/>
      <name val="Calibri"/>
      <family val="2"/>
      <scheme val="minor"/>
    </font>
    <font>
      <sz val="11"/>
      <color rgb="FF050505"/>
      <name val="Segoe UI Historic"/>
      <family val="2"/>
    </font>
    <font>
      <b/>
      <sz val="10"/>
      <color rgb="FF000000"/>
      <name val="Arial Nova"/>
      <family val="2"/>
    </font>
    <font>
      <b/>
      <sz val="14"/>
      <color rgb="FF000000"/>
      <name val="Proxima Nova"/>
    </font>
    <font>
      <b/>
      <sz val="8"/>
      <color rgb="FF000000"/>
      <name val="Arial Nova"/>
      <family val="2"/>
    </font>
    <font>
      <sz val="12"/>
      <color rgb="FF000000"/>
      <name val="Aria nova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8C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6"/>
        <bgColor theme="6"/>
      </patternFill>
    </fill>
    <fill>
      <patternFill patternType="solid">
        <fgColor rgb="FFB2B2B2"/>
        <bgColor rgb="FFB2B2B2"/>
      </patternFill>
    </fill>
    <fill>
      <patternFill patternType="solid">
        <fgColor rgb="FF00CC00"/>
        <bgColor rgb="FF00CC00"/>
      </patternFill>
    </fill>
    <fill>
      <patternFill patternType="solid">
        <fgColor rgb="FFDDDDDD"/>
        <bgColor rgb="FFDDDDDD"/>
      </patternFill>
    </fill>
    <fill>
      <patternFill patternType="solid">
        <fgColor rgb="FFFF0000"/>
        <bgColor rgb="FFFF0000"/>
      </patternFill>
    </fill>
    <fill>
      <patternFill patternType="solid">
        <fgColor rgb="FF66FF66"/>
        <bgColor rgb="FF66FF66"/>
      </patternFill>
    </fill>
    <fill>
      <patternFill patternType="solid">
        <fgColor rgb="FFFF6600"/>
        <bgColor rgb="FFFF6600"/>
      </patternFill>
    </fill>
    <fill>
      <patternFill patternType="solid">
        <fgColor rgb="FFFF3300"/>
        <bgColor rgb="FFFF33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theme="8"/>
      </patternFill>
    </fill>
    <fill>
      <patternFill patternType="solid">
        <fgColor theme="0"/>
        <bgColor theme="8" tint="0.79998168889431442"/>
      </patternFill>
    </fill>
    <fill>
      <patternFill patternType="solid">
        <fgColor rgb="FF009C3B"/>
        <bgColor indexed="64"/>
      </patternFill>
    </fill>
    <fill>
      <patternFill patternType="solid">
        <fgColor rgb="FFFFDF00"/>
        <bgColor indexed="64"/>
      </patternFill>
    </fill>
    <fill>
      <patternFill patternType="solid">
        <fgColor rgb="FFB31942"/>
        <bgColor indexed="64"/>
      </patternFill>
    </fill>
    <fill>
      <gradientFill degree="90">
        <stop position="0">
          <color rgb="FF0A3161"/>
        </stop>
        <stop position="1">
          <color rgb="FF002776"/>
        </stop>
      </gradientFill>
    </fill>
    <fill>
      <patternFill patternType="solid">
        <fgColor rgb="FFF0F0F0"/>
        <bgColor indexed="64"/>
      </patternFill>
    </fill>
  </fills>
  <borders count="84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rgb="FF595959"/>
      </left>
      <right/>
      <top style="thin">
        <color rgb="FF595959"/>
      </top>
      <bottom style="thin">
        <color rgb="FF595959"/>
      </bottom>
      <diagonal/>
    </border>
    <border>
      <left/>
      <right style="thin">
        <color rgb="FF595959"/>
      </right>
      <top style="thin">
        <color rgb="FF595959"/>
      </top>
      <bottom/>
      <diagonal/>
    </border>
    <border>
      <left style="thin">
        <color theme="1" tint="0.34998626667073579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/>
      <top style="thin">
        <color rgb="FF999999"/>
      </top>
      <bottom/>
      <diagonal/>
    </border>
    <border>
      <left/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595959"/>
      </left>
      <right/>
      <top style="thin">
        <color rgb="FF595959"/>
      </top>
      <bottom/>
      <diagonal/>
    </border>
    <border>
      <left style="thin">
        <color rgb="FF595959"/>
      </left>
      <right/>
      <top/>
      <bottom/>
      <diagonal/>
    </border>
    <border>
      <left/>
      <right style="thin">
        <color rgb="FF595959"/>
      </right>
      <top/>
      <bottom/>
      <diagonal/>
    </border>
    <border>
      <left/>
      <right style="thin">
        <color rgb="FF595959"/>
      </right>
      <top style="thin">
        <color rgb="FF595959"/>
      </top>
      <bottom style="thin">
        <color rgb="FF59595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rgb="FFC7C7C7"/>
      </right>
      <top/>
      <bottom/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 style="thin">
        <color indexed="64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theme="0" tint="-0.14990691854609822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indexed="64"/>
      </left>
      <right/>
      <top style="thin">
        <color theme="0" tint="-0.14993743705557422"/>
      </top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BEE296"/>
      </left>
      <right style="thin">
        <color rgb="FFBEE296"/>
      </right>
      <top style="thin">
        <color rgb="FFBEE296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rgb="FFBEE296"/>
      </left>
      <right style="thin">
        <color rgb="FFBEE296"/>
      </right>
      <top style="thin">
        <color theme="4" tint="0.39997558519241921"/>
      </top>
      <bottom/>
      <diagonal/>
    </border>
    <border>
      <left style="thin">
        <color theme="4"/>
      </left>
      <right style="thin">
        <color theme="4"/>
      </right>
      <top style="thin">
        <color rgb="FFBEE296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rgb="FF0078C8"/>
      </bottom>
      <diagonal/>
    </border>
    <border>
      <left/>
      <right/>
      <top/>
      <bottom style="thin">
        <color rgb="FF0078C8"/>
      </bottom>
      <diagonal/>
    </border>
    <border>
      <left/>
      <right/>
      <top style="thin">
        <color rgb="FF0078C8"/>
      </top>
      <bottom style="thin">
        <color rgb="FF0078C8"/>
      </bottom>
      <diagonal/>
    </border>
    <border>
      <left style="thin">
        <color rgb="FFBEE296"/>
      </left>
      <right/>
      <top style="thin">
        <color theme="4" tint="0.39997558519241921"/>
      </top>
      <bottom style="thin">
        <color rgb="FFBEE296"/>
      </bottom>
      <diagonal/>
    </border>
    <border>
      <left/>
      <right/>
      <top style="thin">
        <color theme="4" tint="0.39997558519241921"/>
      </top>
      <bottom style="thin">
        <color rgb="FFBEE296"/>
      </bottom>
      <diagonal/>
    </border>
    <border>
      <left/>
      <right style="thin">
        <color rgb="FFBEE296"/>
      </right>
      <top style="thin">
        <color theme="4" tint="0.39997558519241921"/>
      </top>
      <bottom style="thin">
        <color rgb="FFBEE296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4">
    <xf numFmtId="0" fontId="0" fillId="0" borderId="0"/>
    <xf numFmtId="167" fontId="12" fillId="0" borderId="0"/>
    <xf numFmtId="0" fontId="13" fillId="0" borderId="0"/>
    <xf numFmtId="167" fontId="12" fillId="0" borderId="0"/>
    <xf numFmtId="167" fontId="14" fillId="0" borderId="0"/>
    <xf numFmtId="0" fontId="15" fillId="0" borderId="0" applyNumberFormat="0" applyFill="0" applyBorder="0" applyAlignment="0" applyProtection="0"/>
    <xf numFmtId="0" fontId="10" fillId="0" borderId="0"/>
    <xf numFmtId="0" fontId="13" fillId="9" borderId="0"/>
    <xf numFmtId="173" fontId="12" fillId="0" borderId="0"/>
    <xf numFmtId="167" fontId="12" fillId="0" borderId="0"/>
    <xf numFmtId="167" fontId="12" fillId="0" borderId="0"/>
    <xf numFmtId="0" fontId="32" fillId="0" borderId="0">
      <alignment horizontal="center"/>
    </xf>
    <xf numFmtId="0" fontId="32" fillId="0" borderId="0">
      <alignment horizontal="center" textRotation="90"/>
    </xf>
    <xf numFmtId="0" fontId="33" fillId="0" borderId="0"/>
    <xf numFmtId="174" fontId="33" fillId="0" borderId="0"/>
    <xf numFmtId="167" fontId="12" fillId="10" borderId="0"/>
    <xf numFmtId="167" fontId="12" fillId="9" borderId="0"/>
    <xf numFmtId="167" fontId="12" fillId="10" borderId="0"/>
    <xf numFmtId="167" fontId="12" fillId="11" borderId="0"/>
    <xf numFmtId="0" fontId="13" fillId="12" borderId="0"/>
    <xf numFmtId="0" fontId="13" fillId="13" borderId="0"/>
    <xf numFmtId="0" fontId="13" fillId="14" borderId="0"/>
    <xf numFmtId="0" fontId="13" fillId="15" borderId="0"/>
    <xf numFmtId="9" fontId="50" fillId="0" borderId="0" applyFont="0" applyFill="0" applyBorder="0" applyAlignment="0" applyProtection="0"/>
  </cellStyleXfs>
  <cellXfs count="433">
    <xf numFmtId="0" fontId="0" fillId="0" borderId="0" xfId="0"/>
    <xf numFmtId="0" fontId="11" fillId="0" borderId="0" xfId="0" applyFont="1"/>
    <xf numFmtId="2" fontId="0" fillId="0" borderId="0" xfId="0" applyNumberFormat="1"/>
    <xf numFmtId="1" fontId="0" fillId="0" borderId="0" xfId="0" applyNumberFormat="1"/>
    <xf numFmtId="0" fontId="20" fillId="0" borderId="0" xfId="0" applyFont="1"/>
    <xf numFmtId="0" fontId="26" fillId="0" borderId="0" xfId="0" applyFont="1"/>
    <xf numFmtId="0" fontId="27" fillId="0" borderId="0" xfId="0" applyFont="1"/>
    <xf numFmtId="0" fontId="9" fillId="0" borderId="0" xfId="0" applyFont="1"/>
    <xf numFmtId="166" fontId="20" fillId="0" borderId="0" xfId="0" applyNumberFormat="1" applyFont="1"/>
    <xf numFmtId="0" fontId="0" fillId="0" borderId="12" xfId="0" applyBorder="1"/>
    <xf numFmtId="0" fontId="0" fillId="0" borderId="12" xfId="0" pivotButton="1" applyBorder="1"/>
    <xf numFmtId="0" fontId="0" fillId="0" borderId="13" xfId="0" applyBorder="1"/>
    <xf numFmtId="0" fontId="0" fillId="0" borderId="14" xfId="0" applyBorder="1"/>
    <xf numFmtId="0" fontId="0" fillId="0" borderId="16" xfId="0" applyBorder="1"/>
    <xf numFmtId="0" fontId="0" fillId="0" borderId="12" xfId="0" applyBorder="1" applyAlignment="1">
      <alignment horizontal="left"/>
    </xf>
    <xf numFmtId="0" fontId="0" fillId="0" borderId="18" xfId="0" applyBorder="1"/>
    <xf numFmtId="177" fontId="0" fillId="0" borderId="18" xfId="0" applyNumberFormat="1" applyBorder="1"/>
    <xf numFmtId="177" fontId="0" fillId="0" borderId="19" xfId="0" applyNumberFormat="1" applyBorder="1"/>
    <xf numFmtId="177" fontId="0" fillId="0" borderId="12" xfId="0" applyNumberFormat="1" applyBorder="1"/>
    <xf numFmtId="177" fontId="0" fillId="0" borderId="15" xfId="0" applyNumberFormat="1" applyBorder="1"/>
    <xf numFmtId="177" fontId="0" fillId="0" borderId="16" xfId="0" applyNumberFormat="1" applyBorder="1"/>
    <xf numFmtId="177" fontId="0" fillId="0" borderId="17" xfId="0" applyNumberFormat="1" applyBorder="1"/>
    <xf numFmtId="14" fontId="20" fillId="0" borderId="0" xfId="0" applyNumberFormat="1" applyFont="1"/>
    <xf numFmtId="0" fontId="37" fillId="3" borderId="0" xfId="0" applyFont="1" applyFill="1" applyBorder="1" applyAlignment="1" applyProtection="1">
      <alignment horizontal="left" vertical="center"/>
      <protection locked="0"/>
    </xf>
    <xf numFmtId="0" fontId="17" fillId="3" borderId="0" xfId="0" applyFont="1" applyFill="1" applyProtection="1">
      <protection locked="0"/>
    </xf>
    <xf numFmtId="0" fontId="17" fillId="3" borderId="0" xfId="0" applyFont="1" applyFill="1" applyBorder="1" applyProtection="1">
      <protection locked="0"/>
    </xf>
    <xf numFmtId="0" fontId="17" fillId="4" borderId="0" xfId="0" applyFont="1" applyFill="1" applyProtection="1">
      <protection locked="0"/>
    </xf>
    <xf numFmtId="0" fontId="17" fillId="4" borderId="0" xfId="0" applyFont="1" applyFill="1" applyBorder="1" applyProtection="1">
      <protection locked="0"/>
    </xf>
    <xf numFmtId="14" fontId="46" fillId="5" borderId="3" xfId="0" applyNumberFormat="1" applyFont="1" applyFill="1" applyBorder="1" applyAlignment="1" applyProtection="1">
      <alignment horizontal="left"/>
      <protection locked="0"/>
    </xf>
    <xf numFmtId="0" fontId="35" fillId="5" borderId="0" xfId="0" applyFont="1" applyFill="1" applyAlignment="1" applyProtection="1">
      <alignment horizontal="left" vertical="center"/>
      <protection locked="0"/>
    </xf>
    <xf numFmtId="0" fontId="21" fillId="5" borderId="0" xfId="0" applyFont="1" applyFill="1" applyAlignment="1" applyProtection="1">
      <alignment horizontal="left" vertical="top"/>
      <protection locked="0"/>
    </xf>
    <xf numFmtId="14" fontId="46" fillId="5" borderId="22" xfId="0" applyNumberFormat="1" applyFont="1" applyFill="1" applyBorder="1" applyAlignment="1" applyProtection="1">
      <alignment horizontal="left"/>
      <protection locked="0"/>
    </xf>
    <xf numFmtId="14" fontId="46" fillId="5" borderId="23" xfId="0" applyNumberFormat="1" applyFont="1" applyFill="1" applyBorder="1" applyAlignment="1" applyProtection="1">
      <alignment horizontal="left"/>
      <protection locked="0"/>
    </xf>
    <xf numFmtId="169" fontId="22" fillId="5" borderId="0" xfId="0" applyNumberFormat="1" applyFont="1" applyFill="1" applyAlignment="1" applyProtection="1">
      <alignment horizontal="left"/>
      <protection locked="0"/>
    </xf>
    <xf numFmtId="0" fontId="30" fillId="5" borderId="0" xfId="0" applyFont="1" applyFill="1" applyAlignment="1" applyProtection="1">
      <alignment horizontal="left"/>
      <protection locked="0"/>
    </xf>
    <xf numFmtId="2" fontId="34" fillId="5" borderId="0" xfId="0" applyNumberFormat="1" applyFont="1" applyFill="1" applyProtection="1">
      <protection locked="0"/>
    </xf>
    <xf numFmtId="14" fontId="46" fillId="5" borderId="24" xfId="0" applyNumberFormat="1" applyFont="1" applyFill="1" applyBorder="1" applyAlignment="1" applyProtection="1">
      <alignment horizontal="left"/>
      <protection locked="0"/>
    </xf>
    <xf numFmtId="0" fontId="17" fillId="4" borderId="20" xfId="0" applyFont="1" applyFill="1" applyBorder="1" applyProtection="1">
      <protection locked="0"/>
    </xf>
    <xf numFmtId="0" fontId="39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16" fillId="0" borderId="0" xfId="0" applyFont="1"/>
    <xf numFmtId="166" fontId="0" fillId="0" borderId="0" xfId="0" applyNumberFormat="1"/>
    <xf numFmtId="0" fontId="47" fillId="5" borderId="0" xfId="0" applyFont="1" applyFill="1" applyAlignment="1" applyProtection="1">
      <alignment horizontal="left" vertical="center"/>
      <protection locked="0"/>
    </xf>
    <xf numFmtId="14" fontId="35" fillId="5" borderId="21" xfId="0" applyNumberFormat="1" applyFont="1" applyFill="1" applyBorder="1" applyAlignment="1" applyProtection="1">
      <alignment horizontal="left"/>
      <protection locked="0"/>
    </xf>
    <xf numFmtId="0" fontId="16" fillId="0" borderId="26" xfId="0" applyFont="1" applyBorder="1"/>
    <xf numFmtId="166" fontId="27" fillId="0" borderId="0" xfId="0" applyNumberFormat="1" applyFont="1"/>
    <xf numFmtId="0" fontId="36" fillId="4" borderId="0" xfId="0" applyFont="1" applyFill="1" applyAlignment="1" applyProtection="1">
      <alignment vertical="center"/>
      <protection locked="0"/>
    </xf>
    <xf numFmtId="0" fontId="5" fillId="0" borderId="0" xfId="0" applyFont="1"/>
    <xf numFmtId="166" fontId="9" fillId="0" borderId="0" xfId="0" applyNumberFormat="1" applyFont="1"/>
    <xf numFmtId="2" fontId="5" fillId="0" borderId="0" xfId="0" applyNumberFormat="1" applyFont="1"/>
    <xf numFmtId="166" fontId="5" fillId="0" borderId="0" xfId="0" applyNumberFormat="1" applyFont="1"/>
    <xf numFmtId="1" fontId="5" fillId="0" borderId="0" xfId="0" applyNumberFormat="1" applyFont="1"/>
    <xf numFmtId="11" fontId="5" fillId="0" borderId="0" xfId="0" applyNumberFormat="1" applyFont="1"/>
    <xf numFmtId="0" fontId="16" fillId="0" borderId="25" xfId="0" applyFont="1" applyBorder="1"/>
    <xf numFmtId="0" fontId="16" fillId="0" borderId="27" xfId="0" applyFont="1" applyBorder="1"/>
    <xf numFmtId="0" fontId="16" fillId="0" borderId="28" xfId="0" applyFont="1" applyBorder="1"/>
    <xf numFmtId="0" fontId="5" fillId="0" borderId="0" xfId="0" applyFont="1" applyBorder="1"/>
    <xf numFmtId="0" fontId="5" fillId="0" borderId="29" xfId="0" applyFont="1" applyBorder="1"/>
    <xf numFmtId="0" fontId="16" fillId="0" borderId="30" xfId="0" applyFont="1" applyBorder="1"/>
    <xf numFmtId="1" fontId="5" fillId="0" borderId="32" xfId="0" applyNumberFormat="1" applyFont="1" applyBorder="1"/>
    <xf numFmtId="0" fontId="5" fillId="0" borderId="0" xfId="0" applyFont="1" applyAlignment="1">
      <alignment wrapText="1"/>
    </xf>
    <xf numFmtId="0" fontId="0" fillId="0" borderId="0" xfId="0" applyFont="1"/>
    <xf numFmtId="166" fontId="20" fillId="0" borderId="0" xfId="0" applyNumberFormat="1" applyFont="1" applyFill="1"/>
    <xf numFmtId="0" fontId="24" fillId="0" borderId="0" xfId="0" applyFont="1" applyProtection="1">
      <protection locked="0"/>
    </xf>
    <xf numFmtId="49" fontId="24" fillId="0" borderId="0" xfId="0" applyNumberFormat="1" applyFont="1" applyProtection="1">
      <protection locked="0"/>
    </xf>
    <xf numFmtId="170" fontId="24" fillId="0" borderId="0" xfId="0" applyNumberFormat="1" applyFont="1" applyAlignment="1" applyProtection="1">
      <alignment horizontal="left" vertical="center"/>
      <protection locked="0"/>
    </xf>
    <xf numFmtId="0" fontId="36" fillId="4" borderId="0" xfId="0" applyFont="1" applyFill="1" applyAlignment="1" applyProtection="1">
      <alignment horizontal="center" vertical="center"/>
      <protection locked="0"/>
    </xf>
    <xf numFmtId="169" fontId="22" fillId="5" borderId="0" xfId="0" applyNumberFormat="1" applyFont="1" applyFill="1" applyAlignment="1" applyProtection="1">
      <alignment horizontal="left" vertical="center"/>
      <protection locked="0"/>
    </xf>
    <xf numFmtId="0" fontId="30" fillId="5" borderId="0" xfId="0" applyFont="1" applyFill="1" applyAlignment="1" applyProtection="1">
      <alignment horizontal="left" vertical="center"/>
      <protection locked="0"/>
    </xf>
    <xf numFmtId="0" fontId="24" fillId="0" borderId="0" xfId="0" applyNumberFormat="1" applyFont="1" applyProtection="1">
      <protection locked="0"/>
    </xf>
    <xf numFmtId="0" fontId="20" fillId="0" borderId="0" xfId="0" applyNumberFormat="1" applyFont="1" applyProtection="1">
      <protection locked="0"/>
    </xf>
    <xf numFmtId="0" fontId="15" fillId="0" borderId="0" xfId="5" applyNumberFormat="1" applyProtection="1">
      <protection locked="0"/>
    </xf>
    <xf numFmtId="180" fontId="46" fillId="5" borderId="2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Protection="1">
      <protection locked="0"/>
    </xf>
    <xf numFmtId="0" fontId="0" fillId="0" borderId="0" xfId="0" applyProtection="1">
      <protection locked="0"/>
    </xf>
    <xf numFmtId="0" fontId="6" fillId="0" borderId="0" xfId="0" applyNumberFormat="1" applyFont="1" applyAlignment="1" applyProtection="1">
      <alignment horizontal="center"/>
      <protection locked="0"/>
    </xf>
    <xf numFmtId="178" fontId="0" fillId="0" borderId="0" xfId="0" applyNumberFormat="1" applyProtection="1">
      <protection locked="0"/>
    </xf>
    <xf numFmtId="0" fontId="20" fillId="0" borderId="0" xfId="0" applyNumberFormat="1" applyFont="1" applyAlignment="1" applyProtection="1">
      <alignment horizontal="center"/>
      <protection locked="0"/>
    </xf>
    <xf numFmtId="9" fontId="0" fillId="0" borderId="0" xfId="23" applyFont="1" applyProtection="1">
      <protection locked="0"/>
    </xf>
    <xf numFmtId="1" fontId="20" fillId="0" borderId="0" xfId="0" applyNumberFormat="1" applyFont="1" applyAlignment="1" applyProtection="1">
      <alignment horizontal="left"/>
      <protection locked="0"/>
    </xf>
    <xf numFmtId="176" fontId="20" fillId="0" borderId="0" xfId="0" applyNumberFormat="1" applyFont="1" applyAlignment="1" applyProtection="1">
      <alignment horizontal="left"/>
      <protection locked="0"/>
    </xf>
    <xf numFmtId="0" fontId="20" fillId="0" borderId="0" xfId="0" applyFont="1" applyAlignment="1" applyProtection="1">
      <alignment horizontal="right"/>
      <protection locked="0"/>
    </xf>
    <xf numFmtId="171" fontId="24" fillId="0" borderId="0" xfId="0" applyNumberFormat="1" applyFont="1" applyAlignment="1" applyProtection="1">
      <alignment horizontal="left"/>
      <protection locked="0"/>
    </xf>
    <xf numFmtId="0" fontId="46" fillId="5" borderId="24" xfId="0" applyNumberFormat="1" applyFont="1" applyFill="1" applyBorder="1" applyAlignment="1" applyProtection="1">
      <alignment horizontal="left"/>
      <protection locked="0"/>
    </xf>
    <xf numFmtId="1" fontId="20" fillId="0" borderId="0" xfId="0" applyNumberFormat="1" applyFont="1" applyProtection="1">
      <protection locked="0"/>
    </xf>
    <xf numFmtId="0" fontId="27" fillId="18" borderId="0" xfId="0" applyFont="1" applyFill="1"/>
    <xf numFmtId="14" fontId="27" fillId="18" borderId="0" xfId="0" applyNumberFormat="1" applyFont="1" applyFill="1"/>
    <xf numFmtId="0" fontId="37" fillId="3" borderId="0" xfId="0" applyFont="1" applyFill="1" applyBorder="1" applyAlignment="1" applyProtection="1">
      <alignment vertical="center"/>
      <protection locked="0"/>
    </xf>
    <xf numFmtId="0" fontId="20" fillId="0" borderId="0" xfId="0" applyFont="1" applyFill="1" applyBorder="1" applyProtection="1">
      <protection locked="0"/>
    </xf>
    <xf numFmtId="166" fontId="42" fillId="0" borderId="0" xfId="0" applyNumberFormat="1" applyFont="1" applyBorder="1" applyProtection="1">
      <protection locked="0"/>
    </xf>
    <xf numFmtId="0" fontId="42" fillId="0" borderId="46" xfId="0" applyFont="1" applyBorder="1" applyProtection="1">
      <protection locked="0"/>
    </xf>
    <xf numFmtId="2" fontId="20" fillId="0" borderId="0" xfId="0" applyNumberFormat="1" applyFont="1"/>
    <xf numFmtId="3" fontId="29" fillId="0" borderId="0" xfId="0" applyNumberFormat="1" applyFont="1" applyAlignment="1" applyProtection="1">
      <alignment horizontal="left"/>
      <protection locked="0"/>
    </xf>
    <xf numFmtId="166" fontId="29" fillId="0" borderId="0" xfId="0" applyNumberFormat="1" applyFont="1" applyAlignment="1" applyProtection="1">
      <alignment horizontal="left"/>
      <protection locked="0"/>
    </xf>
    <xf numFmtId="0" fontId="17" fillId="0" borderId="0" xfId="0" applyFont="1" applyFill="1" applyProtection="1">
      <protection locked="0"/>
    </xf>
    <xf numFmtId="0" fontId="18" fillId="0" borderId="0" xfId="0" applyFont="1" applyFill="1" applyBorder="1" applyAlignment="1" applyProtection="1">
      <alignment horizontal="left" vertical="center"/>
      <protection locked="0"/>
    </xf>
    <xf numFmtId="0" fontId="27" fillId="0" borderId="0" xfId="0" applyFont="1" applyFill="1" applyBorder="1" applyProtection="1">
      <protection locked="0"/>
    </xf>
    <xf numFmtId="0" fontId="27" fillId="0" borderId="0" xfId="0" applyFont="1" applyFill="1" applyBorder="1" applyAlignment="1" applyProtection="1">
      <alignment horizontal="left" vertical="center" indent="1"/>
      <protection locked="0"/>
    </xf>
    <xf numFmtId="0" fontId="27" fillId="0" borderId="0" xfId="0" applyFont="1" applyFill="1" applyBorder="1" applyAlignment="1" applyProtection="1">
      <alignment horizontal="center"/>
      <protection locked="0"/>
    </xf>
    <xf numFmtId="0" fontId="41" fillId="0" borderId="0" xfId="0" applyFont="1" applyFill="1" applyBorder="1" applyProtection="1">
      <protection locked="0"/>
    </xf>
    <xf numFmtId="0" fontId="48" fillId="0" borderId="0" xfId="5" applyFont="1" applyFill="1" applyBorder="1" applyAlignment="1" applyProtection="1">
      <alignment horizontal="left" vertical="center"/>
      <protection locked="0"/>
    </xf>
    <xf numFmtId="0" fontId="19" fillId="0" borderId="0" xfId="0" applyFont="1" applyFill="1" applyBorder="1" applyProtection="1">
      <protection locked="0"/>
    </xf>
    <xf numFmtId="0" fontId="17" fillId="0" borderId="0" xfId="0" applyFont="1" applyFill="1" applyBorder="1" applyProtection="1">
      <protection locked="0"/>
    </xf>
    <xf numFmtId="0" fontId="20" fillId="0" borderId="0" xfId="0" applyFont="1" applyProtection="1">
      <protection locked="0"/>
    </xf>
    <xf numFmtId="0" fontId="37" fillId="19" borderId="0" xfId="0" applyFont="1" applyFill="1" applyBorder="1" applyAlignment="1" applyProtection="1">
      <alignment vertical="center"/>
      <protection locked="0"/>
    </xf>
    <xf numFmtId="0" fontId="37" fillId="19" borderId="0" xfId="0" applyFont="1" applyFill="1" applyBorder="1" applyAlignment="1" applyProtection="1">
      <alignment horizontal="left" vertical="center" indent="1"/>
      <protection locked="0"/>
    </xf>
    <xf numFmtId="0" fontId="54" fillId="19" borderId="0" xfId="0" applyFont="1" applyFill="1" applyProtection="1">
      <protection locked="0"/>
    </xf>
    <xf numFmtId="0" fontId="53" fillId="19" borderId="0" xfId="0" applyFont="1" applyFill="1" applyAlignment="1" applyProtection="1">
      <alignment horizontal="left" indent="1"/>
      <protection locked="0"/>
    </xf>
    <xf numFmtId="171" fontId="15" fillId="0" borderId="0" xfId="5" applyNumberFormat="1" applyAlignment="1" applyProtection="1">
      <alignment horizontal="left"/>
      <protection locked="0"/>
    </xf>
    <xf numFmtId="0" fontId="17" fillId="0" borderId="0" xfId="0" applyFont="1" applyBorder="1" applyProtection="1">
      <protection locked="0"/>
    </xf>
    <xf numFmtId="164" fontId="34" fillId="5" borderId="0" xfId="0" applyNumberFormat="1" applyFont="1" applyFill="1" applyProtection="1">
      <protection locked="0"/>
    </xf>
    <xf numFmtId="0" fontId="37" fillId="3" borderId="0" xfId="0" applyFont="1" applyFill="1" applyBorder="1" applyAlignment="1" applyProtection="1">
      <alignment horizontal="left" vertical="center"/>
      <protection locked="0"/>
    </xf>
    <xf numFmtId="2" fontId="3" fillId="0" borderId="31" xfId="0" applyNumberFormat="1" applyFont="1" applyBorder="1"/>
    <xf numFmtId="177" fontId="0" fillId="0" borderId="57" xfId="0" applyNumberFormat="1" applyBorder="1"/>
    <xf numFmtId="177" fontId="0" fillId="0" borderId="59" xfId="0" applyNumberFormat="1" applyBorder="1"/>
    <xf numFmtId="168" fontId="0" fillId="0" borderId="57" xfId="0" applyNumberFormat="1" applyBorder="1" applyAlignment="1">
      <alignment horizontal="left"/>
    </xf>
    <xf numFmtId="164" fontId="0" fillId="0" borderId="59" xfId="0" applyNumberFormat="1" applyBorder="1"/>
    <xf numFmtId="177" fontId="0" fillId="0" borderId="58" xfId="0" applyNumberFormat="1" applyBorder="1"/>
    <xf numFmtId="185" fontId="0" fillId="0" borderId="18" xfId="0" applyNumberFormat="1" applyBorder="1"/>
    <xf numFmtId="185" fontId="0" fillId="0" borderId="19" xfId="0" applyNumberFormat="1" applyBorder="1"/>
    <xf numFmtId="185" fontId="0" fillId="0" borderId="58" xfId="0" applyNumberFormat="1" applyBorder="1"/>
    <xf numFmtId="0" fontId="0" fillId="0" borderId="15" xfId="0" applyBorder="1"/>
    <xf numFmtId="187" fontId="0" fillId="0" borderId="15" xfId="0" applyNumberFormat="1" applyBorder="1" applyAlignment="1">
      <alignment horizontal="left" indent="1"/>
    </xf>
    <xf numFmtId="188" fontId="0" fillId="0" borderId="12" xfId="0" applyNumberFormat="1" applyBorder="1"/>
    <xf numFmtId="188" fontId="0" fillId="0" borderId="15" xfId="0" applyNumberFormat="1" applyBorder="1"/>
    <xf numFmtId="166" fontId="0" fillId="0" borderId="12" xfId="0" applyNumberFormat="1" applyBorder="1"/>
    <xf numFmtId="166" fontId="0" fillId="0" borderId="15" xfId="0" applyNumberFormat="1" applyBorder="1"/>
    <xf numFmtId="0" fontId="0" fillId="0" borderId="57" xfId="0" applyBorder="1" applyAlignment="1">
      <alignment horizontal="left"/>
    </xf>
    <xf numFmtId="166" fontId="0" fillId="0" borderId="57" xfId="0" applyNumberFormat="1" applyBorder="1"/>
    <xf numFmtId="166" fontId="0" fillId="0" borderId="58" xfId="0" applyNumberFormat="1" applyBorder="1"/>
    <xf numFmtId="0" fontId="37" fillId="0" borderId="0" xfId="0" applyFont="1" applyFill="1" applyBorder="1" applyAlignment="1" applyProtection="1">
      <alignment horizontal="left" vertical="center"/>
      <protection locked="0"/>
    </xf>
    <xf numFmtId="0" fontId="20" fillId="0" borderId="0" xfId="0" applyFont="1" applyBorder="1" applyProtection="1">
      <protection locked="0"/>
    </xf>
    <xf numFmtId="1" fontId="0" fillId="0" borderId="58" xfId="0" applyNumberFormat="1" applyBorder="1"/>
    <xf numFmtId="170" fontId="24" fillId="0" borderId="0" xfId="0" applyNumberFormat="1" applyFont="1" applyProtection="1">
      <protection locked="0"/>
    </xf>
    <xf numFmtId="0" fontId="23" fillId="0" borderId="0" xfId="0" applyFont="1" applyFill="1" applyBorder="1" applyAlignment="1" applyProtection="1">
      <alignment horizontal="left" vertical="center"/>
      <protection locked="0"/>
    </xf>
    <xf numFmtId="14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18" fillId="0" borderId="42" xfId="0" applyFont="1" applyBorder="1" applyProtection="1">
      <protection locked="0"/>
    </xf>
    <xf numFmtId="0" fontId="0" fillId="0" borderId="48" xfId="0" applyBorder="1" applyProtection="1">
      <protection locked="0"/>
    </xf>
    <xf numFmtId="14" fontId="20" fillId="0" borderId="0" xfId="0" applyNumberFormat="1" applyFont="1" applyFill="1" applyProtection="1">
      <protection locked="0"/>
    </xf>
    <xf numFmtId="0" fontId="20" fillId="0" borderId="0" xfId="0" applyNumberFormat="1" applyFont="1" applyFill="1" applyProtection="1">
      <protection locked="0"/>
    </xf>
    <xf numFmtId="0" fontId="18" fillId="0" borderId="37" xfId="0" applyFont="1" applyFill="1" applyBorder="1" applyAlignment="1" applyProtection="1">
      <alignment horizontal="left" vertical="center"/>
      <protection locked="0"/>
    </xf>
    <xf numFmtId="0" fontId="20" fillId="0" borderId="0" xfId="0" applyNumberFormat="1" applyFont="1"/>
    <xf numFmtId="0" fontId="39" fillId="2" borderId="0" xfId="0" applyFont="1" applyFill="1" applyProtection="1">
      <protection locked="0"/>
    </xf>
    <xf numFmtId="0" fontId="19" fillId="2" borderId="0" xfId="0" applyFont="1" applyFill="1" applyProtection="1">
      <protection locked="0"/>
    </xf>
    <xf numFmtId="0" fontId="25" fillId="2" borderId="0" xfId="0" applyFont="1" applyFill="1" applyBorder="1" applyAlignment="1" applyProtection="1">
      <alignment vertical="center"/>
      <protection locked="0"/>
    </xf>
    <xf numFmtId="0" fontId="20" fillId="2" borderId="0" xfId="0" applyFont="1" applyFill="1" applyProtection="1">
      <protection locked="0"/>
    </xf>
    <xf numFmtId="0" fontId="24" fillId="2" borderId="0" xfId="0" applyFont="1" applyFill="1" applyBorder="1" applyProtection="1">
      <protection locked="0"/>
    </xf>
    <xf numFmtId="0" fontId="17" fillId="2" borderId="0" xfId="0" applyFont="1" applyFill="1" applyBorder="1" applyProtection="1">
      <protection locked="0"/>
    </xf>
    <xf numFmtId="0" fontId="17" fillId="2" borderId="0" xfId="0" applyFont="1" applyFill="1" applyProtection="1">
      <protection locked="0"/>
    </xf>
    <xf numFmtId="3" fontId="20" fillId="2" borderId="0" xfId="0" applyNumberFormat="1" applyFont="1" applyFill="1" applyProtection="1">
      <protection locked="0"/>
    </xf>
    <xf numFmtId="172" fontId="20" fillId="2" borderId="0" xfId="0" applyNumberFormat="1" applyFont="1" applyFill="1" applyProtection="1">
      <protection locked="0"/>
    </xf>
    <xf numFmtId="186" fontId="51" fillId="2" borderId="0" xfId="0" applyNumberFormat="1" applyFont="1" applyFill="1" applyProtection="1">
      <protection locked="0"/>
    </xf>
    <xf numFmtId="166" fontId="51" fillId="2" borderId="0" xfId="0" applyNumberFormat="1" applyFont="1" applyFill="1" applyProtection="1">
      <protection locked="0"/>
    </xf>
    <xf numFmtId="0" fontId="52" fillId="0" borderId="0" xfId="0" applyFont="1" applyFill="1" applyAlignment="1" applyProtection="1">
      <alignment horizontal="left" wrapText="1"/>
      <protection locked="0"/>
    </xf>
    <xf numFmtId="0" fontId="20" fillId="0" borderId="0" xfId="0" applyFont="1" applyFill="1" applyProtection="1">
      <protection locked="0"/>
    </xf>
    <xf numFmtId="168" fontId="20" fillId="0" borderId="0" xfId="0" applyNumberFormat="1" applyFont="1" applyFill="1" applyProtection="1">
      <protection locked="0"/>
    </xf>
    <xf numFmtId="0" fontId="39" fillId="3" borderId="0" xfId="0" applyFont="1" applyFill="1" applyAlignment="1" applyProtection="1">
      <alignment vertical="center"/>
      <protection locked="0"/>
    </xf>
    <xf numFmtId="0" fontId="37" fillId="3" borderId="0" xfId="0" applyFont="1" applyFill="1" applyBorder="1" applyAlignment="1" applyProtection="1">
      <protection locked="0"/>
    </xf>
    <xf numFmtId="0" fontId="52" fillId="0" borderId="0" xfId="0" applyFont="1" applyAlignment="1" applyProtection="1">
      <alignment horizontal="left" wrapText="1"/>
      <protection locked="0"/>
    </xf>
    <xf numFmtId="1" fontId="29" fillId="0" borderId="0" xfId="0" applyNumberFormat="1" applyFont="1" applyAlignment="1" applyProtection="1">
      <alignment horizontal="left"/>
      <protection locked="0"/>
    </xf>
    <xf numFmtId="168" fontId="29" fillId="0" borderId="0" xfId="0" applyNumberFormat="1" applyFont="1" applyAlignment="1" applyProtection="1">
      <alignment horizontal="left"/>
      <protection locked="0"/>
    </xf>
    <xf numFmtId="0" fontId="29" fillId="0" borderId="0" xfId="0" applyNumberFormat="1" applyFont="1" applyAlignment="1" applyProtection="1">
      <alignment horizontal="left"/>
      <protection locked="0"/>
    </xf>
    <xf numFmtId="3" fontId="31" fillId="0" borderId="0" xfId="0" applyNumberFormat="1" applyFont="1" applyAlignment="1" applyProtection="1">
      <alignment horizontal="left"/>
      <protection locked="0"/>
    </xf>
    <xf numFmtId="172" fontId="31" fillId="0" borderId="0" xfId="0" applyNumberFormat="1" applyFont="1" applyAlignment="1" applyProtection="1">
      <alignment horizontal="left"/>
      <protection locked="0"/>
    </xf>
    <xf numFmtId="3" fontId="31" fillId="0" borderId="0" xfId="0" applyNumberFormat="1" applyFont="1" applyAlignment="1" applyProtection="1">
      <alignment horizontal="right"/>
      <protection locked="0"/>
    </xf>
    <xf numFmtId="175" fontId="20" fillId="0" borderId="0" xfId="0" applyNumberFormat="1" applyFont="1" applyProtection="1">
      <protection locked="0"/>
    </xf>
    <xf numFmtId="0" fontId="37" fillId="3" borderId="1" xfId="0" applyFont="1" applyFill="1" applyBorder="1" applyAlignment="1" applyProtection="1">
      <alignment horizontal="left" vertical="center"/>
      <protection locked="0"/>
    </xf>
    <xf numFmtId="1" fontId="37" fillId="3" borderId="1" xfId="0" applyNumberFormat="1" applyFont="1" applyFill="1" applyBorder="1" applyAlignment="1" applyProtection="1">
      <alignment vertical="center"/>
      <protection locked="0"/>
    </xf>
    <xf numFmtId="0" fontId="27" fillId="0" borderId="0" xfId="0" applyFont="1" applyAlignment="1" applyProtection="1">
      <alignment horizontal="left"/>
      <protection locked="0"/>
    </xf>
    <xf numFmtId="184" fontId="20" fillId="0" borderId="0" xfId="0" applyNumberFormat="1" applyFont="1" applyAlignment="1" applyProtection="1">
      <alignment horizontal="left"/>
      <protection locked="0"/>
    </xf>
    <xf numFmtId="166" fontId="20" fillId="0" borderId="0" xfId="0" applyNumberFormat="1" applyFont="1" applyProtection="1">
      <protection locked="0"/>
    </xf>
    <xf numFmtId="166" fontId="20" fillId="0" borderId="0" xfId="0" applyNumberFormat="1" applyFont="1" applyBorder="1" applyProtection="1">
      <protection locked="0"/>
    </xf>
    <xf numFmtId="1" fontId="37" fillId="3" borderId="1" xfId="0" applyNumberFormat="1" applyFont="1" applyFill="1" applyBorder="1" applyAlignment="1" applyProtection="1">
      <alignment horizontal="left" vertical="center"/>
      <protection locked="0"/>
    </xf>
    <xf numFmtId="0" fontId="38" fillId="3" borderId="0" xfId="0" applyFont="1" applyFill="1" applyAlignment="1" applyProtection="1">
      <alignment vertical="center"/>
      <protection locked="0"/>
    </xf>
    <xf numFmtId="0" fontId="45" fillId="0" borderId="0" xfId="6" applyFont="1" applyProtection="1">
      <protection locked="0"/>
    </xf>
    <xf numFmtId="0" fontId="10" fillId="0" borderId="0" xfId="6" applyProtection="1">
      <protection locked="0"/>
    </xf>
    <xf numFmtId="0" fontId="2" fillId="0" borderId="0" xfId="6" applyFont="1" applyProtection="1">
      <protection locked="0"/>
    </xf>
    <xf numFmtId="164" fontId="10" fillId="0" borderId="0" xfId="6" applyNumberFormat="1" applyProtection="1">
      <protection locked="0"/>
    </xf>
    <xf numFmtId="0" fontId="4" fillId="0" borderId="0" xfId="6" applyFont="1" applyProtection="1">
      <protection locked="0"/>
    </xf>
    <xf numFmtId="0" fontId="16" fillId="0" borderId="0" xfId="6" applyFont="1" applyProtection="1">
      <protection locked="0"/>
    </xf>
    <xf numFmtId="0" fontId="27" fillId="0" borderId="0" xfId="6" applyFont="1" applyProtection="1">
      <protection locked="0"/>
    </xf>
    <xf numFmtId="0" fontId="7" fillId="0" borderId="0" xfId="6" applyFont="1" applyProtection="1">
      <protection locked="0"/>
    </xf>
    <xf numFmtId="0" fontId="8" fillId="0" borderId="0" xfId="6" applyFont="1" applyProtection="1">
      <protection locked="0"/>
    </xf>
    <xf numFmtId="0" fontId="10" fillId="0" borderId="0" xfId="6" applyNumberFormat="1" applyProtection="1">
      <protection locked="0"/>
    </xf>
    <xf numFmtId="0" fontId="24" fillId="0" borderId="0" xfId="0" applyFont="1" applyAlignment="1" applyProtection="1">
      <alignment horizontal="right"/>
      <protection locked="0"/>
    </xf>
    <xf numFmtId="0" fontId="24" fillId="0" borderId="0" xfId="0" applyNumberFormat="1" applyFont="1" applyAlignment="1" applyProtection="1">
      <alignment horizontal="right"/>
      <protection locked="0"/>
    </xf>
    <xf numFmtId="1" fontId="24" fillId="0" borderId="0" xfId="0" applyNumberFormat="1" applyFont="1" applyAlignment="1" applyProtection="1">
      <alignment horizontal="right"/>
      <protection locked="0"/>
    </xf>
    <xf numFmtId="0" fontId="5" fillId="0" borderId="0" xfId="6" applyFont="1" applyProtection="1">
      <protection locked="0"/>
    </xf>
    <xf numFmtId="0" fontId="23" fillId="3" borderId="1" xfId="0" applyFont="1" applyFill="1" applyBorder="1" applyAlignment="1" applyProtection="1">
      <alignment horizontal="left" vertical="center"/>
      <protection locked="0"/>
    </xf>
    <xf numFmtId="21" fontId="20" fillId="0" borderId="0" xfId="0" applyNumberFormat="1" applyFont="1" applyProtection="1">
      <protection locked="0"/>
    </xf>
    <xf numFmtId="178" fontId="11" fillId="0" borderId="0" xfId="0" applyNumberFormat="1" applyFont="1" applyProtection="1">
      <protection locked="0"/>
    </xf>
    <xf numFmtId="9" fontId="11" fillId="0" borderId="0" xfId="0" applyNumberFormat="1" applyFont="1" applyProtection="1">
      <protection locked="0"/>
    </xf>
    <xf numFmtId="0" fontId="27" fillId="2" borderId="4" xfId="0" applyFont="1" applyFill="1" applyBorder="1" applyProtection="1"/>
    <xf numFmtId="0" fontId="27" fillId="0" borderId="4" xfId="0" applyFont="1" applyBorder="1" applyProtection="1"/>
    <xf numFmtId="0" fontId="27" fillId="2" borderId="4" xfId="0" applyFont="1" applyFill="1" applyBorder="1" applyAlignment="1" applyProtection="1">
      <alignment horizontal="left" vertical="center"/>
    </xf>
    <xf numFmtId="0" fontId="24" fillId="0" borderId="0" xfId="0" applyFont="1" applyAlignment="1" applyProtection="1">
      <alignment vertical="center"/>
      <protection locked="0"/>
    </xf>
    <xf numFmtId="0" fontId="17" fillId="16" borderId="33" xfId="0" applyFont="1" applyFill="1" applyBorder="1" applyProtection="1">
      <protection locked="0"/>
    </xf>
    <xf numFmtId="0" fontId="17" fillId="16" borderId="0" xfId="0" applyFont="1" applyFill="1" applyBorder="1" applyProtection="1">
      <protection locked="0"/>
    </xf>
    <xf numFmtId="0" fontId="20" fillId="16" borderId="33" xfId="0" applyFont="1" applyFill="1" applyBorder="1" applyProtection="1">
      <protection locked="0"/>
    </xf>
    <xf numFmtId="0" fontId="20" fillId="16" borderId="6" xfId="0" applyFont="1" applyFill="1" applyBorder="1" applyProtection="1">
      <protection locked="0"/>
    </xf>
    <xf numFmtId="0" fontId="20" fillId="16" borderId="0" xfId="0" applyFont="1" applyFill="1" applyBorder="1" applyProtection="1">
      <protection locked="0"/>
    </xf>
    <xf numFmtId="0" fontId="20" fillId="16" borderId="0" xfId="0" applyNumberFormat="1" applyFont="1" applyFill="1" applyBorder="1" applyProtection="1">
      <protection locked="0"/>
    </xf>
    <xf numFmtId="0" fontId="20" fillId="16" borderId="36" xfId="0" applyNumberFormat="1" applyFont="1" applyFill="1" applyBorder="1" applyProtection="1">
      <protection locked="0"/>
    </xf>
    <xf numFmtId="0" fontId="20" fillId="17" borderId="37" xfId="0" applyFont="1" applyFill="1" applyBorder="1" applyProtection="1">
      <protection locked="0"/>
    </xf>
    <xf numFmtId="0" fontId="20" fillId="0" borderId="62" xfId="0" applyFont="1" applyBorder="1" applyProtection="1">
      <protection locked="0"/>
    </xf>
    <xf numFmtId="0" fontId="24" fillId="17" borderId="68" xfId="0" applyFont="1" applyFill="1" applyBorder="1" applyProtection="1">
      <protection locked="0"/>
    </xf>
    <xf numFmtId="0" fontId="24" fillId="17" borderId="71" xfId="0" applyFont="1" applyFill="1" applyBorder="1" applyProtection="1">
      <protection locked="0"/>
    </xf>
    <xf numFmtId="171" fontId="24" fillId="0" borderId="0" xfId="0" applyNumberFormat="1" applyFont="1" applyFill="1" applyBorder="1" applyAlignment="1" applyProtection="1">
      <alignment horizontal="left"/>
      <protection locked="0"/>
    </xf>
    <xf numFmtId="0" fontId="24" fillId="0" borderId="0" xfId="0" applyFont="1" applyFill="1" applyBorder="1" applyProtection="1">
      <protection locked="0"/>
    </xf>
    <xf numFmtId="0" fontId="17" fillId="0" borderId="33" xfId="0" applyFont="1" applyBorder="1" applyProtection="1">
      <protection locked="0"/>
    </xf>
    <xf numFmtId="0" fontId="20" fillId="0" borderId="36" xfId="0" applyNumberFormat="1" applyFont="1" applyBorder="1" applyProtection="1">
      <protection locked="0"/>
    </xf>
    <xf numFmtId="0" fontId="20" fillId="0" borderId="37" xfId="0" applyFont="1" applyBorder="1" applyProtection="1">
      <protection locked="0"/>
    </xf>
    <xf numFmtId="0" fontId="24" fillId="0" borderId="38" xfId="0" applyFont="1" applyBorder="1" applyProtection="1">
      <protection locked="0"/>
    </xf>
    <xf numFmtId="0" fontId="20" fillId="0" borderId="33" xfId="0" applyFont="1" applyBorder="1" applyProtection="1">
      <protection locked="0"/>
    </xf>
    <xf numFmtId="0" fontId="24" fillId="0" borderId="68" xfId="0" applyFont="1" applyBorder="1" applyProtection="1">
      <protection locked="0"/>
    </xf>
    <xf numFmtId="0" fontId="24" fillId="0" borderId="65" xfId="0" applyFont="1" applyBorder="1" applyProtection="1">
      <protection locked="0"/>
    </xf>
    <xf numFmtId="0" fontId="20" fillId="16" borderId="35" xfId="0" applyNumberFormat="1" applyFont="1" applyFill="1" applyBorder="1" applyProtection="1">
      <protection locked="0"/>
    </xf>
    <xf numFmtId="0" fontId="24" fillId="17" borderId="38" xfId="0" applyFont="1" applyFill="1" applyBorder="1" applyProtection="1">
      <protection locked="0"/>
    </xf>
    <xf numFmtId="0" fontId="20" fillId="0" borderId="63" xfId="0" applyFont="1" applyBorder="1" applyProtection="1">
      <protection locked="0"/>
    </xf>
    <xf numFmtId="0" fontId="24" fillId="17" borderId="65" xfId="0" applyFont="1" applyFill="1" applyBorder="1" applyProtection="1">
      <protection locked="0"/>
    </xf>
    <xf numFmtId="0" fontId="20" fillId="0" borderId="61" xfId="0" applyFont="1" applyBorder="1" applyProtection="1">
      <protection locked="0"/>
    </xf>
    <xf numFmtId="0" fontId="20" fillId="0" borderId="0" xfId="0" quotePrefix="1" applyNumberFormat="1" applyFont="1" applyProtection="1">
      <protection locked="0"/>
    </xf>
    <xf numFmtId="0" fontId="20" fillId="17" borderId="41" xfId="0" applyFont="1" applyFill="1" applyBorder="1" applyProtection="1">
      <protection locked="0"/>
    </xf>
    <xf numFmtId="0" fontId="20" fillId="17" borderId="42" xfId="0" applyFont="1" applyFill="1" applyBorder="1" applyProtection="1">
      <protection locked="0"/>
    </xf>
    <xf numFmtId="0" fontId="24" fillId="17" borderId="69" xfId="0" applyFont="1" applyFill="1" applyBorder="1" applyProtection="1">
      <protection locked="0"/>
    </xf>
    <xf numFmtId="0" fontId="24" fillId="17" borderId="66" xfId="0" applyFont="1" applyFill="1" applyBorder="1" applyProtection="1">
      <protection locked="0"/>
    </xf>
    <xf numFmtId="14" fontId="20" fillId="0" borderId="0" xfId="0" applyNumberFormat="1" applyFont="1" applyProtection="1">
      <protection locked="0"/>
    </xf>
    <xf numFmtId="0" fontId="20" fillId="0" borderId="64" xfId="0" applyFont="1" applyBorder="1" applyProtection="1">
      <protection locked="0"/>
    </xf>
    <xf numFmtId="189" fontId="24" fillId="0" borderId="0" xfId="0" applyNumberFormat="1" applyFont="1" applyProtection="1">
      <protection locked="0"/>
    </xf>
    <xf numFmtId="1" fontId="24" fillId="0" borderId="0" xfId="0" applyNumberFormat="1" applyFont="1"/>
    <xf numFmtId="2" fontId="24" fillId="0" borderId="0" xfId="0" applyNumberFormat="1" applyFont="1" applyProtection="1">
      <protection locked="0"/>
    </xf>
    <xf numFmtId="0" fontId="24" fillId="0" borderId="0" xfId="6" applyNumberFormat="1" applyFont="1" applyFill="1" applyProtection="1">
      <protection locked="0"/>
    </xf>
    <xf numFmtId="188" fontId="0" fillId="0" borderId="57" xfId="0" applyNumberFormat="1" applyBorder="1"/>
    <xf numFmtId="0" fontId="57" fillId="0" borderId="0" xfId="0" applyFont="1" applyFill="1" applyBorder="1" applyAlignment="1" applyProtection="1">
      <alignment horizontal="left" vertical="center"/>
      <protection locked="0"/>
    </xf>
    <xf numFmtId="0" fontId="57" fillId="0" borderId="0" xfId="0" applyFont="1" applyFill="1" applyBorder="1" applyProtection="1">
      <protection locked="0"/>
    </xf>
    <xf numFmtId="0" fontId="52" fillId="0" borderId="0" xfId="0" applyFont="1" applyFill="1" applyBorder="1" applyProtection="1">
      <protection locked="0"/>
    </xf>
    <xf numFmtId="0" fontId="57" fillId="0" borderId="0" xfId="0" applyFont="1" applyFill="1" applyBorder="1" applyAlignment="1" applyProtection="1">
      <alignment horizontal="left" vertical="center" indent="1"/>
      <protection locked="0"/>
    </xf>
    <xf numFmtId="0" fontId="24" fillId="0" borderId="0" xfId="0" applyNumberFormat="1" applyFont="1" applyAlignment="1" applyProtection="1">
      <alignment horizontal="left"/>
      <protection locked="0"/>
    </xf>
    <xf numFmtId="0" fontId="27" fillId="0" borderId="72" xfId="0" applyFont="1" applyBorder="1" applyProtection="1">
      <protection locked="0"/>
    </xf>
    <xf numFmtId="190" fontId="20" fillId="2" borderId="0" xfId="0" applyNumberFormat="1" applyFont="1" applyFill="1" applyProtection="1">
      <protection locked="0"/>
    </xf>
    <xf numFmtId="186" fontId="20" fillId="2" borderId="0" xfId="0" applyNumberFormat="1" applyFont="1" applyFill="1" applyProtection="1">
      <protection locked="0"/>
    </xf>
    <xf numFmtId="168" fontId="0" fillId="0" borderId="12" xfId="0" applyNumberFormat="1" applyBorder="1" applyAlignment="1">
      <alignment horizontal="left"/>
    </xf>
    <xf numFmtId="0" fontId="1" fillId="0" borderId="0" xfId="6" applyNumberFormat="1" applyFont="1" applyProtection="1">
      <protection locked="0"/>
    </xf>
    <xf numFmtId="0" fontId="56" fillId="0" borderId="72" xfId="6" applyFont="1" applyBorder="1" applyProtection="1">
      <protection locked="0"/>
    </xf>
    <xf numFmtId="0" fontId="24" fillId="0" borderId="72" xfId="0" applyFont="1" applyBorder="1" applyAlignment="1" applyProtection="1">
      <alignment vertical="center"/>
      <protection locked="0"/>
    </xf>
    <xf numFmtId="14" fontId="24" fillId="0" borderId="0" xfId="6" applyNumberFormat="1" applyFont="1" applyFill="1"/>
    <xf numFmtId="0" fontId="53" fillId="19" borderId="0" xfId="0" applyFont="1" applyFill="1" applyProtection="1">
      <protection locked="0"/>
    </xf>
    <xf numFmtId="14" fontId="24" fillId="0" borderId="0" xfId="0" applyNumberFormat="1" applyFont="1" applyAlignment="1">
      <alignment horizontal="left" wrapText="1"/>
    </xf>
    <xf numFmtId="0" fontId="24" fillId="0" borderId="0" xfId="0" applyFont="1" applyAlignment="1" applyProtection="1">
      <alignment horizontal="left" wrapText="1"/>
      <protection locked="0"/>
    </xf>
    <xf numFmtId="189" fontId="24" fillId="0" borderId="0" xfId="0" applyNumberFormat="1" applyFont="1" applyAlignment="1" applyProtection="1">
      <alignment horizontal="left" wrapText="1"/>
      <protection locked="0"/>
    </xf>
    <xf numFmtId="0" fontId="24" fillId="0" borderId="0" xfId="0" applyNumberFormat="1" applyFont="1" applyAlignment="1" applyProtection="1">
      <alignment horizontal="left" wrapText="1"/>
      <protection locked="0"/>
    </xf>
    <xf numFmtId="1" fontId="24" fillId="0" borderId="0" xfId="0" applyNumberFormat="1" applyFont="1" applyAlignment="1" applyProtection="1">
      <alignment horizontal="left" wrapText="1"/>
      <protection locked="0"/>
    </xf>
    <xf numFmtId="1" fontId="24" fillId="0" borderId="0" xfId="0" applyNumberFormat="1" applyFont="1" applyAlignment="1">
      <alignment horizontal="left" wrapText="1"/>
    </xf>
    <xf numFmtId="2" fontId="24" fillId="0" borderId="0" xfId="0" applyNumberFormat="1" applyFont="1" applyAlignment="1" applyProtection="1">
      <alignment horizontal="left" wrapText="1"/>
      <protection locked="0"/>
    </xf>
    <xf numFmtId="0" fontId="24" fillId="0" borderId="0" xfId="6" applyNumberFormat="1" applyFont="1" applyFill="1" applyAlignment="1" applyProtection="1">
      <alignment horizontal="left" wrapText="1"/>
      <protection locked="0"/>
    </xf>
    <xf numFmtId="14" fontId="10" fillId="0" borderId="0" xfId="6" applyNumberFormat="1" applyProtection="1">
      <protection locked="0"/>
    </xf>
    <xf numFmtId="14" fontId="17" fillId="0" borderId="0" xfId="0" applyNumberFormat="1" applyFont="1" applyFill="1" applyProtection="1">
      <protection locked="0"/>
    </xf>
    <xf numFmtId="168" fontId="17" fillId="2" borderId="0" xfId="0" applyNumberFormat="1" applyFont="1" applyFill="1" applyBorder="1" applyProtection="1">
      <protection locked="0"/>
    </xf>
    <xf numFmtId="168" fontId="20" fillId="2" borderId="0" xfId="0" applyNumberFormat="1" applyFont="1" applyFill="1" applyProtection="1">
      <protection locked="0"/>
    </xf>
    <xf numFmtId="164" fontId="0" fillId="0" borderId="16" xfId="0" applyNumberFormat="1" applyBorder="1"/>
    <xf numFmtId="1" fontId="0" fillId="0" borderId="18" xfId="0" applyNumberFormat="1" applyBorder="1"/>
    <xf numFmtId="3" fontId="59" fillId="0" borderId="0" xfId="0" applyNumberFormat="1" applyFont="1" applyAlignment="1" applyProtection="1">
      <alignment horizontal="left"/>
      <protection locked="0"/>
    </xf>
    <xf numFmtId="166" fontId="59" fillId="0" borderId="0" xfId="0" applyNumberFormat="1" applyFont="1" applyAlignment="1" applyProtection="1">
      <alignment horizontal="left"/>
      <protection locked="0"/>
    </xf>
    <xf numFmtId="1" fontId="59" fillId="0" borderId="0" xfId="0" applyNumberFormat="1" applyFont="1" applyAlignment="1" applyProtection="1">
      <alignment horizontal="left"/>
      <protection locked="0"/>
    </xf>
    <xf numFmtId="184" fontId="58" fillId="0" borderId="44" xfId="0" applyNumberFormat="1" applyFont="1" applyBorder="1" applyAlignment="1" applyProtection="1">
      <alignment horizontal="left"/>
      <protection locked="0"/>
    </xf>
    <xf numFmtId="0" fontId="0" fillId="0" borderId="0" xfId="0" applyBorder="1" applyProtection="1">
      <protection locked="0"/>
    </xf>
    <xf numFmtId="0" fontId="20" fillId="2" borderId="0" xfId="0" applyFont="1" applyFill="1" applyBorder="1" applyProtection="1">
      <protection locked="0"/>
    </xf>
    <xf numFmtId="0" fontId="52" fillId="0" borderId="0" xfId="0" applyFont="1" applyFill="1" applyBorder="1" applyAlignment="1" applyProtection="1">
      <alignment horizontal="left" wrapText="1"/>
      <protection locked="0"/>
    </xf>
    <xf numFmtId="166" fontId="58" fillId="0" borderId="45" xfId="0" applyNumberFormat="1" applyFont="1" applyBorder="1" applyProtection="1">
      <protection locked="0"/>
    </xf>
    <xf numFmtId="0" fontId="23" fillId="2" borderId="5" xfId="0" applyFont="1" applyFill="1" applyBorder="1" applyAlignment="1" applyProtection="1">
      <alignment horizontal="left" vertical="center"/>
    </xf>
    <xf numFmtId="0" fontId="23" fillId="0" borderId="5" xfId="0" applyFont="1" applyFill="1" applyBorder="1" applyAlignment="1" applyProtection="1">
      <alignment horizontal="left" vertical="center"/>
    </xf>
    <xf numFmtId="0" fontId="42" fillId="0" borderId="75" xfId="0" applyFont="1" applyBorder="1" applyProtection="1"/>
    <xf numFmtId="1" fontId="42" fillId="2" borderId="73" xfId="0" applyNumberFormat="1" applyFont="1" applyFill="1" applyBorder="1" applyAlignment="1" applyProtection="1">
      <alignment horizontal="right"/>
    </xf>
    <xf numFmtId="0" fontId="27" fillId="2" borderId="0" xfId="0" applyFont="1" applyFill="1" applyAlignment="1" applyProtection="1">
      <alignment horizontal="right"/>
    </xf>
    <xf numFmtId="0" fontId="27" fillId="2" borderId="0" xfId="0" applyFont="1" applyFill="1" applyAlignment="1" applyProtection="1"/>
    <xf numFmtId="0" fontId="27" fillId="2" borderId="0" xfId="0" applyFont="1" applyFill="1" applyProtection="1"/>
    <xf numFmtId="1" fontId="42" fillId="2" borderId="75" xfId="0" applyNumberFormat="1" applyFont="1" applyFill="1" applyBorder="1" applyAlignment="1" applyProtection="1">
      <alignment horizontal="right"/>
    </xf>
    <xf numFmtId="0" fontId="28" fillId="2" borderId="0" xfId="0" applyFont="1" applyFill="1" applyAlignment="1" applyProtection="1">
      <alignment horizontal="left"/>
    </xf>
    <xf numFmtId="0" fontId="28" fillId="0" borderId="0" xfId="0" applyFont="1" applyAlignment="1" applyProtection="1">
      <alignment horizontal="left"/>
    </xf>
    <xf numFmtId="0" fontId="28" fillId="0" borderId="0" xfId="0" applyFont="1" applyProtection="1"/>
    <xf numFmtId="0" fontId="42" fillId="0" borderId="74" xfId="0" applyFont="1" applyBorder="1" applyProtection="1"/>
    <xf numFmtId="165" fontId="43" fillId="2" borderId="0" xfId="0" applyNumberFormat="1" applyFont="1" applyFill="1" applyAlignment="1" applyProtection="1">
      <alignment horizontal="center" vertical="center"/>
    </xf>
    <xf numFmtId="0" fontId="42" fillId="2" borderId="74" xfId="0" applyFont="1" applyFill="1" applyBorder="1" applyProtection="1"/>
    <xf numFmtId="0" fontId="42" fillId="2" borderId="75" xfId="0" applyFont="1" applyFill="1" applyBorder="1" applyProtection="1"/>
    <xf numFmtId="0" fontId="44" fillId="0" borderId="0" xfId="0" quotePrefix="1" applyFont="1" applyAlignment="1" applyProtection="1">
      <alignment horizontal="left"/>
    </xf>
    <xf numFmtId="0" fontId="27" fillId="0" borderId="0" xfId="0" applyFont="1" applyProtection="1"/>
    <xf numFmtId="0" fontId="27" fillId="0" borderId="5" xfId="0" applyFont="1" applyBorder="1" applyProtection="1"/>
    <xf numFmtId="0" fontId="20" fillId="0" borderId="5" xfId="0" applyFont="1" applyBorder="1" applyProtection="1"/>
    <xf numFmtId="0" fontId="27" fillId="0" borderId="42" xfId="0" applyFont="1" applyBorder="1" applyProtection="1"/>
    <xf numFmtId="0" fontId="20" fillId="0" borderId="48" xfId="0" applyFont="1" applyBorder="1" applyProtection="1"/>
    <xf numFmtId="0" fontId="27" fillId="0" borderId="48" xfId="0" applyFont="1" applyBorder="1" applyProtection="1"/>
    <xf numFmtId="0" fontId="20" fillId="0" borderId="41" xfId="0" applyFont="1" applyBorder="1" applyProtection="1"/>
    <xf numFmtId="0" fontId="27" fillId="0" borderId="40" xfId="0" applyFont="1" applyBorder="1" applyProtection="1"/>
    <xf numFmtId="0" fontId="20" fillId="0" borderId="20" xfId="0" applyFont="1" applyBorder="1" applyProtection="1"/>
    <xf numFmtId="0" fontId="27" fillId="0" borderId="20" xfId="0" applyFont="1" applyBorder="1" applyProtection="1"/>
    <xf numFmtId="0" fontId="20" fillId="0" borderId="39" xfId="0" applyFont="1" applyBorder="1" applyProtection="1"/>
    <xf numFmtId="0" fontId="27" fillId="0" borderId="49" xfId="0" applyFont="1" applyBorder="1" applyProtection="1"/>
    <xf numFmtId="0" fontId="27" fillId="2" borderId="0" xfId="0" applyFont="1" applyFill="1" applyBorder="1" applyProtection="1"/>
    <xf numFmtId="0" fontId="27" fillId="2" borderId="50" xfId="0" applyFont="1" applyFill="1" applyBorder="1" applyProtection="1"/>
    <xf numFmtId="0" fontId="27" fillId="2" borderId="51" xfId="0" applyFont="1" applyFill="1" applyBorder="1" applyAlignment="1" applyProtection="1">
      <alignment vertical="center"/>
    </xf>
    <xf numFmtId="0" fontId="27" fillId="2" borderId="10" xfId="0" applyFont="1" applyFill="1" applyBorder="1" applyAlignment="1" applyProtection="1">
      <alignment vertical="center"/>
    </xf>
    <xf numFmtId="0" fontId="23" fillId="2" borderId="10" xfId="0" applyFont="1" applyFill="1" applyBorder="1" applyAlignment="1" applyProtection="1">
      <alignment vertical="center"/>
    </xf>
    <xf numFmtId="0" fontId="55" fillId="0" borderId="52" xfId="0" applyFont="1" applyBorder="1" applyAlignment="1" applyProtection="1">
      <alignment horizontal="center"/>
    </xf>
    <xf numFmtId="0" fontId="27" fillId="2" borderId="51" xfId="0" applyFont="1" applyFill="1" applyBorder="1" applyAlignment="1" applyProtection="1">
      <alignment vertical="center" wrapText="1"/>
    </xf>
    <xf numFmtId="0" fontId="58" fillId="2" borderId="10" xfId="0" applyFont="1" applyFill="1" applyBorder="1" applyAlignment="1" applyProtection="1">
      <alignment horizontal="center"/>
    </xf>
    <xf numFmtId="0" fontId="23" fillId="2" borderId="10" xfId="0" applyFont="1" applyFill="1" applyBorder="1" applyAlignment="1" applyProtection="1">
      <alignment horizontal="left" vertical="center"/>
    </xf>
    <xf numFmtId="0" fontId="20" fillId="2" borderId="10" xfId="0" applyFont="1" applyFill="1" applyBorder="1" applyAlignment="1" applyProtection="1">
      <alignment horizontal="center"/>
    </xf>
    <xf numFmtId="0" fontId="20" fillId="0" borderId="52" xfId="0" applyFont="1" applyBorder="1" applyProtection="1"/>
    <xf numFmtId="0" fontId="27" fillId="2" borderId="53" xfId="0" applyFont="1" applyFill="1" applyBorder="1" applyAlignment="1" applyProtection="1">
      <alignment vertical="center"/>
    </xf>
    <xf numFmtId="0" fontId="58" fillId="2" borderId="11" xfId="0" applyFont="1" applyFill="1" applyBorder="1" applyAlignment="1" applyProtection="1">
      <alignment horizontal="center"/>
    </xf>
    <xf numFmtId="0" fontId="23" fillId="2" borderId="11" xfId="0" applyFont="1" applyFill="1" applyBorder="1" applyAlignment="1" applyProtection="1">
      <alignment horizontal="left" vertical="center"/>
    </xf>
    <xf numFmtId="0" fontId="20" fillId="2" borderId="11" xfId="0" applyFont="1" applyFill="1" applyBorder="1" applyAlignment="1" applyProtection="1">
      <alignment horizontal="center"/>
    </xf>
    <xf numFmtId="0" fontId="20" fillId="0" borderId="54" xfId="0" applyFont="1" applyBorder="1" applyProtection="1"/>
    <xf numFmtId="0" fontId="27" fillId="2" borderId="55" xfId="0" applyFont="1" applyFill="1" applyBorder="1" applyAlignment="1" applyProtection="1">
      <alignment vertical="center"/>
    </xf>
    <xf numFmtId="0" fontId="20" fillId="2" borderId="56" xfId="0" applyFont="1" applyFill="1" applyBorder="1" applyAlignment="1" applyProtection="1">
      <alignment horizontal="center"/>
    </xf>
    <xf numFmtId="0" fontId="27" fillId="0" borderId="56" xfId="0" applyFont="1" applyBorder="1" applyProtection="1"/>
    <xf numFmtId="0" fontId="20" fillId="0" borderId="56" xfId="0" applyFont="1" applyBorder="1" applyProtection="1"/>
    <xf numFmtId="0" fontId="40" fillId="0" borderId="39" xfId="0" applyFont="1" applyFill="1" applyBorder="1" applyProtection="1"/>
    <xf numFmtId="0" fontId="27" fillId="2" borderId="38" xfId="0" applyFont="1" applyFill="1" applyBorder="1" applyAlignment="1" applyProtection="1">
      <alignment vertical="center"/>
    </xf>
    <xf numFmtId="0" fontId="17" fillId="0" borderId="47" xfId="0" applyFont="1" applyBorder="1" applyProtection="1"/>
    <xf numFmtId="0" fontId="27" fillId="0" borderId="47" xfId="0" applyFont="1" applyBorder="1" applyProtection="1"/>
    <xf numFmtId="0" fontId="27" fillId="2" borderId="47" xfId="0" applyFont="1" applyFill="1" applyBorder="1" applyAlignment="1" applyProtection="1">
      <alignment horizontal="center"/>
    </xf>
    <xf numFmtId="0" fontId="20" fillId="0" borderId="47" xfId="0" applyFont="1" applyBorder="1" applyProtection="1"/>
    <xf numFmtId="0" fontId="27" fillId="2" borderId="37" xfId="0" applyFont="1" applyFill="1" applyBorder="1" applyAlignment="1" applyProtection="1">
      <alignment horizontal="center"/>
    </xf>
    <xf numFmtId="0" fontId="27" fillId="2" borderId="4" xfId="0" applyFont="1" applyFill="1" applyBorder="1" applyAlignment="1" applyProtection="1">
      <alignment vertical="center"/>
    </xf>
    <xf numFmtId="166" fontId="58" fillId="0" borderId="0" xfId="0" applyNumberFormat="1" applyFont="1" applyAlignment="1" applyProtection="1">
      <alignment horizontal="center" vertical="center"/>
    </xf>
    <xf numFmtId="0" fontId="23" fillId="2" borderId="0" xfId="0" applyFont="1" applyFill="1" applyAlignment="1" applyProtection="1">
      <alignment horizontal="right" vertical="center"/>
    </xf>
    <xf numFmtId="0" fontId="20" fillId="0" borderId="0" xfId="0" applyFont="1" applyProtection="1"/>
    <xf numFmtId="0" fontId="27" fillId="2" borderId="5" xfId="0" applyFont="1" applyFill="1" applyBorder="1" applyAlignment="1" applyProtection="1">
      <alignment horizontal="center"/>
    </xf>
    <xf numFmtId="0" fontId="27" fillId="2" borderId="0" xfId="0" applyFont="1" applyFill="1" applyAlignment="1" applyProtection="1">
      <alignment horizontal="center"/>
    </xf>
    <xf numFmtId="0" fontId="52" fillId="0" borderId="0" xfId="0" applyFont="1" applyFill="1" applyAlignment="1" applyProtection="1">
      <alignment horizontal="left" wrapText="1"/>
    </xf>
    <xf numFmtId="0" fontId="52" fillId="0" borderId="0" xfId="0" applyFont="1" applyFill="1" applyBorder="1" applyAlignment="1" applyProtection="1">
      <alignment horizontal="left" wrapText="1"/>
    </xf>
    <xf numFmtId="1" fontId="29" fillId="26" borderId="0" xfId="0" applyNumberFormat="1" applyFont="1" applyFill="1" applyBorder="1" applyAlignment="1" applyProtection="1">
      <alignment horizontal="left"/>
      <protection locked="0"/>
    </xf>
    <xf numFmtId="0" fontId="29" fillId="26" borderId="0" xfId="0" applyNumberFormat="1" applyFont="1" applyFill="1" applyBorder="1" applyAlignment="1" applyProtection="1">
      <alignment horizontal="left"/>
      <protection locked="0"/>
    </xf>
    <xf numFmtId="3" fontId="29" fillId="26" borderId="43" xfId="0" applyNumberFormat="1" applyFont="1" applyFill="1" applyBorder="1" applyAlignment="1" applyProtection="1">
      <alignment horizontal="left"/>
    </xf>
    <xf numFmtId="182" fontId="29" fillId="26" borderId="0" xfId="0" applyNumberFormat="1" applyFont="1" applyFill="1" applyBorder="1" applyAlignment="1" applyProtection="1">
      <alignment horizontal="left"/>
      <protection locked="0"/>
    </xf>
    <xf numFmtId="183" fontId="29" fillId="26" borderId="0" xfId="0" applyNumberFormat="1" applyFont="1" applyFill="1" applyBorder="1" applyAlignment="1" applyProtection="1">
      <alignment horizontal="left"/>
      <protection locked="0"/>
    </xf>
    <xf numFmtId="3" fontId="29" fillId="26" borderId="0" xfId="0" applyNumberFormat="1" applyFont="1" applyFill="1" applyBorder="1" applyAlignment="1" applyProtection="1">
      <alignment horizontal="left"/>
      <protection locked="0"/>
    </xf>
    <xf numFmtId="166" fontId="29" fillId="26" borderId="0" xfId="0" applyNumberFormat="1" applyFont="1" applyFill="1" applyBorder="1" applyAlignment="1" applyProtection="1">
      <alignment horizontal="left"/>
      <protection locked="0"/>
    </xf>
    <xf numFmtId="1" fontId="29" fillId="0" borderId="0" xfId="0" applyNumberFormat="1" applyFont="1" applyFill="1" applyBorder="1" applyAlignment="1" applyProtection="1">
      <alignment horizontal="left"/>
      <protection locked="0"/>
    </xf>
    <xf numFmtId="0" fontId="29" fillId="0" borderId="0" xfId="0" applyNumberFormat="1" applyFont="1" applyFill="1" applyBorder="1" applyAlignment="1" applyProtection="1">
      <alignment horizontal="left"/>
      <protection locked="0"/>
    </xf>
    <xf numFmtId="3" fontId="29" fillId="0" borderId="43" xfId="0" applyNumberFormat="1" applyFont="1" applyFill="1" applyBorder="1" applyAlignment="1" applyProtection="1">
      <alignment horizontal="left"/>
    </xf>
    <xf numFmtId="182" fontId="29" fillId="0" borderId="0" xfId="0" applyNumberFormat="1" applyFont="1" applyFill="1" applyBorder="1" applyAlignment="1" applyProtection="1">
      <alignment horizontal="left"/>
      <protection locked="0"/>
    </xf>
    <xf numFmtId="183" fontId="29" fillId="0" borderId="0" xfId="0" applyNumberFormat="1" applyFont="1" applyFill="1" applyBorder="1" applyAlignment="1" applyProtection="1">
      <alignment horizontal="left"/>
      <protection locked="0"/>
    </xf>
    <xf numFmtId="3" fontId="29" fillId="0" borderId="0" xfId="0" applyNumberFormat="1" applyFont="1" applyFill="1" applyBorder="1" applyAlignment="1" applyProtection="1">
      <alignment horizontal="left"/>
      <protection locked="0"/>
    </xf>
    <xf numFmtId="166" fontId="29" fillId="0" borderId="0" xfId="0" applyNumberFormat="1" applyFont="1" applyFill="1" applyBorder="1" applyAlignment="1" applyProtection="1">
      <alignment horizontal="left"/>
      <protection locked="0"/>
    </xf>
    <xf numFmtId="1" fontId="29" fillId="0" borderId="0" xfId="0" applyNumberFormat="1" applyFont="1" applyFill="1" applyAlignment="1" applyProtection="1">
      <alignment horizontal="left"/>
      <protection locked="0"/>
    </xf>
    <xf numFmtId="168" fontId="29" fillId="0" borderId="0" xfId="0" applyNumberFormat="1" applyFont="1" applyFill="1" applyAlignment="1" applyProtection="1">
      <alignment horizontal="left"/>
      <protection locked="0"/>
    </xf>
    <xf numFmtId="0" fontId="29" fillId="0" borderId="0" xfId="0" applyNumberFormat="1" applyFont="1" applyFill="1" applyAlignment="1" applyProtection="1">
      <alignment horizontal="left"/>
      <protection locked="0"/>
    </xf>
    <xf numFmtId="179" fontId="29" fillId="0" borderId="0" xfId="0" applyNumberFormat="1" applyFont="1" applyFill="1" applyAlignment="1" applyProtection="1">
      <alignment horizontal="left"/>
      <protection locked="0"/>
    </xf>
    <xf numFmtId="164" fontId="29" fillId="0" borderId="0" xfId="0" applyNumberFormat="1" applyFont="1" applyFill="1" applyAlignment="1" applyProtection="1">
      <alignment horizontal="left"/>
    </xf>
    <xf numFmtId="181" fontId="59" fillId="0" borderId="0" xfId="0" applyNumberFormat="1" applyFont="1" applyFill="1" applyAlignment="1" applyProtection="1">
      <alignment horizontal="left"/>
    </xf>
    <xf numFmtId="3" fontId="29" fillId="0" borderId="0" xfId="0" applyNumberFormat="1" applyFont="1" applyFill="1" applyAlignment="1" applyProtection="1">
      <alignment horizontal="left"/>
    </xf>
    <xf numFmtId="184" fontId="0" fillId="0" borderId="12" xfId="0" applyNumberFormat="1" applyBorder="1" applyAlignment="1">
      <alignment horizontal="left"/>
    </xf>
    <xf numFmtId="0" fontId="27" fillId="0" borderId="0" xfId="0" quotePrefix="1" applyFont="1" applyBorder="1" applyAlignment="1" applyProtection="1">
      <alignment horizontal="center"/>
      <protection locked="0"/>
    </xf>
    <xf numFmtId="0" fontId="27" fillId="2" borderId="0" xfId="0" applyFont="1" applyFill="1" applyBorder="1" applyProtection="1">
      <protection locked="0"/>
    </xf>
    <xf numFmtId="0" fontId="20" fillId="8" borderId="0" xfId="0" applyFont="1" applyFill="1" applyBorder="1" applyAlignment="1" applyProtection="1">
      <alignment horizontal="left" vertical="top" wrapText="1"/>
      <protection locked="0"/>
    </xf>
    <xf numFmtId="0" fontId="20" fillId="8" borderId="0" xfId="0" applyFont="1" applyFill="1" applyBorder="1" applyAlignment="1" applyProtection="1">
      <alignment horizontal="left" vertical="top"/>
      <protection locked="0"/>
    </xf>
    <xf numFmtId="0" fontId="27" fillId="6" borderId="0" xfId="0" applyFont="1" applyFill="1" applyBorder="1" applyProtection="1">
      <protection locked="0"/>
    </xf>
    <xf numFmtId="0" fontId="27" fillId="6" borderId="0" xfId="0" applyFont="1" applyFill="1" applyProtection="1">
      <protection locked="0"/>
    </xf>
    <xf numFmtId="0" fontId="27" fillId="6" borderId="36" xfId="0" applyFont="1" applyFill="1" applyBorder="1" applyProtection="1">
      <protection locked="0"/>
    </xf>
    <xf numFmtId="0" fontId="27" fillId="8" borderId="34" xfId="0" applyFont="1" applyFill="1" applyBorder="1" applyAlignment="1" applyProtection="1">
      <alignment horizontal="left" vertical="top" wrapText="1"/>
      <protection locked="0"/>
    </xf>
    <xf numFmtId="0" fontId="27" fillId="8" borderId="34" xfId="0" applyFont="1" applyFill="1" applyBorder="1" applyAlignment="1" applyProtection="1">
      <alignment horizontal="left" vertical="top"/>
      <protection locked="0"/>
    </xf>
    <xf numFmtId="0" fontId="27" fillId="8" borderId="39" xfId="0" applyFont="1" applyFill="1" applyBorder="1" applyAlignment="1" applyProtection="1">
      <alignment horizontal="left" vertical="top" wrapText="1"/>
      <protection locked="0"/>
    </xf>
    <xf numFmtId="0" fontId="27" fillId="6" borderId="60" xfId="0" applyFont="1" applyFill="1" applyBorder="1" applyProtection="1">
      <protection locked="0"/>
    </xf>
    <xf numFmtId="0" fontId="27" fillId="8" borderId="67" xfId="0" applyFont="1" applyFill="1" applyBorder="1" applyAlignment="1" applyProtection="1">
      <alignment horizontal="left" vertical="top" wrapText="1"/>
      <protection locked="0"/>
    </xf>
    <xf numFmtId="0" fontId="27" fillId="8" borderId="70" xfId="0" applyFont="1" applyFill="1" applyBorder="1" applyAlignment="1" applyProtection="1">
      <alignment horizontal="left" vertical="top" wrapText="1"/>
      <protection locked="0"/>
    </xf>
    <xf numFmtId="0" fontId="1" fillId="0" borderId="0" xfId="6" applyFont="1" applyProtection="1">
      <protection locked="0"/>
    </xf>
    <xf numFmtId="0" fontId="17" fillId="7" borderId="0" xfId="0" applyFont="1" applyFill="1" applyBorder="1" applyAlignment="1" applyProtection="1">
      <alignment horizontal="left" vertical="top" wrapText="1" indent="1"/>
      <protection locked="0"/>
    </xf>
    <xf numFmtId="0" fontId="17" fillId="7" borderId="0" xfId="0" applyFont="1" applyFill="1" applyBorder="1" applyAlignment="1" applyProtection="1">
      <alignment horizontal="left" vertical="top" indent="1"/>
      <protection locked="0"/>
    </xf>
    <xf numFmtId="0" fontId="17" fillId="7" borderId="33" xfId="0" applyFont="1" applyFill="1" applyBorder="1" applyAlignment="1" applyProtection="1">
      <alignment horizontal="left" vertical="center" wrapText="1"/>
      <protection locked="0"/>
    </xf>
    <xf numFmtId="0" fontId="17" fillId="7" borderId="33" xfId="0" applyFont="1" applyFill="1" applyBorder="1" applyAlignment="1" applyProtection="1">
      <alignment vertical="top"/>
      <protection locked="0"/>
    </xf>
    <xf numFmtId="0" fontId="20" fillId="7" borderId="33" xfId="0" applyNumberFormat="1" applyFont="1" applyFill="1" applyBorder="1" applyAlignment="1" applyProtection="1">
      <alignment vertical="top"/>
      <protection locked="0"/>
    </xf>
    <xf numFmtId="0" fontId="17" fillId="7" borderId="0" xfId="0" applyFont="1" applyFill="1" applyBorder="1" applyAlignment="1" applyProtection="1">
      <alignment vertical="top"/>
      <protection locked="0"/>
    </xf>
    <xf numFmtId="0" fontId="1" fillId="0" borderId="72" xfId="6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20" fillId="20" borderId="72" xfId="0" applyFont="1" applyFill="1" applyBorder="1" applyProtection="1">
      <protection locked="0"/>
    </xf>
    <xf numFmtId="0" fontId="20" fillId="0" borderId="72" xfId="0" applyFont="1" applyBorder="1" applyProtection="1">
      <protection locked="0"/>
    </xf>
    <xf numFmtId="0" fontId="60" fillId="0" borderId="0" xfId="5" applyFont="1" applyFill="1" applyBorder="1" applyProtection="1">
      <protection locked="0"/>
    </xf>
    <xf numFmtId="0" fontId="20" fillId="21" borderId="72" xfId="0" applyFont="1" applyFill="1" applyBorder="1" applyProtection="1">
      <protection locked="0"/>
    </xf>
    <xf numFmtId="0" fontId="20" fillId="2" borderId="72" xfId="0" applyFont="1" applyFill="1" applyBorder="1" applyProtection="1">
      <protection locked="0"/>
    </xf>
    <xf numFmtId="0" fontId="17" fillId="7" borderId="0" xfId="0" applyFont="1" applyFill="1" applyBorder="1" applyAlignment="1" applyProtection="1">
      <alignment horizontal="left" vertical="center" wrapText="1"/>
      <protection locked="0"/>
    </xf>
    <xf numFmtId="0" fontId="20" fillId="7" borderId="0" xfId="0" applyNumberFormat="1" applyFont="1" applyFill="1" applyBorder="1" applyAlignment="1" applyProtection="1">
      <alignment vertical="top"/>
      <protection locked="0"/>
    </xf>
    <xf numFmtId="166" fontId="0" fillId="0" borderId="18" xfId="0" applyNumberFormat="1" applyBorder="1"/>
    <xf numFmtId="166" fontId="0" fillId="0" borderId="19" xfId="0" applyNumberFormat="1" applyBorder="1"/>
    <xf numFmtId="0" fontId="61" fillId="0" borderId="0" xfId="0" applyFont="1"/>
    <xf numFmtId="191" fontId="20" fillId="0" borderId="0" xfId="23" applyNumberFormat="1" applyFont="1" applyProtection="1">
      <protection locked="0"/>
    </xf>
    <xf numFmtId="191" fontId="20" fillId="0" borderId="0" xfId="0" applyNumberFormat="1" applyFont="1" applyProtection="1">
      <protection locked="0"/>
    </xf>
    <xf numFmtId="1" fontId="20" fillId="0" borderId="0" xfId="23" applyNumberFormat="1" applyFont="1" applyProtection="1">
      <protection locked="0"/>
    </xf>
    <xf numFmtId="0" fontId="20" fillId="0" borderId="0" xfId="0" applyFont="1" applyAlignment="1" applyProtection="1">
      <alignment horizontal="left"/>
      <protection locked="0"/>
    </xf>
    <xf numFmtId="9" fontId="20" fillId="0" borderId="0" xfId="23" applyFont="1" applyAlignment="1" applyProtection="1">
      <alignment horizontal="left"/>
      <protection locked="0"/>
    </xf>
    <xf numFmtId="9" fontId="20" fillId="0" borderId="0" xfId="0" applyNumberFormat="1" applyFont="1" applyAlignment="1" applyProtection="1">
      <alignment horizontal="left"/>
      <protection locked="0"/>
    </xf>
    <xf numFmtId="0" fontId="24" fillId="0" borderId="0" xfId="0" applyFont="1" applyAlignment="1" applyProtection="1">
      <alignment horizontal="left"/>
      <protection locked="0"/>
    </xf>
    <xf numFmtId="14" fontId="24" fillId="0" borderId="0" xfId="0" applyNumberFormat="1" applyFont="1" applyAlignment="1" applyProtection="1">
      <alignment horizontal="left"/>
      <protection locked="0"/>
    </xf>
    <xf numFmtId="14" fontId="51" fillId="0" borderId="0" xfId="0" applyNumberFormat="1" applyFont="1" applyAlignment="1" applyProtection="1">
      <alignment horizontal="left"/>
      <protection locked="0"/>
    </xf>
    <xf numFmtId="164" fontId="0" fillId="0" borderId="12" xfId="0" applyNumberFormat="1" applyBorder="1"/>
    <xf numFmtId="164" fontId="0" fillId="0" borderId="57" xfId="0" applyNumberFormat="1" applyBorder="1"/>
    <xf numFmtId="14" fontId="20" fillId="2" borderId="0" xfId="0" applyNumberFormat="1" applyFont="1" applyFill="1" applyProtection="1">
      <protection locked="0"/>
    </xf>
    <xf numFmtId="0" fontId="20" fillId="16" borderId="76" xfId="0" applyFont="1" applyFill="1" applyBorder="1"/>
    <xf numFmtId="0" fontId="20" fillId="16" borderId="77" xfId="0" applyFont="1" applyFill="1" applyBorder="1"/>
    <xf numFmtId="0" fontId="20" fillId="16" borderId="77" xfId="0" applyNumberFormat="1" applyFont="1" applyFill="1" applyBorder="1"/>
    <xf numFmtId="0" fontId="20" fillId="16" borderId="78" xfId="0" applyNumberFormat="1" applyFont="1" applyFill="1" applyBorder="1"/>
    <xf numFmtId="0" fontId="0" fillId="0" borderId="79" xfId="0" applyBorder="1"/>
    <xf numFmtId="188" fontId="0" fillId="0" borderId="79" xfId="0" applyNumberFormat="1" applyBorder="1"/>
    <xf numFmtId="188" fontId="0" fillId="0" borderId="80" xfId="0" applyNumberFormat="1" applyBorder="1"/>
    <xf numFmtId="188" fontId="0" fillId="0" borderId="81" xfId="0" applyNumberFormat="1" applyBorder="1"/>
    <xf numFmtId="177" fontId="0" fillId="0" borderId="79" xfId="0" applyNumberFormat="1" applyBorder="1"/>
    <xf numFmtId="177" fontId="0" fillId="0" borderId="81" xfId="0" applyNumberFormat="1" applyBorder="1"/>
    <xf numFmtId="168" fontId="29" fillId="26" borderId="0" xfId="0" applyNumberFormat="1" applyFont="1" applyFill="1" applyBorder="1" applyAlignment="1" applyProtection="1">
      <alignment horizontal="left"/>
      <protection locked="0"/>
    </xf>
    <xf numFmtId="179" fontId="29" fillId="26" borderId="0" xfId="0" applyNumberFormat="1" applyFont="1" applyFill="1" applyBorder="1" applyAlignment="1" applyProtection="1">
      <alignment horizontal="left"/>
      <protection locked="0"/>
    </xf>
    <xf numFmtId="164" fontId="29" fillId="26" borderId="0" xfId="0" applyNumberFormat="1" applyFont="1" applyFill="1" applyBorder="1" applyAlignment="1" applyProtection="1">
      <alignment horizontal="left"/>
    </xf>
    <xf numFmtId="181" fontId="59" fillId="26" borderId="0" xfId="0" applyNumberFormat="1" applyFont="1" applyFill="1" applyBorder="1" applyAlignment="1" applyProtection="1">
      <alignment horizontal="left"/>
    </xf>
    <xf numFmtId="3" fontId="29" fillId="26" borderId="0" xfId="0" applyNumberFormat="1" applyFont="1" applyFill="1" applyBorder="1" applyAlignment="1" applyProtection="1">
      <alignment horizontal="left"/>
    </xf>
    <xf numFmtId="185" fontId="0" fillId="0" borderId="79" xfId="0" applyNumberFormat="1" applyBorder="1"/>
    <xf numFmtId="1" fontId="0" fillId="0" borderId="82" xfId="0" applyNumberFormat="1" applyBorder="1" applyAlignment="1">
      <alignment horizontal="left" indent="1"/>
    </xf>
    <xf numFmtId="185" fontId="0" fillId="0" borderId="83" xfId="0" applyNumberFormat="1" applyBorder="1"/>
    <xf numFmtId="0" fontId="17" fillId="24" borderId="0" xfId="0" applyFont="1" applyFill="1" applyBorder="1" applyAlignment="1" applyProtection="1">
      <alignment horizontal="center"/>
      <protection locked="0"/>
    </xf>
    <xf numFmtId="0" fontId="17" fillId="25" borderId="0" xfId="0" applyFont="1" applyFill="1" applyBorder="1" applyAlignment="1" applyProtection="1">
      <alignment horizontal="center"/>
      <protection locked="0"/>
    </xf>
    <xf numFmtId="0" fontId="19" fillId="22" borderId="0" xfId="0" applyFont="1" applyFill="1" applyBorder="1" applyAlignment="1" applyProtection="1">
      <alignment horizontal="center"/>
      <protection locked="0"/>
    </xf>
    <xf numFmtId="0" fontId="17" fillId="23" borderId="0" xfId="0" applyFont="1" applyFill="1" applyBorder="1" applyAlignment="1" applyProtection="1">
      <alignment horizontal="center"/>
      <protection locked="0"/>
    </xf>
    <xf numFmtId="0" fontId="18" fillId="2" borderId="7" xfId="0" applyFont="1" applyFill="1" applyBorder="1" applyAlignment="1" applyProtection="1">
      <alignment horizontal="left" vertical="center"/>
    </xf>
    <xf numFmtId="0" fontId="18" fillId="2" borderId="8" xfId="0" applyFont="1" applyFill="1" applyBorder="1" applyAlignment="1" applyProtection="1">
      <alignment horizontal="left" vertical="center"/>
    </xf>
    <xf numFmtId="0" fontId="18" fillId="2" borderId="9" xfId="0" applyFont="1" applyFill="1" applyBorder="1" applyAlignment="1" applyProtection="1">
      <alignment horizontal="left" vertical="center"/>
    </xf>
    <xf numFmtId="0" fontId="48" fillId="2" borderId="0" xfId="5" applyFont="1" applyFill="1" applyBorder="1" applyAlignment="1" applyProtection="1">
      <alignment horizontal="left" vertical="center"/>
    </xf>
    <xf numFmtId="0" fontId="48" fillId="2" borderId="5" xfId="5" applyFont="1" applyFill="1" applyBorder="1" applyAlignment="1" applyProtection="1">
      <alignment horizontal="left" vertical="center"/>
    </xf>
    <xf numFmtId="0" fontId="27" fillId="2" borderId="0" xfId="0" applyFont="1" applyFill="1" applyBorder="1" applyAlignment="1" applyProtection="1">
      <alignment vertical="center"/>
    </xf>
    <xf numFmtId="0" fontId="27" fillId="2" borderId="5" xfId="0" applyFont="1" applyFill="1" applyBorder="1" applyAlignment="1" applyProtection="1">
      <alignment vertical="center"/>
    </xf>
    <xf numFmtId="165" fontId="20" fillId="0" borderId="0" xfId="0" applyNumberFormat="1" applyFont="1" applyAlignment="1" applyProtection="1">
      <alignment horizontal="left"/>
    </xf>
    <xf numFmtId="0" fontId="36" fillId="4" borderId="0" xfId="0" applyFont="1" applyFill="1" applyAlignment="1" applyProtection="1">
      <alignment horizontal="center" vertical="center"/>
      <protection locked="0"/>
    </xf>
    <xf numFmtId="0" fontId="27" fillId="0" borderId="0" xfId="0" applyFont="1" applyAlignment="1">
      <alignment horizontal="center"/>
    </xf>
  </cellXfs>
  <cellStyles count="24">
    <cellStyle name="ConditionalStyle_1" xfId="7" xr:uid="{9FBB2D1D-5CD3-489E-A89B-A67E3E529830}"/>
    <cellStyle name="Excel Built-in Comma" xfId="8" xr:uid="{F8E48156-6AEA-428A-A396-3517070EC33C}"/>
    <cellStyle name="Excel Built-in Hyperlink" xfId="4" xr:uid="{9FE7CBB2-9EC7-4625-B2EB-3B7C8E1311CB}"/>
    <cellStyle name="Excel Built-in Normal" xfId="9" xr:uid="{8F2CFB5B-696C-492C-A3CC-8F1EFDF9B3B6}"/>
    <cellStyle name="Excel Built-in Normal 1" xfId="1" xr:uid="{16450BE7-A347-4CF4-9F69-8F6CA68D4DFA}"/>
    <cellStyle name="Excel Built-in Normal 2" xfId="3" xr:uid="{94D6963E-711E-4B07-B218-B91626489826}"/>
    <cellStyle name="Excel Built-in Normal 3" xfId="10" xr:uid="{9817F735-33C6-47E9-8887-2979286CCB71}"/>
    <cellStyle name="Heading" xfId="11" xr:uid="{B0A55805-AEA5-4A6E-939B-6C8260332990}"/>
    <cellStyle name="Heading1" xfId="12" xr:uid="{9A80C4B7-75ED-476D-AFE9-2B84E3BF304B}"/>
    <cellStyle name="Hyperlink" xfId="5" builtinId="8"/>
    <cellStyle name="Normal" xfId="0" builtinId="0"/>
    <cellStyle name="Normal 2" xfId="2" xr:uid="{6A688435-53D6-4E59-BE82-D74970FF23E8}"/>
    <cellStyle name="Normal 3" xfId="6" xr:uid="{923712FC-597A-4DD6-A2AB-1C000EC22DDF}"/>
    <cellStyle name="Percent" xfId="23" builtinId="5"/>
    <cellStyle name="Result" xfId="13" xr:uid="{55FB3895-1121-48B2-8EB3-151F35B28F22}"/>
    <cellStyle name="Result2" xfId="14" xr:uid="{134C03C9-791F-40AE-9F72-BA5CB1C87ED3}"/>
    <cellStyle name="Untitled1" xfId="15" xr:uid="{B1008C50-93DD-4DD4-BEB6-C9477CD758F5}"/>
    <cellStyle name="Untitled2" xfId="16" xr:uid="{52212A27-C48E-4890-AA04-0EF72DB8C8C4}"/>
    <cellStyle name="Untitled3" xfId="17" xr:uid="{E1B311A7-EBB7-4509-AFC8-4AE21F502319}"/>
    <cellStyle name="Untitled4" xfId="18" xr:uid="{A98AF483-EE99-486C-A3D8-44CBFBAE7F5C}"/>
    <cellStyle name="Untitled5" xfId="19" xr:uid="{600B6D14-2F18-49DD-AD8F-B9AA361DED88}"/>
    <cellStyle name="Untitled6" xfId="20" xr:uid="{62858307-6CA7-452B-980C-96E706AA66FE}"/>
    <cellStyle name="Untitled7" xfId="21" xr:uid="{CDF04BB0-05FB-45CB-8A75-4A0B82B8A3CF}"/>
    <cellStyle name="Untitled8" xfId="22" xr:uid="{FA01B70E-6157-4BC0-BBE2-0F4A687C1645}"/>
  </cellStyles>
  <dxfs count="2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rial Nov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6" formatCode="0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6" formatCode="0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6" formatCode="0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2" formatCode="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2" formatCode="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2" formatCode="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3" formatCode="000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2" formatCode="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2" formatCode="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outline="0">
        <left style="thin">
          <color rgb="FFC7C7C7"/>
        </left>
        <right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rgb="FFC7C7C7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4" formatCode="[hh]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4" formatCode="[hh]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79" formatCode="ddd\ mmm/dd/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8" formatCode="mmm/dd/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border outline="0">
        <left style="thin">
          <color rgb="FFBEE296"/>
        </left>
        <right style="thin">
          <color rgb="FFBEE296"/>
        </right>
        <top style="thin">
          <color rgb="FFBEE296"/>
        </top>
        <bottom style="thin">
          <color rgb="FFBEE296"/>
        </bottom>
      </border>
    </dxf>
    <dxf>
      <font>
        <strike val="0"/>
        <outline val="0"/>
        <shadow val="0"/>
        <vertAlign val="baseline"/>
        <color theme="1"/>
        <family val="2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/>
          <bgColor theme="4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color theme="1"/>
        <family val="2"/>
      </font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6"/>
          <bgColor theme="6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 outline="0">
        <top style="thin">
          <color rgb="FFBEE296"/>
        </top>
      </border>
    </dxf>
    <dxf>
      <border outline="0">
        <bottom style="thin">
          <color rgb="FFBEE296"/>
        </bottom>
      </border>
    </dxf>
    <dxf>
      <font>
        <strike val="0"/>
        <outline val="0"/>
        <shadow val="0"/>
        <vertAlign val="baseline"/>
        <color theme="1"/>
      </font>
      <protection locked="0" hidden="0"/>
    </dxf>
    <dxf>
      <border outline="0">
        <bottom style="thin">
          <color rgb="FFBEE296"/>
        </bottom>
      </border>
    </dxf>
    <dxf>
      <font>
        <strike val="0"/>
        <outline val="0"/>
        <shadow val="0"/>
        <vertAlign val="baseline"/>
        <color theme="1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 outline="0">
        <left style="thin">
          <color rgb="FFBEE296"/>
        </left>
        <right style="thin">
          <color rgb="FFBEE296"/>
        </right>
        <top style="thin">
          <color rgb="FFBEE296"/>
        </top>
        <bottom style="thin">
          <color rgb="FFBEE29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rgb="FFEAF5DC"/>
          <bgColor rgb="FFEAF5DC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/>
          <bgColor theme="4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 outline="0">
        <left style="thin">
          <color rgb="FFBEE296"/>
        </left>
        <right style="thin">
          <color rgb="FFBEE296"/>
        </right>
        <top style="thin">
          <color rgb="FFBEE296"/>
        </top>
        <bottom style="thin">
          <color rgb="FFBEE29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rgb="FFEAF5DC"/>
          <bgColor rgb="FFEAF5DC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/>
          <bgColor theme="4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1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rgb="FF000000"/>
          <bgColor rgb="FFFFFFFF"/>
        </patternFill>
      </fill>
      <alignment horizontal="left" vertical="top" textRotation="0" wrapText="1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6"/>
          <bgColor theme="6"/>
        </patternFill>
      </fill>
      <alignment horizontal="left" vertical="top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0" formatCode="General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rgb="FF595959"/>
        </right>
        <top style="thin">
          <color rgb="FF595959"/>
        </top>
        <bottom style="thin">
          <color rgb="FF59595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19" formatCode="m/d/yyyy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180" formatCode="mmm\ dd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595959"/>
        </left>
        <right/>
        <top style="thin">
          <color rgb="FF595959"/>
        </top>
        <bottom style="thin">
          <color rgb="FF59595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19" formatCode="m/d/yyyy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outline="0">
        <left style="thin">
          <color rgb="FF595959"/>
        </left>
        <right style="thin">
          <color rgb="FF595959"/>
        </right>
        <top style="thin">
          <color rgb="FF595959"/>
        </top>
        <bottom style="thin">
          <color rgb="FF59595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19" formatCode="m/d/yyyy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19" formatCode="m/d/yyyy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" formatCode="0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89" formatCode="d\.hh:mm:ss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alignment horizontal="left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166" formatCode="0.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166" formatCode="0.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184" formatCode="mm/dd/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3" formatCode="#,##0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" formatCode="0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66" formatCode="0.0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3" formatCode="#,##0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8" formatCode="mmm/dd/yy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" formatCode="0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rial Nova"/>
        <family val="2"/>
        <scheme val="none"/>
      </font>
      <alignment horizontal="left" vertical="bottom" textRotation="0" wrapText="1" indent="0" justifyLastLine="0" shrinkToFit="0" readingOrder="0"/>
      <protection locked="0" hidden="0"/>
    </dxf>
    <dxf>
      <fill>
        <patternFill>
          <fgColor indexed="64"/>
          <bgColor rgb="FFFFC800"/>
        </patternFill>
      </fill>
    </dxf>
    <dxf>
      <fill>
        <patternFill>
          <fgColor indexed="64"/>
          <bgColor rgb="FFFF8000"/>
        </patternFill>
      </fill>
    </dxf>
    <dxf>
      <fill>
        <patternFill>
          <fgColor indexed="64"/>
          <bgColor rgb="FFFF8050"/>
        </patternFill>
      </fill>
    </dxf>
    <dxf>
      <fill>
        <patternFill>
          <fgColor indexed="64"/>
          <bgColor rgb="FFFFAA64"/>
        </patternFill>
      </fill>
    </dxf>
    <dxf>
      <fill>
        <patternFill>
          <fgColor indexed="64"/>
          <bgColor rgb="FFA61F34"/>
        </patternFill>
      </fill>
    </dxf>
    <dxf>
      <fill>
        <patternFill>
          <fgColor indexed="64"/>
          <bgColor rgb="FFD21F34"/>
        </patternFill>
      </fill>
    </dxf>
    <dxf>
      <fill>
        <patternFill>
          <fgColor indexed="64"/>
          <bgColor rgb="FF3B5998"/>
        </patternFill>
      </fill>
    </dxf>
    <dxf>
      <fill>
        <patternFill>
          <fgColor indexed="64"/>
          <bgColor rgb="FF00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  <protection locked="0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ova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ov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rgb="FF0064FF"/>
        <name val="Arial Nov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ov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rgb="FF0064FF"/>
        <name val="Arial Nov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border diagonalUp="0" diagonalDown="0">
        <left style="thin">
          <color theme="0" tint="-0.499984740745262"/>
        </left>
        <right/>
        <top/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12"/>
        <name val="Arial Nova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</border>
      <protection locked="1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9" formatCode="m/d/yyyy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/>
        <vertAlign val="baseline"/>
        <sz val="10"/>
        <color theme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ill>
        <patternFill patternType="none">
          <bgColor auto="1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 style="thin">
          <color rgb="FFBFBFBF"/>
        </vertical>
        <horizontal/>
      </border>
    </dxf>
    <dxf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 style="thin">
          <color rgb="FFBFBFBF"/>
        </horizontal>
      </border>
    </dxf>
    <dxf>
      <border>
        <left style="thin">
          <color rgb="FF515151"/>
        </left>
        <right style="thin">
          <color rgb="FF515151"/>
        </right>
        <top style="thin">
          <color rgb="FF515151"/>
        </top>
        <bottom style="thin">
          <color rgb="FF515151"/>
        </bottom>
        <vertical/>
        <horizontal style="thin">
          <color rgb="FF515151"/>
        </horizontal>
      </border>
    </dxf>
  </dxfs>
  <tableStyles count="3" defaultTableStyle="TableStyleMedium6" defaultPivotStyle="PivotStyleLight16">
    <tableStyle name="Event Table Style" pivot="0" count="1" xr9:uid="{C61ACA66-D61F-40F8-B9C3-21256535AC29}">
      <tableStyleElement type="wholeTable" dxfId="206"/>
    </tableStyle>
    <tableStyle name="Events Table Style 1" pivot="0" count="1" xr9:uid="{8482B0F8-E6CA-4DA7-98B0-D9B0468AEF7B}">
      <tableStyleElement type="wholeTable" dxfId="205"/>
    </tableStyle>
    <tableStyle name="Events_Table_Style" pivot="0" count="1" xr9:uid="{44004D5E-2F1A-4F79-8672-F175DB0748EC}">
      <tableStyleElement type="wholeTable" dxfId="204"/>
    </tableStyle>
  </tableStyles>
  <colors>
    <mruColors>
      <color rgb="FF0064FF"/>
      <color rgb="FF0078C8"/>
      <color rgb="FF002776"/>
      <color rgb="FF0A3161"/>
      <color rgb="FFFFFFFF"/>
      <color rgb="FFB31942"/>
      <color rgb="FF002712"/>
      <color rgb="FFFFDF00"/>
      <color rgb="FF009C3B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4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microsoft.com/office/2011/relationships/timelineCache" Target="timelineCaches/timelineCache1.xml"/><Relationship Id="rId35" Type="http://schemas.openxmlformats.org/officeDocument/2006/relationships/sheetMetadata" Target="metadata.xml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worksheet" Target="worksheets/sheet10.xml"/><Relationship Id="rId31" Type="http://schemas.openxmlformats.org/officeDocument/2006/relationships/theme" Target="theme/theme1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[STATriderV1.3.xlsm]PivotPlan!PivotPlan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92D050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FF0000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A5A5A5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FFC000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5B9BD5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70AD47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92D050">
                    <a:lumMod val="60000"/>
                  </a:srgbClr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8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AA6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61F3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D21F3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3B599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PivotPlan!$B$1:$B$3</c:f>
              <c:strCache>
                <c:ptCount val="1"/>
                <c:pt idx="0">
                  <c:v>Sum of Today Week - 0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PivotPlan!$A$4:$A$6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PivotPlan!$B$4:$B$6</c:f>
              <c:numCache>
                <c:formatCode>0.0000</c:formatCode>
                <c:ptCount val="1"/>
                <c:pt idx="0">
                  <c:v>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DF-4AAF-B645-0D072939B9DC}"/>
            </c:ext>
          </c:extLst>
        </c:ser>
        <c:ser>
          <c:idx val="1"/>
          <c:order val="1"/>
          <c:tx>
            <c:strRef>
              <c:f>PivotPlan!$C$1:$C$3</c:f>
              <c:strCache>
                <c:ptCount val="1"/>
                <c:pt idx="0">
                  <c:v>Sum of Actual Hrs2 - 0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PivotPlan!$A$4:$A$6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PivotPlan!$C$4:$C$6</c:f>
              <c:numCache>
                <c:formatCode>0.0000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DF-4AAF-B645-0D072939B9DC}"/>
            </c:ext>
          </c:extLst>
        </c:ser>
        <c:ser>
          <c:idx val="2"/>
          <c:order val="2"/>
          <c:tx>
            <c:strRef>
              <c:f>PivotPlan!$D$1:$D$3</c:f>
              <c:strCache>
                <c:ptCount val="1"/>
                <c:pt idx="0">
                  <c:v>Sum of Plan. Hrs Chart - 0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PivotPlan!$A$4:$A$6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PivotPlan!$D$4:$D$6</c:f>
              <c:numCache>
                <c:formatCode>0.0000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DF-4AAF-B645-0D072939B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845885408"/>
        <c:axId val="1845885824"/>
      </c:barChart>
      <c:catAx>
        <c:axId val="184588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885824"/>
        <c:crossesAt val="0"/>
        <c:auto val="1"/>
        <c:lblAlgn val="ctr"/>
        <c:lblOffset val="100"/>
        <c:noMultiLvlLbl val="0"/>
      </c:catAx>
      <c:valAx>
        <c:axId val="184588582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E1E1E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Hours /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hh]:mm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885408"/>
        <c:crosses val="autoZero"/>
        <c:crossBetween val="between"/>
        <c:majorUnit val="25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[STATriderV1.3.xlsm]PivotPowerTarget!PivotPowerTarget</c:name>
    <c:fmtId val="0"/>
  </c:pivotSource>
  <c:chart>
    <c:autoTitleDeleted val="1"/>
    <c:pivotFmts>
      <c:pivotFmt>
        <c:idx val="0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A6A6A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PivotPowerTarget!$B$1:$B$2</c:f>
              <c:strCache>
                <c:ptCount val="1"/>
                <c:pt idx="0">
                  <c:v>Sum of Power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multiLvlStrRef>
              <c:f>PivotPowerTarget!$A$3:$A$5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PivotPowerTarget!$B$3:$B$5</c:f>
              <c:numCache>
                <c:formatCode>#,###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F98-4555-BFC6-0301DC7530E9}"/>
            </c:ext>
          </c:extLst>
        </c:ser>
        <c:ser>
          <c:idx val="1"/>
          <c:order val="1"/>
          <c:tx>
            <c:strRef>
              <c:f>PivotPowerTarget!$C$1:$C$2</c:f>
              <c:strCache>
                <c:ptCount val="1"/>
                <c:pt idx="0">
                  <c:v>Sum of Power Goal</c:v>
                </c:pt>
              </c:strCache>
            </c:strRef>
          </c:tx>
          <c:spPr>
            <a:ln w="28575" cap="rnd">
              <a:solidFill>
                <a:srgbClr val="A6A6A6"/>
              </a:solidFill>
              <a:round/>
            </a:ln>
            <a:effectLst/>
          </c:spPr>
          <c:marker>
            <c:symbol val="none"/>
          </c:marker>
          <c:cat>
            <c:multiLvlStrRef>
              <c:f>PivotPowerTarget!$A$3:$A$5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PivotPowerTarget!$C$3:$C$5</c:f>
              <c:numCache>
                <c:formatCode>#,###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F98-4555-BFC6-0301DC753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928079"/>
        <c:axId val="1318930159"/>
      </c:lineChart>
      <c:catAx>
        <c:axId val="131892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30159"/>
        <c:crosses val="autoZero"/>
        <c:auto val="1"/>
        <c:lblAlgn val="ctr"/>
        <c:lblOffset val="100"/>
        <c:noMultiLvlLbl val="0"/>
      </c:catAx>
      <c:valAx>
        <c:axId val="1318930159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E1E1E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Watts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#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28079"/>
        <c:crosses val="autoZero"/>
        <c:crossBetween val="between"/>
        <c:majorUnit val="25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[STATriderV1.3.xlsm]PivotCalTarget!PivotCalTarget</c:name>
    <c:fmtId val="0"/>
  </c:pivotSource>
  <c:chart>
    <c:autoTitleDeleted val="1"/>
    <c:pivotFmts>
      <c:pivotFmt>
        <c:idx val="0"/>
        <c:spPr>
          <a:solidFill>
            <a:srgbClr val="FF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PivotCalTarget!$B$1:$B$2</c:f>
              <c:strCache>
                <c:ptCount val="1"/>
                <c:pt idx="0">
                  <c:v>Sum of Cal.</c:v>
                </c:pt>
              </c:strCache>
            </c:strRef>
          </c:tx>
          <c:spPr>
            <a:solidFill>
              <a:srgbClr val="FF8000"/>
            </a:solidFill>
            <a:ln>
              <a:noFill/>
            </a:ln>
            <a:effectLst/>
          </c:spPr>
          <c:invertIfNegative val="0"/>
          <c:cat>
            <c:multiLvlStrRef>
              <c:f>PivotCalTarget!$A$3:$A$5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PivotCalTarget!$B$3:$B$5</c:f>
              <c:numCache>
                <c:formatCode>#,###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1FF-41F6-8259-265F15893CEA}"/>
            </c:ext>
          </c:extLst>
        </c:ser>
        <c:ser>
          <c:idx val="1"/>
          <c:order val="1"/>
          <c:tx>
            <c:strRef>
              <c:f>PivotCalTarget!$C$1:$C$2</c:f>
              <c:strCache>
                <c:ptCount val="1"/>
                <c:pt idx="0">
                  <c:v>Sum of Cal. Goal Chart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cat>
            <c:multiLvlStrRef>
              <c:f>PivotCalTarget!$A$3:$A$5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PivotCalTarget!$C$3:$C$5</c:f>
              <c:numCache>
                <c:formatCode>#,###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FF-41F6-8259-265F15893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8930991"/>
        <c:axId val="1318938479"/>
      </c:barChart>
      <c:catAx>
        <c:axId val="1318930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38479"/>
        <c:crosses val="autoZero"/>
        <c:auto val="1"/>
        <c:lblAlgn val="ctr"/>
        <c:lblOffset val="100"/>
        <c:noMultiLvlLbl val="0"/>
      </c:catAx>
      <c:valAx>
        <c:axId val="1318938479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E1E1E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Calories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#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30991"/>
        <c:crosses val="autoZero"/>
        <c:crossBetween val="between"/>
        <c:majorUnit val="25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[STATriderV1.3.xlsm]PivotWeightTarget!PivotWeightTarget</c:name>
    <c:fmtId val="0"/>
  </c:pivotSource>
  <c:chart>
    <c:autoTitleDeleted val="1"/>
    <c:pivotFmts>
      <c:pivotFmt>
        <c:idx val="0"/>
        <c:spPr>
          <a:ln w="28575" cap="rnd">
            <a:solidFill>
              <a:srgbClr val="00FF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A6A6A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PivotWeightTarget!$B$1:$B$2</c:f>
              <c:strCache>
                <c:ptCount val="1"/>
                <c:pt idx="0">
                  <c:v>Sum of Weight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multiLvlStrRef>
              <c:f>PivotWeightTarget!$A$3:$A$5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PivotWeightTarget!$B$3:$B$5</c:f>
              <c:numCache>
                <c:formatCode>0.0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BC6-45A3-8A9D-C800E281683A}"/>
            </c:ext>
          </c:extLst>
        </c:ser>
        <c:ser>
          <c:idx val="1"/>
          <c:order val="1"/>
          <c:tx>
            <c:strRef>
              <c:f>PivotWeightTarget!$C$1:$C$2</c:f>
              <c:strCache>
                <c:ptCount val="1"/>
                <c:pt idx="0">
                  <c:v>Sum of Weight Goal</c:v>
                </c:pt>
              </c:strCache>
            </c:strRef>
          </c:tx>
          <c:spPr>
            <a:ln w="28575" cap="rnd">
              <a:solidFill>
                <a:srgbClr val="A6A6A6"/>
              </a:solidFill>
              <a:round/>
            </a:ln>
            <a:effectLst/>
          </c:spPr>
          <c:marker>
            <c:symbol val="none"/>
          </c:marker>
          <c:cat>
            <c:multiLvlStrRef>
              <c:f>PivotWeightTarget!$A$3:$A$5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PivotWeightTarget!$C$3:$C$5</c:f>
              <c:numCache>
                <c:formatCode>0.0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BC6-45A3-8A9D-C800E2816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6389887"/>
        <c:axId val="786387807"/>
      </c:lineChart>
      <c:catAx>
        <c:axId val="786389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87807"/>
        <c:crosses val="autoZero"/>
        <c:auto val="1"/>
        <c:lblAlgn val="ctr"/>
        <c:lblOffset val="100"/>
        <c:noMultiLvlLbl val="0"/>
      </c:catAx>
      <c:valAx>
        <c:axId val="786387807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E1E1E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lb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89887"/>
        <c:crosses val="autoZero"/>
        <c:crossBetween val="between"/>
        <c:majorUnit val="25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[STATriderV1.3.xlsm]PivotHRTarget!PivotHRTarget</c:name>
    <c:fmtId val="0"/>
  </c:pivotSource>
  <c:chart>
    <c:autoTitleDeleted val="1"/>
    <c:pivotFmts>
      <c:pivotFmt>
        <c:idx val="0"/>
        <c:spPr>
          <a:ln w="28575" cap="rnd">
            <a:solidFill>
              <a:srgbClr val="0000FF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A6A6A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PivotHRTarget!$B$1:$B$2</c:f>
              <c:strCache>
                <c:ptCount val="1"/>
                <c:pt idx="0">
                  <c:v>Sum of HR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multiLvlStrRef>
              <c:f>PivotHRTarget!$A$3:$A$5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PivotHRTarget!$B$3:$B$5</c:f>
              <c:numCache>
                <c:formatCode>#,###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F69-4693-B479-E9542656D4F9}"/>
            </c:ext>
          </c:extLst>
        </c:ser>
        <c:ser>
          <c:idx val="1"/>
          <c:order val="1"/>
          <c:tx>
            <c:strRef>
              <c:f>PivotHRTarget!$C$1:$C$2</c:f>
              <c:strCache>
                <c:ptCount val="1"/>
                <c:pt idx="0">
                  <c:v>Sum of HR Goal</c:v>
                </c:pt>
              </c:strCache>
            </c:strRef>
          </c:tx>
          <c:spPr>
            <a:ln w="28575" cap="rnd">
              <a:solidFill>
                <a:srgbClr val="A6A6A6"/>
              </a:solidFill>
              <a:round/>
            </a:ln>
            <a:effectLst/>
          </c:spPr>
          <c:marker>
            <c:symbol val="none"/>
          </c:marker>
          <c:cat>
            <c:multiLvlStrRef>
              <c:f>PivotHRTarget!$A$3:$A$5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PivotHRTarget!$C$3:$C$5</c:f>
              <c:numCache>
                <c:formatCode>#,###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F69-4693-B479-E9542656D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6391967"/>
        <c:axId val="786390303"/>
      </c:lineChart>
      <c:catAx>
        <c:axId val="786391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90303"/>
        <c:crosses val="autoZero"/>
        <c:auto val="1"/>
        <c:lblAlgn val="ctr"/>
        <c:lblOffset val="100"/>
        <c:noMultiLvlLbl val="0"/>
      </c:catAx>
      <c:valAx>
        <c:axId val="786390303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E1E1E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bpm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91967"/>
        <c:crosses val="autoZero"/>
        <c:crossBetween val="between"/>
        <c:majorUnit val="25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[STATriderV1.3.xlsm]PivotAddWeight!PivotAddWeight</c:name>
    <c:fmtId val="0"/>
  </c:pivotSource>
  <c:chart>
    <c:autoTitleDeleted val="1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8089835926907228E-2"/>
          <c:y val="8.9011445290650137E-2"/>
          <c:w val="0.89979326043960139"/>
          <c:h val="0.79844412891011574"/>
        </c:manualLayout>
      </c:layout>
      <c:lineChart>
        <c:grouping val="standard"/>
        <c:varyColors val="0"/>
        <c:ser>
          <c:idx val="0"/>
          <c:order val="0"/>
          <c:tx>
            <c:strRef>
              <c:f>PivotAddWeight!$B$1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multiLvlStrRef>
              <c:f>PivotAddWeight!$A$2:$A$3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PivotAddWeight!$B$2:$B$3</c:f>
              <c:numCache>
                <c:formatCode>#,###.0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AD3-4AC0-9EB3-38DE4F66F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1724559"/>
        <c:axId val="1885309039"/>
      </c:lineChart>
      <c:catAx>
        <c:axId val="851724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885309039"/>
        <c:crossesAt val="0"/>
        <c:auto val="1"/>
        <c:lblAlgn val="ctr"/>
        <c:lblOffset val="100"/>
        <c:noMultiLvlLbl val="0"/>
      </c:catAx>
      <c:valAx>
        <c:axId val="188530903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lb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#.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851724559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8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Gauges!$E$15</c:f>
              <c:strCache>
                <c:ptCount val="1"/>
                <c:pt idx="0">
                  <c:v>Goal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728-4984-94A2-531FB63C2A17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728-4984-94A2-531FB63C2A17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00FF00"/>
                  </a:gs>
                  <a:gs pos="100000">
                    <a:srgbClr val="89FF89"/>
                  </a:gs>
                </a:gsLst>
                <a:lin ang="54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728-4984-94A2-531FB63C2A17}"/>
              </c:ext>
            </c:extLst>
          </c:dPt>
          <c:dPt>
            <c:idx val="3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728-4984-94A2-531FB63C2A17}"/>
              </c:ext>
            </c:extLst>
          </c:dPt>
          <c:dPt>
            <c:idx val="4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728-4984-94A2-531FB63C2A17}"/>
              </c:ext>
            </c:extLst>
          </c:dPt>
          <c:dPt>
            <c:idx val="5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728-4984-94A2-531FB63C2A17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728-4984-94A2-531FB63C2A17}"/>
              </c:ext>
            </c:extLst>
          </c:dPt>
          <c:cat>
            <c:strRef>
              <c:f>Gauges!$A$16:$A$22</c:f>
              <c:strCache>
                <c:ptCount val="7"/>
                <c:pt idx="0">
                  <c:v>Underweight</c:v>
                </c:pt>
                <c:pt idx="1">
                  <c:v>Healthy weight</c:v>
                </c:pt>
                <c:pt idx="2">
                  <c:v>Goal</c:v>
                </c:pt>
                <c:pt idx="3">
                  <c:v>Healthy weight</c:v>
                </c:pt>
                <c:pt idx="4">
                  <c:v>Overweight</c:v>
                </c:pt>
                <c:pt idx="5">
                  <c:v>Obese</c:v>
                </c:pt>
                <c:pt idx="6">
                  <c:v>Blank</c:v>
                </c:pt>
              </c:strCache>
            </c:strRef>
          </c:cat>
          <c:val>
            <c:numRef>
              <c:f>Gauges!$E$16:$E$22</c:f>
              <c:numCache>
                <c:formatCode>0.0</c:formatCode>
                <c:ptCount val="7"/>
                <c:pt idx="0">
                  <c:v>18.399999999999999</c:v>
                </c:pt>
                <c:pt idx="1">
                  <c:v>2.5</c:v>
                </c:pt>
                <c:pt idx="2">
                  <c:v>1.3999999999999986</c:v>
                </c:pt>
                <c:pt idx="3">
                  <c:v>2.5</c:v>
                </c:pt>
                <c:pt idx="4">
                  <c:v>4.8999999999999986</c:v>
                </c:pt>
                <c:pt idx="5">
                  <c:v>13.5</c:v>
                </c:pt>
                <c:pt idx="6">
                  <c:v>10.799999999999999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728-4984-94A2-531FB63C2A17}"/>
            </c:ext>
          </c:extLst>
        </c:ser>
        <c:ser>
          <c:idx val="0"/>
          <c:order val="1"/>
          <c:tx>
            <c:strRef>
              <c:f>Gauges!$D$15</c:f>
              <c:strCache>
                <c:ptCount val="1"/>
                <c:pt idx="0">
                  <c:v>BMI</c:v>
                </c:pt>
              </c:strCache>
            </c:strRef>
          </c:tx>
          <c:spPr>
            <a:ln>
              <a:noFill/>
            </a:ln>
            <a:effectLst>
              <a:glow>
                <a:srgbClr val="00FF00">
                  <a:alpha val="40000"/>
                </a:srgbClr>
              </a:glow>
            </a:effectLst>
            <a:scene3d>
              <a:camera prst="orthographicFront"/>
              <a:lightRig rig="threePt" dir="t"/>
            </a:scene3d>
          </c:spPr>
          <c:dPt>
            <c:idx val="0"/>
            <c:bubble3D val="0"/>
            <c:spPr>
              <a:solidFill>
                <a:srgbClr val="FF00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0-A728-4984-94A2-531FB63C2A17}"/>
              </c:ext>
            </c:extLst>
          </c:dPt>
          <c:dPt>
            <c:idx val="1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2-A728-4984-94A2-531FB63C2A17}"/>
              </c:ext>
            </c:extLst>
          </c:dPt>
          <c:dPt>
            <c:idx val="2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4-A728-4984-94A2-531FB63C2A17}"/>
              </c:ext>
            </c:extLst>
          </c:dPt>
          <c:dPt>
            <c:idx val="3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6-A728-4984-94A2-531FB63C2A17}"/>
              </c:ext>
            </c:extLst>
          </c:dPt>
          <c:dPt>
            <c:idx val="4"/>
            <c:bubble3D val="0"/>
            <c:spPr>
              <a:solidFill>
                <a:srgbClr val="FF64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8-A728-4984-94A2-531FB63C2A17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A-A728-4984-94A2-531FB63C2A17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C-A728-4984-94A2-531FB63C2A17}"/>
              </c:ext>
            </c:extLst>
          </c:dPt>
          <c:cat>
            <c:strRef>
              <c:f>Gauges!$A$16:$A$22</c:f>
              <c:strCache>
                <c:ptCount val="7"/>
                <c:pt idx="0">
                  <c:v>Underweight</c:v>
                </c:pt>
                <c:pt idx="1">
                  <c:v>Healthy weight</c:v>
                </c:pt>
                <c:pt idx="2">
                  <c:v>Goal</c:v>
                </c:pt>
                <c:pt idx="3">
                  <c:v>Healthy weight</c:v>
                </c:pt>
                <c:pt idx="4">
                  <c:v>Overweight</c:v>
                </c:pt>
                <c:pt idx="5">
                  <c:v>Obese</c:v>
                </c:pt>
                <c:pt idx="6">
                  <c:v>Blank</c:v>
                </c:pt>
              </c:strCache>
            </c:strRef>
          </c:cat>
          <c:val>
            <c:numRef>
              <c:f>Gauges!$D$16:$D$22</c:f>
              <c:numCache>
                <c:formatCode>0.0</c:formatCode>
                <c:ptCount val="7"/>
                <c:pt idx="0">
                  <c:v>18.399999999999999</c:v>
                </c:pt>
                <c:pt idx="1">
                  <c:v>3.1999999999999993</c:v>
                </c:pt>
                <c:pt idx="3">
                  <c:v>3.1999999999999993</c:v>
                </c:pt>
                <c:pt idx="4">
                  <c:v>4.8999999999999986</c:v>
                </c:pt>
                <c:pt idx="5">
                  <c:v>13.5</c:v>
                </c:pt>
                <c:pt idx="6">
                  <c:v>10.799999999999999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728-4984-94A2-531FB63C2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15"/>
        <c:holeSize val="60"/>
      </c:doughnutChart>
      <c:spPr>
        <a:noFill/>
        <a:ln>
          <a:noFill/>
        </a:ln>
        <a:effectLst/>
        <a:scene3d>
          <a:camera prst="orthographicFront"/>
          <a:lightRig rig="threePt" dir="t"/>
        </a:scene3d>
        <a:sp3d>
          <a:bevelB w="6350"/>
        </a:sp3d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scene3d>
      <a:camera prst="orthographicFront"/>
      <a:lightRig rig="threePt" dir="t"/>
    </a:scene3d>
    <a:sp3d>
      <a:bevelB w="6350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Gauges!$C$30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1750" cap="rnd" cmpd="sng">
                <a:solidFill>
                  <a:srgbClr val="FF0000"/>
                </a:solidFill>
                <a:prstDash val="solid"/>
                <a:round/>
                <a:headEnd type="oval" w="lg" len="lg"/>
                <a:tailEnd type="stealth" w="sm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1-9780-46E6-AECD-17DCBF321261}"/>
              </c:ext>
            </c:extLst>
          </c:dPt>
          <c:xVal>
            <c:numRef>
              <c:f>Gauges!$B$31:$B$32</c:f>
              <c:numCache>
                <c:formatCode>0.00</c:formatCode>
                <c:ptCount val="2"/>
                <c:pt idx="0" formatCode="General">
                  <c:v>25</c:v>
                </c:pt>
                <c:pt idx="1">
                  <c:v>#N/A</c:v>
                </c:pt>
              </c:numCache>
            </c:numRef>
          </c:xVal>
          <c:yVal>
            <c:numRef>
              <c:f>Gauges!$C$31:$C$32</c:f>
              <c:numCache>
                <c:formatCode>0</c:formatCode>
                <c:ptCount val="2"/>
                <c:pt idx="0" formatCode="General">
                  <c:v>25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80-46E6-AECD-17DCBF321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5621888"/>
        <c:axId val="1115614672"/>
      </c:scatterChart>
      <c:valAx>
        <c:axId val="1115621888"/>
        <c:scaling>
          <c:orientation val="minMax"/>
          <c:max val="50"/>
          <c:min val="0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15614672"/>
        <c:crosses val="autoZero"/>
        <c:crossBetween val="midCat"/>
        <c:majorUnit val="1"/>
      </c:valAx>
      <c:valAx>
        <c:axId val="1115614672"/>
        <c:scaling>
          <c:orientation val="minMax"/>
          <c:max val="50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15621888"/>
        <c:crossesAt val="0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86035071328013E-2"/>
          <c:y val="0"/>
          <c:w val="0.83074969205871618"/>
          <c:h val="1"/>
        </c:manualLayout>
      </c:layout>
      <c:doughnutChart>
        <c:varyColors val="1"/>
        <c:ser>
          <c:idx val="0"/>
          <c:order val="0"/>
          <c:spPr>
            <a:ln w="3175">
              <a:noFill/>
            </a:ln>
          </c:spPr>
          <c:dPt>
            <c:idx val="0"/>
            <c:bubble3D val="0"/>
            <c:spPr>
              <a:noFill/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B7F-4EB6-BB5E-90B0FDB133B1}"/>
              </c:ext>
            </c:extLst>
          </c:dPt>
          <c:dPt>
            <c:idx val="1"/>
            <c:bubble3D val="0"/>
            <c:spPr>
              <a:solidFill>
                <a:srgbClr val="50FF00"/>
              </a:solidFill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B7F-4EB6-BB5E-90B0FDB133B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B7F-4EB6-BB5E-90B0FDB133B1}"/>
              </c:ext>
            </c:extLst>
          </c:dPt>
          <c:cat>
            <c:strRef>
              <c:f>Gauges!$A$3:$A$5</c:f>
              <c:strCache>
                <c:ptCount val="3"/>
                <c:pt idx="0">
                  <c:v>Weeks to Race Gap</c:v>
                </c:pt>
                <c:pt idx="1">
                  <c:v>Actual Week</c:v>
                </c:pt>
                <c:pt idx="2">
                  <c:v>#N/A</c:v>
                </c:pt>
              </c:strCache>
            </c:strRef>
          </c:cat>
          <c:val>
            <c:numRef>
              <c:f>Gauges!$B$3:$B$5</c:f>
              <c:numCache>
                <c:formatCode>General</c:formatCode>
                <c:ptCount val="3"/>
                <c:pt idx="0">
                  <c:v>9.4500000000000011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7F-4EB6-BB5E-90B0FDB13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24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[STATriderV1.3.xlsm]PivotSpeed!PivotSpeed</c:name>
    <c:fmtId val="0"/>
  </c:pivotSource>
  <c:chart>
    <c:autoTitleDeleted val="1"/>
    <c:pivotFmts>
      <c:pivotFmt>
        <c:idx val="0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E168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PivotSpeed!$B$1:$B$2</c:f>
              <c:strCache>
                <c:ptCount val="1"/>
                <c:pt idx="0">
                  <c:v>Sum of Speed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multiLvlStrRef>
              <c:f>PivotSpeed!$A$3:$A$5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PivotSpeed!$B$3:$B$5</c:f>
              <c:numCache>
                <c:formatCode>0.0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82C-4E61-8172-5EC2F90D1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51647"/>
        <c:axId val="789952895"/>
      </c:lineChart>
      <c:lineChart>
        <c:grouping val="standard"/>
        <c:varyColors val="0"/>
        <c:ser>
          <c:idx val="1"/>
          <c:order val="1"/>
          <c:tx>
            <c:strRef>
              <c:f>PivotSpeed!$C$1:$C$2</c:f>
              <c:strCache>
                <c:ptCount val="1"/>
                <c:pt idx="0">
                  <c:v>Sum of Climber Index</c:v>
                </c:pt>
              </c:strCache>
            </c:strRef>
          </c:tx>
          <c:spPr>
            <a:ln w="28575" cap="rnd">
              <a:solidFill>
                <a:srgbClr val="E1684B"/>
              </a:solidFill>
              <a:round/>
            </a:ln>
            <a:effectLst/>
          </c:spPr>
          <c:marker>
            <c:symbol val="none"/>
          </c:marker>
          <c:cat>
            <c:multiLvlStrRef>
              <c:f>PivotSpeed!$A$3:$A$5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PivotSpeed!$C$3:$C$5</c:f>
              <c:numCache>
                <c:formatCode>#,###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82C-4E61-8172-5EC2F90D1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47487"/>
        <c:axId val="789942911"/>
      </c:lineChart>
      <c:catAx>
        <c:axId val="78995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52895"/>
        <c:crosses val="autoZero"/>
        <c:auto val="1"/>
        <c:lblAlgn val="ctr"/>
        <c:lblOffset val="100"/>
        <c:noMultiLvlLbl val="0"/>
      </c:catAx>
      <c:valAx>
        <c:axId val="789952895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19191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mph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51647"/>
        <c:crosses val="autoZero"/>
        <c:crossBetween val="between"/>
        <c:majorUnit val="25"/>
      </c:valAx>
      <c:valAx>
        <c:axId val="789942911"/>
        <c:scaling>
          <c:orientation val="minMax"/>
          <c:max val="92"/>
          <c:min val="60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Climber 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47487"/>
        <c:crosses val="max"/>
        <c:crossBetween val="between"/>
        <c:majorUnit val="4"/>
      </c:valAx>
      <c:catAx>
        <c:axId val="7899474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9942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[STATriderV1.3.xlsm]PivotWeight!PivotWeight</c:name>
    <c:fmtId val="0"/>
  </c:pivotSource>
  <c:chart>
    <c:autoTitleDeleted val="1"/>
    <c:pivotFmts>
      <c:pivotFmt>
        <c:idx val="0"/>
        <c:spPr>
          <a:ln w="28575" cap="rnd">
            <a:solidFill>
              <a:srgbClr val="00FF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0000FF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PivotWeight!$B$1:$B$2</c:f>
              <c:strCache>
                <c:ptCount val="1"/>
                <c:pt idx="0">
                  <c:v>Sum of Weight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multiLvlStrRef>
              <c:f>PivotWeight!$A$3:$A$5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PivotWeight!$B$3:$B$5</c:f>
              <c:numCache>
                <c:formatCode>0.0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930-4C68-B37F-AEADD74C2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47903"/>
        <c:axId val="789948319"/>
      </c:lineChart>
      <c:lineChart>
        <c:grouping val="standard"/>
        <c:varyColors val="0"/>
        <c:ser>
          <c:idx val="1"/>
          <c:order val="1"/>
          <c:tx>
            <c:strRef>
              <c:f>PivotWeight!$C$1:$C$2</c:f>
              <c:strCache>
                <c:ptCount val="1"/>
                <c:pt idx="0">
                  <c:v>Sum of HR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multiLvlStrRef>
              <c:f>PivotWeight!$A$3:$A$5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PivotWeight!$C$3:$C$5</c:f>
              <c:numCache>
                <c:formatCode>#,###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930-4C68-B37F-AEADD74C2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43743"/>
        <c:axId val="789948735"/>
      </c:lineChart>
      <c:catAx>
        <c:axId val="78994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48319"/>
        <c:crosses val="autoZero"/>
        <c:auto val="1"/>
        <c:lblAlgn val="ctr"/>
        <c:lblOffset val="100"/>
        <c:noMultiLvlLbl val="0"/>
      </c:catAx>
      <c:valAx>
        <c:axId val="789948319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19191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lb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47903"/>
        <c:crosses val="autoZero"/>
        <c:crossBetween val="between"/>
        <c:majorUnit val="25"/>
      </c:valAx>
      <c:valAx>
        <c:axId val="789948735"/>
        <c:scaling>
          <c:orientation val="minMax"/>
          <c:max val="140"/>
          <c:min val="126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bpm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43743"/>
        <c:crosses val="max"/>
        <c:crossBetween val="between"/>
        <c:majorUnit val="2"/>
      </c:valAx>
      <c:catAx>
        <c:axId val="7899437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99487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[STATriderV1.3.xlsm]PivotCal!PivotCal</c:name>
    <c:fmtId val="3"/>
  </c:pivotSource>
  <c:chart>
    <c:autoTitleDeleted val="1"/>
    <c:pivotFmts>
      <c:pivotFmt>
        <c:idx val="0"/>
        <c:spPr>
          <a:solidFill>
            <a:srgbClr val="FF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19050" cap="rnd">
            <a:solidFill>
              <a:srgbClr val="FFFF00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PivotCal!$B$1:$B$2</c:f>
              <c:strCache>
                <c:ptCount val="1"/>
                <c:pt idx="0">
                  <c:v>Sum of Cal.</c:v>
                </c:pt>
              </c:strCache>
            </c:strRef>
          </c:tx>
          <c:spPr>
            <a:solidFill>
              <a:srgbClr val="FF8000"/>
            </a:solidFill>
            <a:ln>
              <a:noFill/>
            </a:ln>
            <a:effectLst/>
          </c:spPr>
          <c:invertIfNegative val="0"/>
          <c:cat>
            <c:multiLvlStrRef>
              <c:f>PivotCal!$A$3:$A$5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PivotCal!$B$3:$B$5</c:f>
              <c:numCache>
                <c:formatCode>#,###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A7EA-4BB6-A673-78C9BD251DD0}"/>
            </c:ext>
          </c:extLst>
        </c:ser>
        <c:ser>
          <c:idx val="1"/>
          <c:order val="1"/>
          <c:tx>
            <c:strRef>
              <c:f>PivotCal!$C$1:$C$2</c:f>
              <c:strCache>
                <c:ptCount val="1"/>
                <c:pt idx="0">
                  <c:v>Sum of Cal. Goal Chart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cat>
            <c:multiLvlStrRef>
              <c:f>PivotCal!$A$3:$A$5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PivotCal!$C$3:$C$5</c:f>
              <c:numCache>
                <c:formatCode>#,###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EA-4BB6-A673-78C9BD251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531190304"/>
        <c:axId val="1531170336"/>
      </c:barChart>
      <c:lineChart>
        <c:grouping val="standard"/>
        <c:varyColors val="0"/>
        <c:ser>
          <c:idx val="2"/>
          <c:order val="2"/>
          <c:tx>
            <c:strRef>
              <c:f>PivotCal!$D$1:$D$2</c:f>
              <c:strCache>
                <c:ptCount val="1"/>
                <c:pt idx="0">
                  <c:v>Sum of Cal/hour</c:v>
                </c:pt>
              </c:strCache>
            </c:strRef>
          </c:tx>
          <c:spPr>
            <a:ln w="19050" cap="rnd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none"/>
          </c:marker>
          <c:cat>
            <c:multiLvlStrRef>
              <c:f>PivotCal!$A$3:$A$5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PivotCal!$D$3:$D$5</c:f>
              <c:numCache>
                <c:formatCode>#,###.0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7EA-4BB6-A673-78C9BD251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1183232"/>
        <c:axId val="1531170752"/>
      </c:lineChart>
      <c:catAx>
        <c:axId val="153119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170336"/>
        <c:crossesAt val="0"/>
        <c:auto val="1"/>
        <c:lblAlgn val="ctr"/>
        <c:lblOffset val="100"/>
        <c:noMultiLvlLbl val="0"/>
      </c:catAx>
      <c:valAx>
        <c:axId val="153117033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19191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Calories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#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190304"/>
        <c:crosses val="autoZero"/>
        <c:crossBetween val="between"/>
        <c:majorUnit val="25"/>
      </c:valAx>
      <c:valAx>
        <c:axId val="1531170752"/>
        <c:scaling>
          <c:orientation val="minMax"/>
          <c:max val="640"/>
          <c:min val="480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Cal/hour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183232"/>
        <c:crosses val="max"/>
        <c:crossBetween val="between"/>
        <c:majorUnit val="20"/>
      </c:valAx>
      <c:catAx>
        <c:axId val="1531183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1170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[STATriderV1.3.xlsm]PivotAnalytics3!PivotAnalytics3</c:name>
    <c:fmtId val="0"/>
  </c:pivotSource>
  <c:chart>
    <c:autoTitleDeleted val="1"/>
    <c:pivotFmts>
      <c:pivotFmt>
        <c:idx val="0"/>
        <c:spPr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chemeClr val="accent2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PivotAnalytics3!$B$1:$B$2</c:f>
              <c:strCache>
                <c:ptCount val="1"/>
                <c:pt idx="0">
                  <c:v>Average of Hrs/Activity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PivotAnalytics3!$A$3:$A$4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PivotAnalytics3!$B$3:$B$4</c:f>
              <c:numCache>
                <c:formatCode>[hh]:mm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D21-4361-AECC-F1898227A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921920"/>
        <c:axId val="2146903200"/>
      </c:lineChart>
      <c:lineChart>
        <c:grouping val="standard"/>
        <c:varyColors val="0"/>
        <c:ser>
          <c:idx val="1"/>
          <c:order val="1"/>
          <c:tx>
            <c:strRef>
              <c:f>PivotAnalytics3!$C$1:$C$2</c:f>
              <c:strCache>
                <c:ptCount val="1"/>
                <c:pt idx="0">
                  <c:v>Average of Cal/hour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PivotAnalytics3!$A$3:$A$4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PivotAnalytics3!$C$3:$C$4</c:f>
              <c:numCache>
                <c:formatCode>0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D21-4361-AECC-F1898227A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923168"/>
        <c:axId val="2146914016"/>
      </c:lineChart>
      <c:catAx>
        <c:axId val="214692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03200"/>
        <c:crossesAt val="0"/>
        <c:auto val="1"/>
        <c:lblAlgn val="ctr"/>
        <c:lblOffset val="100"/>
        <c:noMultiLvlLbl val="0"/>
      </c:catAx>
      <c:valAx>
        <c:axId val="21469032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Hours / Activity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[hh]:mm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21920"/>
        <c:crosses val="autoZero"/>
        <c:crossBetween val="between"/>
      </c:valAx>
      <c:valAx>
        <c:axId val="214691401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Cal/hour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23168"/>
        <c:crosses val="max"/>
        <c:crossBetween val="between"/>
      </c:valAx>
      <c:catAx>
        <c:axId val="2146923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46914016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8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[STATriderV1.3.xlsm]PivotAnalytics4!PivotAnalytics4</c:name>
    <c:fmtId val="0"/>
  </c:pivotSource>
  <c:chart>
    <c:autoTitleDeleted val="1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25400"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PivotAnalytics4!$B$1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cat>
            <c:strRef>
              <c:f>PivotAnalytics4!$A$2:$A$3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PivotAnalytics4!$B$2:$B$3</c:f>
              <c:numCache>
                <c:formatCode>#,###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AE7-4688-BDBA-75A0AAF49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926496"/>
        <c:axId val="2146919008"/>
      </c:areaChart>
      <c:catAx>
        <c:axId val="214692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19008"/>
        <c:crossesAt val="0"/>
        <c:auto val="1"/>
        <c:lblAlgn val="ctr"/>
        <c:lblOffset val="100"/>
        <c:noMultiLvlLbl val="0"/>
      </c:catAx>
      <c:valAx>
        <c:axId val="21469190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ft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#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26496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8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[STATriderV1.3.xlsm]PivotAnalytics2!PivotAnalytics2</c:name>
    <c:fmtId val="1"/>
  </c:pivotSource>
  <c:chart>
    <c:autoTitleDeleted val="1"/>
    <c:pivotFmts>
      <c:pivotFmt>
        <c:idx val="0"/>
        <c:spPr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chemeClr val="accent2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PivotAnalytics2!$B$1:$B$2</c:f>
              <c:strCache>
                <c:ptCount val="1"/>
                <c:pt idx="0">
                  <c:v>Average of Speed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PivotAnalytics2!$A$3:$A$4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PivotAnalytics2!$B$3:$B$4</c:f>
              <c:numCache>
                <c:formatCode>0.0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197-40DC-B49E-16FD44961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919840"/>
        <c:axId val="2146926912"/>
      </c:lineChart>
      <c:lineChart>
        <c:grouping val="standard"/>
        <c:varyColors val="0"/>
        <c:ser>
          <c:idx val="1"/>
          <c:order val="1"/>
          <c:tx>
            <c:strRef>
              <c:f>PivotAnalytics2!$C$1:$C$2</c:f>
              <c:strCache>
                <c:ptCount val="1"/>
                <c:pt idx="0">
                  <c:v>Average of Cal/hour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PivotAnalytics2!$A$3:$A$4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PivotAnalytics2!$C$3:$C$4</c:f>
              <c:numCache>
                <c:formatCode>0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197-40DC-B49E-16FD44961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932736"/>
        <c:axId val="2146928576"/>
      </c:lineChart>
      <c:catAx>
        <c:axId val="214691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26912"/>
        <c:crossesAt val="0"/>
        <c:auto val="1"/>
        <c:lblAlgn val="ctr"/>
        <c:lblOffset val="100"/>
        <c:noMultiLvlLbl val="0"/>
      </c:catAx>
      <c:valAx>
        <c:axId val="21469269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mph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19840"/>
        <c:crosses val="autoZero"/>
        <c:crossBetween val="between"/>
      </c:valAx>
      <c:valAx>
        <c:axId val="214692857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Cal/hour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32736"/>
        <c:crosses val="max"/>
        <c:crossBetween val="between"/>
      </c:valAx>
      <c:catAx>
        <c:axId val="2146932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46928576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8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[STATriderV1.3.xlsm]PivotAnalytics1!PivotAnalytics1</c:name>
    <c:fmtId val="1"/>
  </c:pivotSource>
  <c:chart>
    <c:autoTitleDeleted val="1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chemeClr val="accent2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PivotAnalytics1!$B$1:$B$2</c:f>
              <c:strCache>
                <c:ptCount val="1"/>
                <c:pt idx="0">
                  <c:v>Sum of Activity Calories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PivotAnalytics1!$A$3:$A$4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PivotAnalytics1!$B$3:$B$4</c:f>
              <c:numCache>
                <c:formatCode>#,###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022-446F-B93E-71C16E15B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70962735"/>
        <c:axId val="1970979375"/>
      </c:barChart>
      <c:lineChart>
        <c:grouping val="standard"/>
        <c:varyColors val="0"/>
        <c:ser>
          <c:idx val="1"/>
          <c:order val="1"/>
          <c:tx>
            <c:strRef>
              <c:f>PivotAnalytics1!$C$1:$C$2</c:f>
              <c:strCache>
                <c:ptCount val="1"/>
                <c:pt idx="0">
                  <c:v>Average of Cal/hour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PivotAnalytics1!$A$3:$A$4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PivotAnalytics1!$C$3:$C$4</c:f>
              <c:numCache>
                <c:formatCode>0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022-446F-B93E-71C16E15B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0963567"/>
        <c:axId val="1970961487"/>
      </c:lineChart>
      <c:catAx>
        <c:axId val="197096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970979375"/>
        <c:crossesAt val="0"/>
        <c:auto val="1"/>
        <c:lblAlgn val="ctr"/>
        <c:lblOffset val="100"/>
        <c:noMultiLvlLbl val="0"/>
      </c:catAx>
      <c:valAx>
        <c:axId val="19709793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Calories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#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970962735"/>
        <c:crosses val="autoZero"/>
        <c:crossBetween val="between"/>
      </c:valAx>
      <c:valAx>
        <c:axId val="1970961487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Cal/hour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970963567"/>
        <c:crosses val="max"/>
        <c:crossBetween val="between"/>
      </c:valAx>
      <c:catAx>
        <c:axId val="19709635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70961487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8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Gauges!$E$15</c:f>
              <c:strCache>
                <c:ptCount val="1"/>
                <c:pt idx="0">
                  <c:v>Goal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D1BA-40DD-8E94-966E754F48A9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D1BA-40DD-8E94-966E754F48A9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00FF00"/>
                  </a:gs>
                  <a:gs pos="100000">
                    <a:srgbClr val="89FF89"/>
                  </a:gs>
                </a:gsLst>
                <a:lin ang="54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D1BA-40DD-8E94-966E754F48A9}"/>
              </c:ext>
            </c:extLst>
          </c:dPt>
          <c:dPt>
            <c:idx val="3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D1BA-40DD-8E94-966E754F48A9}"/>
              </c:ext>
            </c:extLst>
          </c:dPt>
          <c:dPt>
            <c:idx val="4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D1BA-40DD-8E94-966E754F48A9}"/>
              </c:ext>
            </c:extLst>
          </c:dPt>
          <c:dPt>
            <c:idx val="5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D1BA-40DD-8E94-966E754F48A9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D1BA-40DD-8E94-966E754F48A9}"/>
              </c:ext>
            </c:extLst>
          </c:dPt>
          <c:cat>
            <c:strRef>
              <c:f>Gauges!$A$16:$A$22</c:f>
              <c:strCache>
                <c:ptCount val="7"/>
                <c:pt idx="0">
                  <c:v>Underweight</c:v>
                </c:pt>
                <c:pt idx="1">
                  <c:v>Healthy weight</c:v>
                </c:pt>
                <c:pt idx="2">
                  <c:v>Goal</c:v>
                </c:pt>
                <c:pt idx="3">
                  <c:v>Healthy weight</c:v>
                </c:pt>
                <c:pt idx="4">
                  <c:v>Overweight</c:v>
                </c:pt>
                <c:pt idx="5">
                  <c:v>Obese</c:v>
                </c:pt>
                <c:pt idx="6">
                  <c:v>Blank</c:v>
                </c:pt>
              </c:strCache>
            </c:strRef>
          </c:cat>
          <c:val>
            <c:numRef>
              <c:f>Gauges!$E$16:$E$22</c:f>
              <c:numCache>
                <c:formatCode>0.0</c:formatCode>
                <c:ptCount val="7"/>
                <c:pt idx="0">
                  <c:v>18.399999999999999</c:v>
                </c:pt>
                <c:pt idx="1">
                  <c:v>2.5</c:v>
                </c:pt>
                <c:pt idx="2">
                  <c:v>1.3999999999999986</c:v>
                </c:pt>
                <c:pt idx="3">
                  <c:v>2.5</c:v>
                </c:pt>
                <c:pt idx="4">
                  <c:v>4.8999999999999986</c:v>
                </c:pt>
                <c:pt idx="5">
                  <c:v>13.5</c:v>
                </c:pt>
                <c:pt idx="6">
                  <c:v>10.799999999999999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1BA-40DD-8E94-966E754F48A9}"/>
            </c:ext>
          </c:extLst>
        </c:ser>
        <c:ser>
          <c:idx val="0"/>
          <c:order val="1"/>
          <c:tx>
            <c:strRef>
              <c:f>Gauges!$D$15</c:f>
              <c:strCache>
                <c:ptCount val="1"/>
                <c:pt idx="0">
                  <c:v>BMI</c:v>
                </c:pt>
              </c:strCache>
            </c:strRef>
          </c:tx>
          <c:spPr>
            <a:ln>
              <a:noFill/>
            </a:ln>
            <a:effectLst>
              <a:glow>
                <a:srgbClr val="00FF00">
                  <a:alpha val="40000"/>
                </a:srgbClr>
              </a:glow>
            </a:effectLst>
            <a:scene3d>
              <a:camera prst="orthographicFront"/>
              <a:lightRig rig="threePt" dir="t"/>
            </a:scene3d>
          </c:spPr>
          <c:dPt>
            <c:idx val="0"/>
            <c:bubble3D val="0"/>
            <c:spPr>
              <a:solidFill>
                <a:srgbClr val="FF00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1-D1BA-40DD-8E94-966E754F48A9}"/>
              </c:ext>
            </c:extLst>
          </c:dPt>
          <c:dPt>
            <c:idx val="1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3-D1BA-40DD-8E94-966E754F48A9}"/>
              </c:ext>
            </c:extLst>
          </c:dPt>
          <c:dPt>
            <c:idx val="2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5-D1BA-40DD-8E94-966E754F48A9}"/>
              </c:ext>
            </c:extLst>
          </c:dPt>
          <c:dPt>
            <c:idx val="3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7-D1BA-40DD-8E94-966E754F48A9}"/>
              </c:ext>
            </c:extLst>
          </c:dPt>
          <c:dPt>
            <c:idx val="4"/>
            <c:bubble3D val="0"/>
            <c:spPr>
              <a:solidFill>
                <a:srgbClr val="FF64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9-D1BA-40DD-8E94-966E754F48A9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B-D1BA-40DD-8E94-966E754F48A9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D-D1BA-40DD-8E94-966E754F48A9}"/>
              </c:ext>
            </c:extLst>
          </c:dPt>
          <c:cat>
            <c:strRef>
              <c:f>Gauges!$A$16:$A$22</c:f>
              <c:strCache>
                <c:ptCount val="7"/>
                <c:pt idx="0">
                  <c:v>Underweight</c:v>
                </c:pt>
                <c:pt idx="1">
                  <c:v>Healthy weight</c:v>
                </c:pt>
                <c:pt idx="2">
                  <c:v>Goal</c:v>
                </c:pt>
                <c:pt idx="3">
                  <c:v>Healthy weight</c:v>
                </c:pt>
                <c:pt idx="4">
                  <c:v>Overweight</c:v>
                </c:pt>
                <c:pt idx="5">
                  <c:v>Obese</c:v>
                </c:pt>
                <c:pt idx="6">
                  <c:v>Blank</c:v>
                </c:pt>
              </c:strCache>
            </c:strRef>
          </c:cat>
          <c:val>
            <c:numRef>
              <c:f>Gauges!$D$16:$D$22</c:f>
              <c:numCache>
                <c:formatCode>0.0</c:formatCode>
                <c:ptCount val="7"/>
                <c:pt idx="0">
                  <c:v>18.399999999999999</c:v>
                </c:pt>
                <c:pt idx="1">
                  <c:v>3.1999999999999993</c:v>
                </c:pt>
                <c:pt idx="3">
                  <c:v>3.1999999999999993</c:v>
                </c:pt>
                <c:pt idx="4">
                  <c:v>4.8999999999999986</c:v>
                </c:pt>
                <c:pt idx="5">
                  <c:v>13.5</c:v>
                </c:pt>
                <c:pt idx="6">
                  <c:v>10.799999999999999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1BA-40DD-8E94-966E754F4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15"/>
        <c:holeSize val="60"/>
      </c:doughnutChart>
      <c:spPr>
        <a:noFill/>
        <a:ln>
          <a:noFill/>
        </a:ln>
        <a:effectLst/>
        <a:scene3d>
          <a:camera prst="orthographicFront"/>
          <a:lightRig rig="threePt" dir="t"/>
        </a:scene3d>
        <a:sp3d>
          <a:bevelB w="6350"/>
        </a:sp3d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scene3d>
      <a:camera prst="orthographicFront"/>
      <a:lightRig rig="threePt" dir="t"/>
    </a:scene3d>
    <a:sp3d>
      <a:bevelB w="6350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Gauges!$C$30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1750" cap="rnd" cmpd="sng">
                <a:solidFill>
                  <a:srgbClr val="FF0000"/>
                </a:solidFill>
                <a:prstDash val="solid"/>
                <a:round/>
                <a:headEnd type="oval" w="lg" len="lg"/>
                <a:tailEnd type="stealth" w="sm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1-F0A6-4BEC-BDEE-4A2CB8CB7E4A}"/>
              </c:ext>
            </c:extLst>
          </c:dPt>
          <c:xVal>
            <c:numRef>
              <c:f>Gauges!$B$31:$B$32</c:f>
              <c:numCache>
                <c:formatCode>0.00</c:formatCode>
                <c:ptCount val="2"/>
                <c:pt idx="0" formatCode="General">
                  <c:v>25</c:v>
                </c:pt>
                <c:pt idx="1">
                  <c:v>#N/A</c:v>
                </c:pt>
              </c:numCache>
            </c:numRef>
          </c:xVal>
          <c:yVal>
            <c:numRef>
              <c:f>Gauges!$C$31:$C$32</c:f>
              <c:numCache>
                <c:formatCode>0</c:formatCode>
                <c:ptCount val="2"/>
                <c:pt idx="0" formatCode="General">
                  <c:v>25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A6-4BEC-BDEE-4A2CB8CB7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5621888"/>
        <c:axId val="1115614672"/>
      </c:scatterChart>
      <c:valAx>
        <c:axId val="1115621888"/>
        <c:scaling>
          <c:orientation val="minMax"/>
          <c:max val="50"/>
          <c:min val="0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15614672"/>
        <c:crosses val="autoZero"/>
        <c:crossBetween val="midCat"/>
        <c:majorUnit val="1"/>
      </c:valAx>
      <c:valAx>
        <c:axId val="1115614672"/>
        <c:scaling>
          <c:orientation val="minMax"/>
          <c:max val="50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15621888"/>
        <c:crossesAt val="0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86035071328013E-2"/>
          <c:y val="0"/>
          <c:w val="0.83074969205871618"/>
          <c:h val="1"/>
        </c:manualLayout>
      </c:layout>
      <c:doughnutChart>
        <c:varyColors val="1"/>
        <c:ser>
          <c:idx val="0"/>
          <c:order val="0"/>
          <c:spPr>
            <a:ln w="3175">
              <a:noFill/>
            </a:ln>
          </c:spPr>
          <c:dPt>
            <c:idx val="0"/>
            <c:bubble3D val="0"/>
            <c:spPr>
              <a:noFill/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E2B-4F79-9D21-BFD3B878C2F2}"/>
              </c:ext>
            </c:extLst>
          </c:dPt>
          <c:dPt>
            <c:idx val="1"/>
            <c:bubble3D val="0"/>
            <c:spPr>
              <a:solidFill>
                <a:srgbClr val="50FF00"/>
              </a:solidFill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E2B-4F79-9D21-BFD3B878C2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E2B-4F79-9D21-BFD3B878C2F2}"/>
              </c:ext>
            </c:extLst>
          </c:dPt>
          <c:cat>
            <c:strRef>
              <c:f>Gauges!$A$3:$A$5</c:f>
              <c:strCache>
                <c:ptCount val="3"/>
                <c:pt idx="0">
                  <c:v>Weeks to Race Gap</c:v>
                </c:pt>
                <c:pt idx="1">
                  <c:v>Actual Week</c:v>
                </c:pt>
                <c:pt idx="2">
                  <c:v>#N/A</c:v>
                </c:pt>
              </c:strCache>
            </c:strRef>
          </c:cat>
          <c:val>
            <c:numRef>
              <c:f>Gauges!$B$3:$B$5</c:f>
              <c:numCache>
                <c:formatCode>General</c:formatCode>
                <c:ptCount val="3"/>
                <c:pt idx="0">
                  <c:v>9.4500000000000011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2B-4F79-9D21-BFD3B878C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24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1</xdr:row>
          <xdr:rowOff>57150</xdr:rowOff>
        </xdr:from>
        <xdr:to>
          <xdr:col>2</xdr:col>
          <xdr:colOff>1866900</xdr:colOff>
          <xdr:row>2</xdr:row>
          <xdr:rowOff>114300</xdr:rowOff>
        </xdr:to>
        <xdr:sp macro="" textlink="">
          <xdr:nvSpPr>
            <xdr:cNvPr id="7170" name="EventsAddButton" descr="Add Event to Calend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Add Event to Calendar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4029075</xdr:colOff>
          <xdr:row>15</xdr:row>
          <xdr:rowOff>152400</xdr:rowOff>
        </xdr:from>
        <xdr:to>
          <xdr:col>4</xdr:col>
          <xdr:colOff>419100</xdr:colOff>
          <xdr:row>17</xdr:row>
          <xdr:rowOff>57150</xdr:rowOff>
        </xdr:to>
        <xdr:sp macro="" textlink="">
          <xdr:nvSpPr>
            <xdr:cNvPr id="7176" name="StateBox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0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3945003</xdr:colOff>
      <xdr:row>14</xdr:row>
      <xdr:rowOff>27875</xdr:rowOff>
    </xdr:from>
    <xdr:to>
      <xdr:col>4</xdr:col>
      <xdr:colOff>501554</xdr:colOff>
      <xdr:row>15</xdr:row>
      <xdr:rowOff>144603</xdr:rowOff>
    </xdr:to>
    <xdr:sp macro="" textlink="">
      <xdr:nvSpPr>
        <xdr:cNvPr id="2" name="StateTextBox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30596" y="2491076"/>
          <a:ext cx="1554480" cy="2782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200" b="1">
              <a:latin typeface="Arial Nova" panose="020B0504020202020204" pitchFamily="34" charset="0"/>
            </a:rPr>
            <a:t>Select State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285750</xdr:colOff>
          <xdr:row>15</xdr:row>
          <xdr:rowOff>142875</xdr:rowOff>
        </xdr:from>
        <xdr:to>
          <xdr:col>8</xdr:col>
          <xdr:colOff>809625</xdr:colOff>
          <xdr:row>17</xdr:row>
          <xdr:rowOff>38100</xdr:rowOff>
        </xdr:to>
        <xdr:sp macro="" textlink="">
          <xdr:nvSpPr>
            <xdr:cNvPr id="7183" name="EventsTransferButton" descr="Add Event to Calendar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Add Event to Favorites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 ­­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80962</xdr:colOff>
      <xdr:row>14</xdr:row>
      <xdr:rowOff>27875</xdr:rowOff>
    </xdr:from>
    <xdr:to>
      <xdr:col>2</xdr:col>
      <xdr:colOff>454342</xdr:colOff>
      <xdr:row>15</xdr:row>
      <xdr:rowOff>144603</xdr:rowOff>
    </xdr:to>
    <xdr:sp macro="" textlink="">
      <xdr:nvSpPr>
        <xdr:cNvPr id="8" name="DataTextBox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80962" y="2491076"/>
          <a:ext cx="1559512" cy="2782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200" b="1">
              <a:latin typeface="Arial Nova" panose="020B0504020202020204" pitchFamily="34" charset="0"/>
            </a:rPr>
            <a:t>Select Database</a:t>
          </a:r>
        </a:p>
      </xdr:txBody>
    </xdr:sp>
    <xdr:clientData/>
  </xdr:twoCellAnchor>
  <xdr:twoCellAnchor editAs="absolute">
    <xdr:from>
      <xdr:col>0</xdr:col>
      <xdr:colOff>57149</xdr:colOff>
      <xdr:row>1</xdr:row>
      <xdr:rowOff>19049</xdr:rowOff>
    </xdr:from>
    <xdr:to>
      <xdr:col>2</xdr:col>
      <xdr:colOff>430529</xdr:colOff>
      <xdr:row>2</xdr:row>
      <xdr:rowOff>149732</xdr:rowOff>
    </xdr:to>
    <xdr:sp macro="" textlink="">
      <xdr:nvSpPr>
        <xdr:cNvPr id="9" name="FavTextBox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7149" y="276224"/>
          <a:ext cx="1554480" cy="2926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200" b="1">
              <a:latin typeface="Arial Nova" panose="020B0504020202020204" pitchFamily="34" charset="0"/>
            </a:rPr>
            <a:t>Favorites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15</xdr:row>
          <xdr:rowOff>152400</xdr:rowOff>
        </xdr:from>
        <xdr:to>
          <xdr:col>2</xdr:col>
          <xdr:colOff>381000</xdr:colOff>
          <xdr:row>17</xdr:row>
          <xdr:rowOff>57150</xdr:rowOff>
        </xdr:to>
        <xdr:sp macro="" textlink="">
          <xdr:nvSpPr>
            <xdr:cNvPr id="7184" name="APIBox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2352675</xdr:colOff>
          <xdr:row>15</xdr:row>
          <xdr:rowOff>152400</xdr:rowOff>
        </xdr:from>
        <xdr:to>
          <xdr:col>2</xdr:col>
          <xdr:colOff>3752850</xdr:colOff>
          <xdr:row>17</xdr:row>
          <xdr:rowOff>57150</xdr:rowOff>
        </xdr:to>
        <xdr:sp macro="" textlink="">
          <xdr:nvSpPr>
            <xdr:cNvPr id="7185" name="EventTypeBox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0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666750</xdr:colOff>
          <xdr:row>15</xdr:row>
          <xdr:rowOff>152400</xdr:rowOff>
        </xdr:from>
        <xdr:to>
          <xdr:col>2</xdr:col>
          <xdr:colOff>2066925</xdr:colOff>
          <xdr:row>17</xdr:row>
          <xdr:rowOff>57150</xdr:rowOff>
        </xdr:to>
        <xdr:sp macro="" textlink="">
          <xdr:nvSpPr>
            <xdr:cNvPr id="7186" name="SeasonBox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0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2272665</xdr:colOff>
      <xdr:row>14</xdr:row>
      <xdr:rowOff>27875</xdr:rowOff>
    </xdr:from>
    <xdr:to>
      <xdr:col>2</xdr:col>
      <xdr:colOff>3824988</xdr:colOff>
      <xdr:row>15</xdr:row>
      <xdr:rowOff>144603</xdr:rowOff>
    </xdr:to>
    <xdr:sp macro="" textlink="">
      <xdr:nvSpPr>
        <xdr:cNvPr id="10" name="EventTextBox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458797" y="2491076"/>
          <a:ext cx="1551784" cy="2782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1200" b="1">
              <a:latin typeface="Arial Nova" panose="020B0504020202020204" pitchFamily="34" charset="0"/>
            </a:rPr>
            <a:t>Select Event 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200025</xdr:colOff>
          <xdr:row>15</xdr:row>
          <xdr:rowOff>152400</xdr:rowOff>
        </xdr:from>
        <xdr:to>
          <xdr:col>5</xdr:col>
          <xdr:colOff>2028825</xdr:colOff>
          <xdr:row>17</xdr:row>
          <xdr:rowOff>47625</xdr:rowOff>
        </xdr:to>
        <xdr:sp macro="" textlink="">
          <xdr:nvSpPr>
            <xdr:cNvPr id="7187" name="EventsUpdateButton" descr="Update Calendar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Update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588645</xdr:colOff>
      <xdr:row>14</xdr:row>
      <xdr:rowOff>19729</xdr:rowOff>
    </xdr:from>
    <xdr:to>
      <xdr:col>2</xdr:col>
      <xdr:colOff>2143125</xdr:colOff>
      <xdr:row>15</xdr:row>
      <xdr:rowOff>133521</xdr:rowOff>
    </xdr:to>
    <xdr:sp macro="" textlink="">
      <xdr:nvSpPr>
        <xdr:cNvPr id="12" name="SeasonTextBox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1774777" y="2482930"/>
          <a:ext cx="1554480" cy="2755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200" b="1">
              <a:latin typeface="Arial Nova" panose="020B0504020202020204" pitchFamily="34" charset="0"/>
            </a:rPr>
            <a:t>Select Season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2047875</xdr:colOff>
          <xdr:row>1</xdr:row>
          <xdr:rowOff>57150</xdr:rowOff>
        </xdr:from>
        <xdr:to>
          <xdr:col>2</xdr:col>
          <xdr:colOff>3876675</xdr:colOff>
          <xdr:row>2</xdr:row>
          <xdr:rowOff>114300</xdr:rowOff>
        </xdr:to>
        <xdr:sp macro="" textlink="">
          <xdr:nvSpPr>
            <xdr:cNvPr id="7188" name="EventsDateButton" descr="Add Event to Calendar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0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Simulate 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2162175</xdr:colOff>
          <xdr:row>10</xdr:row>
          <xdr:rowOff>0</xdr:rowOff>
        </xdr:from>
        <xdr:to>
          <xdr:col>1</xdr:col>
          <xdr:colOff>2343150</xdr:colOff>
          <xdr:row>10</xdr:row>
          <xdr:rowOff>180975</xdr:rowOff>
        </xdr:to>
        <xdr:sp macro="" textlink="">
          <xdr:nvSpPr>
            <xdr:cNvPr id="1049" name="AdvancedSetup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Nova"/>
                </a:rPr>
                <a:t>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9</xdr:row>
          <xdr:rowOff>171450</xdr:rowOff>
        </xdr:from>
        <xdr:to>
          <xdr:col>7</xdr:col>
          <xdr:colOff>209550</xdr:colOff>
          <xdr:row>11</xdr:row>
          <xdr:rowOff>0</xdr:rowOff>
        </xdr:to>
        <xdr:sp macro="" textlink="">
          <xdr:nvSpPr>
            <xdr:cNvPr id="1068" name="ResetAllChartsBox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971550</xdr:colOff>
          <xdr:row>28</xdr:row>
          <xdr:rowOff>209550</xdr:rowOff>
        </xdr:from>
        <xdr:to>
          <xdr:col>6</xdr:col>
          <xdr:colOff>0</xdr:colOff>
          <xdr:row>31</xdr:row>
          <xdr:rowOff>38100</xdr:rowOff>
        </xdr:to>
        <xdr:sp macro="" textlink="">
          <xdr:nvSpPr>
            <xdr:cNvPr id="1025" name="CreatePlanButton" descr="Click Here to Create your Training Pla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Proxima Nova"/>
                </a:rPr>
                <a:t>Create Plan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</xdr:colOff>
          <xdr:row>40</xdr:row>
          <xdr:rowOff>47625</xdr:rowOff>
        </xdr:from>
        <xdr:to>
          <xdr:col>3</xdr:col>
          <xdr:colOff>219075</xdr:colOff>
          <xdr:row>41</xdr:row>
          <xdr:rowOff>142875</xdr:rowOff>
        </xdr:to>
        <xdr:sp macro="" textlink="">
          <xdr:nvSpPr>
            <xdr:cNvPr id="1099" name="WeightUnitBox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19</xdr:col>
      <xdr:colOff>0</xdr:colOff>
      <xdr:row>14</xdr:row>
      <xdr:rowOff>0</xdr:rowOff>
    </xdr:to>
    <xdr:graphicFrame macro="">
      <xdr:nvGraphicFramePr>
        <xdr:cNvPr id="19" name="PlanChart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165100</xdr:colOff>
      <xdr:row>1</xdr:row>
      <xdr:rowOff>38100</xdr:rowOff>
    </xdr:from>
    <xdr:to>
      <xdr:col>18</xdr:col>
      <xdr:colOff>494333</xdr:colOff>
      <xdr:row>2</xdr:row>
      <xdr:rowOff>74060</xdr:rowOff>
    </xdr:to>
    <xdr:grpSp>
      <xdr:nvGrpSpPr>
        <xdr:cNvPr id="34" name="PlanChartLegendGroup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947275" y="304800"/>
          <a:ext cx="2072308" cy="264560"/>
          <a:chOff x="9947275" y="304800"/>
          <a:chExt cx="2072308" cy="264560"/>
        </a:xfrm>
      </xdr:grpSpPr>
      <xdr:grpSp>
        <xdr:nvGrpSpPr>
          <xdr:cNvPr id="30" name="ActualHrsLegendGroup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GrpSpPr/>
        </xdr:nvGrpSpPr>
        <xdr:grpSpPr>
          <a:xfrm>
            <a:off x="9947275" y="304800"/>
            <a:ext cx="1076165" cy="264560"/>
            <a:chOff x="9194800" y="194063"/>
            <a:chExt cx="1076165" cy="264560"/>
          </a:xfrm>
        </xdr:grpSpPr>
        <xdr:grpSp>
          <xdr:nvGrpSpPr>
            <xdr:cNvPr id="28" name="ActualHrsLegendBox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GrpSpPr/>
          </xdr:nvGrpSpPr>
          <xdr:grpSpPr>
            <a:xfrm>
              <a:off x="9194800" y="269193"/>
              <a:ext cx="304800" cy="114300"/>
              <a:chOff x="9194800" y="304800"/>
              <a:chExt cx="304800" cy="114300"/>
            </a:xfrm>
          </xdr:grpSpPr>
          <xdr:sp macro="" textlink="">
            <xdr:nvSpPr>
              <xdr:cNvPr id="20" name="Prep.Box">
                <a:extLst>
                  <a:ext uri="{FF2B5EF4-FFF2-40B4-BE49-F238E27FC236}">
                    <a16:creationId xmlns:a16="http://schemas.microsoft.com/office/drawing/2014/main" id="{00000000-0008-0000-0200-000014000000}"/>
                  </a:ext>
                </a:extLst>
              </xdr:cNvPr>
              <xdr:cNvSpPr/>
            </xdr:nvSpPr>
            <xdr:spPr>
              <a:xfrm>
                <a:off x="9194800" y="304800"/>
                <a:ext cx="38100" cy="114300"/>
              </a:xfrm>
              <a:prstGeom prst="rect">
                <a:avLst/>
              </a:prstGeom>
              <a:solidFill>
                <a:srgbClr val="FFC800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1" name="Base IBox">
                <a:extLst>
                  <a:ext uri="{FF2B5EF4-FFF2-40B4-BE49-F238E27FC236}">
                    <a16:creationId xmlns:a16="http://schemas.microsoft.com/office/drawing/2014/main" id="{00000000-0008-0000-0200-000015000000}"/>
                  </a:ext>
                </a:extLst>
              </xdr:cNvPr>
              <xdr:cNvSpPr/>
            </xdr:nvSpPr>
            <xdr:spPr>
              <a:xfrm>
                <a:off x="9232900" y="304800"/>
                <a:ext cx="38100" cy="114300"/>
              </a:xfrm>
              <a:prstGeom prst="rect">
                <a:avLst/>
              </a:prstGeom>
              <a:solidFill>
                <a:srgbClr val="FF8000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2" name="Base IIBox">
                <a:extLst>
                  <a:ext uri="{FF2B5EF4-FFF2-40B4-BE49-F238E27FC236}">
                    <a16:creationId xmlns:a16="http://schemas.microsoft.com/office/drawing/2014/main" id="{00000000-0008-0000-0200-000016000000}"/>
                  </a:ext>
                </a:extLst>
              </xdr:cNvPr>
              <xdr:cNvSpPr/>
            </xdr:nvSpPr>
            <xdr:spPr>
              <a:xfrm>
                <a:off x="9271000" y="304800"/>
                <a:ext cx="38100" cy="114300"/>
              </a:xfrm>
              <a:prstGeom prst="rect">
                <a:avLst/>
              </a:prstGeom>
              <a:solidFill>
                <a:srgbClr val="FF8050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3" name="Base IIIBox">
                <a:extLst>
                  <a:ext uri="{FF2B5EF4-FFF2-40B4-BE49-F238E27FC236}">
                    <a16:creationId xmlns:a16="http://schemas.microsoft.com/office/drawing/2014/main" id="{00000000-0008-0000-0200-000017000000}"/>
                  </a:ext>
                </a:extLst>
              </xdr:cNvPr>
              <xdr:cNvSpPr/>
            </xdr:nvSpPr>
            <xdr:spPr>
              <a:xfrm>
                <a:off x="9309100" y="304800"/>
                <a:ext cx="38100" cy="114300"/>
              </a:xfrm>
              <a:prstGeom prst="rect">
                <a:avLst/>
              </a:prstGeom>
              <a:solidFill>
                <a:srgbClr val="FFAA64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4" name="Build IBox">
                <a:extLst>
                  <a:ext uri="{FF2B5EF4-FFF2-40B4-BE49-F238E27FC236}">
                    <a16:creationId xmlns:a16="http://schemas.microsoft.com/office/drawing/2014/main" id="{00000000-0008-0000-0200-000018000000}"/>
                  </a:ext>
                </a:extLst>
              </xdr:cNvPr>
              <xdr:cNvSpPr/>
            </xdr:nvSpPr>
            <xdr:spPr>
              <a:xfrm>
                <a:off x="9347200" y="304800"/>
                <a:ext cx="38100" cy="114300"/>
              </a:xfrm>
              <a:prstGeom prst="rect">
                <a:avLst/>
              </a:prstGeom>
              <a:solidFill>
                <a:srgbClr val="A61F34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5" name="Build IIBox">
                <a:extLst>
                  <a:ext uri="{FF2B5EF4-FFF2-40B4-BE49-F238E27FC236}">
                    <a16:creationId xmlns:a16="http://schemas.microsoft.com/office/drawing/2014/main" id="{00000000-0008-0000-0200-000019000000}"/>
                  </a:ext>
                </a:extLst>
              </xdr:cNvPr>
              <xdr:cNvSpPr/>
            </xdr:nvSpPr>
            <xdr:spPr>
              <a:xfrm>
                <a:off x="9385300" y="304800"/>
                <a:ext cx="38100" cy="114300"/>
              </a:xfrm>
              <a:prstGeom prst="rect">
                <a:avLst/>
              </a:prstGeom>
              <a:solidFill>
                <a:srgbClr val="D21F34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6" name="PeakBox">
                <a:extLst>
                  <a:ext uri="{FF2B5EF4-FFF2-40B4-BE49-F238E27FC236}">
                    <a16:creationId xmlns:a16="http://schemas.microsoft.com/office/drawing/2014/main" id="{00000000-0008-0000-0200-00001A000000}"/>
                  </a:ext>
                </a:extLst>
              </xdr:cNvPr>
              <xdr:cNvSpPr/>
            </xdr:nvSpPr>
            <xdr:spPr>
              <a:xfrm>
                <a:off x="9423400" y="304800"/>
                <a:ext cx="38100" cy="114300"/>
              </a:xfrm>
              <a:prstGeom prst="rect">
                <a:avLst/>
              </a:prstGeom>
              <a:solidFill>
                <a:srgbClr val="3B5998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7" name="RaceBox">
                <a:extLst>
                  <a:ext uri="{FF2B5EF4-FFF2-40B4-BE49-F238E27FC236}">
                    <a16:creationId xmlns:a16="http://schemas.microsoft.com/office/drawing/2014/main" id="{00000000-0008-0000-0200-00001B000000}"/>
                  </a:ext>
                </a:extLst>
              </xdr:cNvPr>
              <xdr:cNvSpPr/>
            </xdr:nvSpPr>
            <xdr:spPr>
              <a:xfrm>
                <a:off x="9461500" y="304800"/>
                <a:ext cx="38100" cy="114300"/>
              </a:xfrm>
              <a:prstGeom prst="rect">
                <a:avLst/>
              </a:prstGeom>
              <a:solidFill>
                <a:srgbClr val="00FF00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29" name="Actual HrsTxtBox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 txBox="1"/>
          </xdr:nvSpPr>
          <xdr:spPr>
            <a:xfrm>
              <a:off x="9499600" y="194063"/>
              <a:ext cx="77136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vert="horz" wrap="none" rtlCol="0" anchor="ctr">
              <a:noAutofit/>
            </a:bodyPr>
            <a:lstStyle/>
            <a:p>
              <a:r>
                <a:rPr lang="en-US" sz="1000">
                  <a:solidFill>
                    <a:srgbClr val="A6A6A6"/>
                  </a:solidFill>
                  <a:latin typeface="Arial Nova" panose="020B0504020202020204" pitchFamily="34" charset="0"/>
                </a:rPr>
                <a:t>Actual Hrs</a:t>
              </a:r>
            </a:p>
          </xdr:txBody>
        </xdr:sp>
      </xdr:grpSp>
      <xdr:grpSp>
        <xdr:nvGrpSpPr>
          <xdr:cNvPr id="33" name="PlanHrsLegendGroup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GrpSpPr/>
        </xdr:nvGrpSpPr>
        <xdr:grpSpPr>
          <a:xfrm>
            <a:off x="11023440" y="304800"/>
            <a:ext cx="996143" cy="264560"/>
            <a:chOff x="11023440" y="194063"/>
            <a:chExt cx="996143" cy="264560"/>
          </a:xfrm>
        </xdr:grpSpPr>
        <xdr:sp macro="" textlink="">
          <xdr:nvSpPr>
            <xdr:cNvPr id="31" name="PlanHrsLegendBox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/>
          </xdr:nvSpPr>
          <xdr:spPr>
            <a:xfrm>
              <a:off x="11023440" y="269193"/>
              <a:ext cx="304800" cy="114300"/>
            </a:xfrm>
            <a:prstGeom prst="rect">
              <a:avLst/>
            </a:prstGeom>
            <a:solidFill>
              <a:srgbClr val="A6A6A6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2" name="Plan. HrsTxtBox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 txBox="1"/>
          </xdr:nvSpPr>
          <xdr:spPr>
            <a:xfrm>
              <a:off x="11328240" y="194063"/>
              <a:ext cx="691343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vert="horz" wrap="none" rtlCol="0" anchor="ctr">
              <a:noAutofit/>
            </a:bodyPr>
            <a:lstStyle/>
            <a:p>
              <a:r>
                <a:rPr lang="en-US" sz="1000">
                  <a:solidFill>
                    <a:srgbClr val="A6A6A6"/>
                  </a:solidFill>
                  <a:latin typeface="Arial Nova" panose="020B0504020202020204" pitchFamily="34" charset="0"/>
                </a:rPr>
                <a:t>Plan. Hrs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25400</xdr:colOff>
      <xdr:row>14</xdr:row>
      <xdr:rowOff>9525</xdr:rowOff>
    </xdr:from>
    <xdr:to>
      <xdr:col>21</xdr:col>
      <xdr:colOff>123974</xdr:colOff>
      <xdr:row>15</xdr:row>
      <xdr:rowOff>35719</xdr:rowOff>
    </xdr:to>
    <xdr:grpSp>
      <xdr:nvGrpSpPr>
        <xdr:cNvPr id="41" name="PowerChTgLegGroup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pSpPr/>
      </xdr:nvGrpSpPr>
      <xdr:grpSpPr>
        <a:xfrm>
          <a:off x="8702675" y="2971800"/>
          <a:ext cx="2536974" cy="226219"/>
          <a:chOff x="9153525" y="3009900"/>
          <a:chExt cx="2536974" cy="226219"/>
        </a:xfrm>
      </xdr:grpSpPr>
      <xdr:sp macro="" textlink="">
        <xdr:nvSpPr>
          <xdr:cNvPr id="42" name="PowerChLegBox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9153525" y="3068808"/>
            <a:ext cx="292608" cy="109728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51" name="PowerChLegTxt1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SpPr txBox="1"/>
        </xdr:nvSpPr>
        <xdr:spPr>
          <a:xfrm>
            <a:off x="9456726" y="3009900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Power</a:t>
            </a:r>
          </a:p>
        </xdr:txBody>
      </xdr:sp>
      <xdr:sp macro="" textlink="">
        <xdr:nvSpPr>
          <xdr:cNvPr id="52" name="PowerChLegTxt2">
            <a:extLs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SpPr txBox="1"/>
        </xdr:nvSpPr>
        <xdr:spPr>
          <a:xfrm>
            <a:off x="10778667" y="3023474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Power Goal</a:t>
            </a:r>
          </a:p>
        </xdr:txBody>
      </xdr:sp>
      <xdr:sp macro="" textlink="">
        <xdr:nvSpPr>
          <xdr:cNvPr id="53" name="PowerChLegBox2">
            <a:extLst>
              <a:ext uri="{FF2B5EF4-FFF2-40B4-BE49-F238E27FC236}">
                <a16:creationId xmlns:a16="http://schemas.microsoft.com/office/drawing/2014/main" id="{00000000-0008-0000-0300-000035000000}"/>
              </a:ext>
            </a:extLst>
          </xdr:cNvPr>
          <xdr:cNvSpPr/>
        </xdr:nvSpPr>
        <xdr:spPr>
          <a:xfrm>
            <a:off x="10460320" y="3068379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16</xdr:col>
      <xdr:colOff>0</xdr:colOff>
      <xdr:row>15</xdr:row>
      <xdr:rowOff>0</xdr:rowOff>
    </xdr:from>
    <xdr:to>
      <xdr:col>22</xdr:col>
      <xdr:colOff>0</xdr:colOff>
      <xdr:row>25</xdr:row>
      <xdr:rowOff>0</xdr:rowOff>
    </xdr:to>
    <xdr:graphicFrame macro="">
      <xdr:nvGraphicFramePr>
        <xdr:cNvPr id="7" name="PowerTargetChar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10</xdr:col>
      <xdr:colOff>25400</xdr:colOff>
      <xdr:row>2</xdr:row>
      <xdr:rowOff>247650</xdr:rowOff>
    </xdr:from>
    <xdr:to>
      <xdr:col>14</xdr:col>
      <xdr:colOff>37682</xdr:colOff>
      <xdr:row>3</xdr:row>
      <xdr:rowOff>47244</xdr:rowOff>
    </xdr:to>
    <xdr:grpSp>
      <xdr:nvGrpSpPr>
        <xdr:cNvPr id="54" name="Cal.ChTgLegGroup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GrpSpPr/>
      </xdr:nvGrpSpPr>
      <xdr:grpSpPr>
        <a:xfrm>
          <a:off x="4930775" y="571500"/>
          <a:ext cx="2450682" cy="237744"/>
          <a:chOff x="5420292" y="551809"/>
          <a:chExt cx="2450682" cy="237744"/>
        </a:xfrm>
      </xdr:grpSpPr>
      <xdr:sp macro="" textlink="">
        <xdr:nvSpPr>
          <xdr:cNvPr id="55" name="Cal.ChLegBox1">
            <a:extLst>
              <a:ext uri="{FF2B5EF4-FFF2-40B4-BE49-F238E27FC236}">
                <a16:creationId xmlns:a16="http://schemas.microsoft.com/office/drawing/2014/main" id="{00000000-0008-0000-0300-000037000000}"/>
              </a:ext>
            </a:extLst>
          </xdr:cNvPr>
          <xdr:cNvSpPr/>
        </xdr:nvSpPr>
        <xdr:spPr>
          <a:xfrm>
            <a:off x="5420292" y="615817"/>
            <a:ext cx="292608" cy="109728"/>
          </a:xfrm>
          <a:prstGeom prst="rect">
            <a:avLst/>
          </a:prstGeom>
          <a:solidFill>
            <a:srgbClr val="FF8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56" name="Cal.ChLegTxt1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 txBox="1"/>
        </xdr:nvSpPr>
        <xdr:spPr>
          <a:xfrm>
            <a:off x="5789861" y="551809"/>
            <a:ext cx="977996" cy="2377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</a:t>
            </a:r>
          </a:p>
        </xdr:txBody>
      </xdr:sp>
      <xdr:sp macro="" textlink="">
        <xdr:nvSpPr>
          <xdr:cNvPr id="57" name="Cal.ChLegTxt2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 txBox="1"/>
        </xdr:nvSpPr>
        <xdr:spPr>
          <a:xfrm>
            <a:off x="6959444" y="551809"/>
            <a:ext cx="911530" cy="2377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 Goal</a:t>
            </a:r>
          </a:p>
        </xdr:txBody>
      </xdr:sp>
      <xdr:sp macro="" textlink="">
        <xdr:nvSpPr>
          <xdr:cNvPr id="58" name="Cal.ChLegBox2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/>
        </xdr:nvSpPr>
        <xdr:spPr>
          <a:xfrm>
            <a:off x="6660210" y="620805"/>
            <a:ext cx="292608" cy="99753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9</xdr:col>
      <xdr:colOff>0</xdr:colOff>
      <xdr:row>3</xdr:row>
      <xdr:rowOff>0</xdr:rowOff>
    </xdr:from>
    <xdr:to>
      <xdr:col>15</xdr:col>
      <xdr:colOff>0</xdr:colOff>
      <xdr:row>13</xdr:row>
      <xdr:rowOff>0</xdr:rowOff>
    </xdr:to>
    <xdr:graphicFrame macro="">
      <xdr:nvGraphicFramePr>
        <xdr:cNvPr id="8" name="CalTargetChart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17</xdr:col>
      <xdr:colOff>25400</xdr:colOff>
      <xdr:row>2</xdr:row>
      <xdr:rowOff>247650</xdr:rowOff>
    </xdr:from>
    <xdr:to>
      <xdr:col>21</xdr:col>
      <xdr:colOff>126542</xdr:colOff>
      <xdr:row>3</xdr:row>
      <xdr:rowOff>10668</xdr:rowOff>
    </xdr:to>
    <xdr:grpSp>
      <xdr:nvGrpSpPr>
        <xdr:cNvPr id="59" name="WeightChTgLegGroup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GrpSpPr/>
      </xdr:nvGrpSpPr>
      <xdr:grpSpPr>
        <a:xfrm>
          <a:off x="8702675" y="571500"/>
          <a:ext cx="2539542" cy="201168"/>
          <a:chOff x="9153525" y="549522"/>
          <a:chExt cx="2539542" cy="201168"/>
        </a:xfrm>
      </xdr:grpSpPr>
      <xdr:sp macro="" textlink="">
        <xdr:nvSpPr>
          <xdr:cNvPr id="60" name="WeightChLegBox1">
            <a:extLst>
              <a:ext uri="{FF2B5EF4-FFF2-40B4-BE49-F238E27FC236}">
                <a16:creationId xmlns:a16="http://schemas.microsoft.com/office/drawing/2014/main" id="{00000000-0008-0000-0300-00003C000000}"/>
              </a:ext>
            </a:extLst>
          </xdr:cNvPr>
          <xdr:cNvSpPr/>
        </xdr:nvSpPr>
        <xdr:spPr>
          <a:xfrm>
            <a:off x="9153525" y="595242"/>
            <a:ext cx="292608" cy="109728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61" name="WeightChLegTxt1">
            <a:extLst>
              <a:ext uri="{FF2B5EF4-FFF2-40B4-BE49-F238E27FC236}">
                <a16:creationId xmlns:a16="http://schemas.microsoft.com/office/drawing/2014/main" id="{00000000-0008-0000-0300-00003D000000}"/>
              </a:ext>
            </a:extLst>
          </xdr:cNvPr>
          <xdr:cNvSpPr txBox="1"/>
        </xdr:nvSpPr>
        <xdr:spPr>
          <a:xfrm>
            <a:off x="9444869" y="549522"/>
            <a:ext cx="914400" cy="2011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</a:t>
            </a:r>
          </a:p>
        </xdr:txBody>
      </xdr:sp>
      <xdr:sp macro="" textlink="">
        <xdr:nvSpPr>
          <xdr:cNvPr id="62" name="WeightChLegTxt2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SpPr txBox="1"/>
        </xdr:nvSpPr>
        <xdr:spPr>
          <a:xfrm>
            <a:off x="10778667" y="549522"/>
            <a:ext cx="914400" cy="2011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 Goal</a:t>
            </a:r>
          </a:p>
        </xdr:txBody>
      </xdr:sp>
      <xdr:sp macro="" textlink="">
        <xdr:nvSpPr>
          <xdr:cNvPr id="63" name="WeightChLegBox2">
            <a:extLst>
              <a:ext uri="{FF2B5EF4-FFF2-40B4-BE49-F238E27FC236}">
                <a16:creationId xmlns:a16="http://schemas.microsoft.com/office/drawing/2014/main" id="{00000000-0008-0000-0300-00003F000000}"/>
              </a:ext>
            </a:extLst>
          </xdr:cNvPr>
          <xdr:cNvSpPr/>
        </xdr:nvSpPr>
        <xdr:spPr>
          <a:xfrm>
            <a:off x="10460320" y="595242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16</xdr:col>
      <xdr:colOff>0</xdr:colOff>
      <xdr:row>3</xdr:row>
      <xdr:rowOff>0</xdr:rowOff>
    </xdr:from>
    <xdr:to>
      <xdr:col>22</xdr:col>
      <xdr:colOff>0</xdr:colOff>
      <xdr:row>13</xdr:row>
      <xdr:rowOff>0</xdr:rowOff>
    </xdr:to>
    <xdr:graphicFrame macro="">
      <xdr:nvGraphicFramePr>
        <xdr:cNvPr id="9" name="WeightTargetChart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</xdr:col>
      <xdr:colOff>25400</xdr:colOff>
      <xdr:row>14</xdr:row>
      <xdr:rowOff>9525</xdr:rowOff>
    </xdr:from>
    <xdr:to>
      <xdr:col>14</xdr:col>
      <xdr:colOff>123974</xdr:colOff>
      <xdr:row>15</xdr:row>
      <xdr:rowOff>35719</xdr:rowOff>
    </xdr:to>
    <xdr:grpSp>
      <xdr:nvGrpSpPr>
        <xdr:cNvPr id="64" name="HRChTgLegGroup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GrpSpPr/>
      </xdr:nvGrpSpPr>
      <xdr:grpSpPr>
        <a:xfrm>
          <a:off x="4930775" y="2971800"/>
          <a:ext cx="2536974" cy="226219"/>
          <a:chOff x="5419725" y="2781300"/>
          <a:chExt cx="2536974" cy="226219"/>
        </a:xfrm>
      </xdr:grpSpPr>
      <xdr:sp macro="" textlink="">
        <xdr:nvSpPr>
          <xdr:cNvPr id="65" name="HRChLegBox1">
            <a:extLst>
              <a:ext uri="{FF2B5EF4-FFF2-40B4-BE49-F238E27FC236}">
                <a16:creationId xmlns:a16="http://schemas.microsoft.com/office/drawing/2014/main" id="{00000000-0008-0000-0300-000041000000}"/>
              </a:ext>
            </a:extLst>
          </xdr:cNvPr>
          <xdr:cNvSpPr/>
        </xdr:nvSpPr>
        <xdr:spPr>
          <a:xfrm>
            <a:off x="5419725" y="2840208"/>
            <a:ext cx="292608" cy="109728"/>
          </a:xfrm>
          <a:prstGeom prst="rect">
            <a:avLst/>
          </a:prstGeom>
          <a:solidFill>
            <a:srgbClr val="000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66" name="HRChLegTxt1">
            <a:extLst>
              <a:ext uri="{FF2B5EF4-FFF2-40B4-BE49-F238E27FC236}">
                <a16:creationId xmlns:a16="http://schemas.microsoft.com/office/drawing/2014/main" id="{00000000-0008-0000-0300-000042000000}"/>
              </a:ext>
            </a:extLst>
          </xdr:cNvPr>
          <xdr:cNvSpPr txBox="1"/>
        </xdr:nvSpPr>
        <xdr:spPr>
          <a:xfrm>
            <a:off x="5722926" y="2781300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</a:t>
            </a:r>
          </a:p>
        </xdr:txBody>
      </xdr:sp>
      <xdr:sp macro="" textlink="">
        <xdr:nvSpPr>
          <xdr:cNvPr id="67" name="HRChLegTxt2">
            <a:extLst>
              <a:ext uri="{FF2B5EF4-FFF2-40B4-BE49-F238E27FC236}">
                <a16:creationId xmlns:a16="http://schemas.microsoft.com/office/drawing/2014/main" id="{00000000-0008-0000-0300-000043000000}"/>
              </a:ext>
            </a:extLst>
          </xdr:cNvPr>
          <xdr:cNvSpPr txBox="1"/>
        </xdr:nvSpPr>
        <xdr:spPr>
          <a:xfrm>
            <a:off x="7044867" y="2794874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 Goal</a:t>
            </a:r>
          </a:p>
        </xdr:txBody>
      </xdr:sp>
      <xdr:sp macro="" textlink="">
        <xdr:nvSpPr>
          <xdr:cNvPr id="68" name="HRChLegBox2">
            <a:extLst>
              <a:ext uri="{FF2B5EF4-FFF2-40B4-BE49-F238E27FC236}">
                <a16:creationId xmlns:a16="http://schemas.microsoft.com/office/drawing/2014/main" id="{00000000-0008-0000-0300-000044000000}"/>
              </a:ext>
            </a:extLst>
          </xdr:cNvPr>
          <xdr:cNvSpPr/>
        </xdr:nvSpPr>
        <xdr:spPr>
          <a:xfrm>
            <a:off x="6726520" y="2839779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9</xdr:col>
      <xdr:colOff>0</xdr:colOff>
      <xdr:row>15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10" name="HRTargetChart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8</xdr:row>
          <xdr:rowOff>9525</xdr:rowOff>
        </xdr:from>
        <xdr:to>
          <xdr:col>2</xdr:col>
          <xdr:colOff>457200</xdr:colOff>
          <xdr:row>8</xdr:row>
          <xdr:rowOff>190500</xdr:rowOff>
        </xdr:to>
        <xdr:sp macro="" textlink="">
          <xdr:nvSpPr>
            <xdr:cNvPr id="22536" name="AddWeightButtom" descr="Add Weight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4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+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0</xdr:colOff>
      <xdr:row>3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4" name="AddWeightChar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209550</xdr:colOff>
      <xdr:row>1</xdr:row>
      <xdr:rowOff>180975</xdr:rowOff>
    </xdr:from>
    <xdr:to>
      <xdr:col>13</xdr:col>
      <xdr:colOff>274320</xdr:colOff>
      <xdr:row>3</xdr:row>
      <xdr:rowOff>43882</xdr:rowOff>
    </xdr:to>
    <xdr:sp macro="" textlink="UploadFolder">
      <xdr:nvSpPr>
        <xdr:cNvPr id="4" name="FileFolderTxtBox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019175" y="447675"/>
          <a:ext cx="5760720" cy="262957"/>
        </a:xfrm>
        <a:prstGeom prst="rect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fld id="{59C3AE4C-E507-4829-9A97-6F156F6E8594}" type="TxLink">
            <a:rPr lang="en-US" sz="1200" b="0" i="0" u="none" strike="noStrike">
              <a:solidFill>
                <a:schemeClr val="tx1"/>
              </a:solidFill>
              <a:latin typeface="Arial Nova" panose="020B0504020202020204" pitchFamily="34" charset="0"/>
              <a:cs typeface="Calibri"/>
            </a:rPr>
            <a:pPr algn="l"/>
            <a:t> </a:t>
          </a:fld>
          <a:endParaRPr lang="en-US" sz="1200" b="1">
            <a:solidFill>
              <a:schemeClr val="tx1"/>
            </a:solidFill>
            <a:latin typeface="Arial Nova" panose="020B0504020202020204" pitchFamily="34" charset="0"/>
          </a:endParaRPr>
        </a:p>
      </xdr:txBody>
    </xdr:sp>
    <xdr:clientData/>
  </xdr:twoCellAnchor>
  <xdr:twoCellAnchor editAs="absolute">
    <xdr:from>
      <xdr:col>0</xdr:col>
      <xdr:colOff>47625</xdr:colOff>
      <xdr:row>1</xdr:row>
      <xdr:rowOff>171450</xdr:rowOff>
    </xdr:from>
    <xdr:to>
      <xdr:col>2</xdr:col>
      <xdr:colOff>342900</xdr:colOff>
      <xdr:row>3</xdr:row>
      <xdr:rowOff>34357</xdr:rowOff>
    </xdr:to>
    <xdr:sp macro="" textlink="">
      <xdr:nvSpPr>
        <xdr:cNvPr id="2" name="FileSourceTxtBox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47625" y="438150"/>
          <a:ext cx="1076325" cy="2629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1200" b="1">
              <a:latin typeface="Arial Nova" panose="020B0504020202020204" pitchFamily="34" charset="0"/>
            </a:rPr>
            <a:t>File source: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457200</xdr:colOff>
          <xdr:row>1</xdr:row>
          <xdr:rowOff>171450</xdr:rowOff>
        </xdr:from>
        <xdr:to>
          <xdr:col>13</xdr:col>
          <xdr:colOff>733425</xdr:colOff>
          <xdr:row>3</xdr:row>
          <xdr:rowOff>47625</xdr:rowOff>
        </xdr:to>
        <xdr:sp macro="" textlink="">
          <xdr:nvSpPr>
            <xdr:cNvPr id="13316" name="UploadButton" descr="Browse file sourc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Nova"/>
                </a:rPr>
                <a:t>📂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38100</xdr:colOff>
      <xdr:row>0</xdr:row>
      <xdr:rowOff>241300</xdr:rowOff>
    </xdr:from>
    <xdr:to>
      <xdr:col>20</xdr:col>
      <xdr:colOff>84268</xdr:colOff>
      <xdr:row>14</xdr:row>
      <xdr:rowOff>48236</xdr:rowOff>
    </xdr:to>
    <xdr:grpSp>
      <xdr:nvGrpSpPr>
        <xdr:cNvPr id="66" name="BMIGaugeGroup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GrpSpPr/>
      </xdr:nvGrpSpPr>
      <xdr:grpSpPr>
        <a:xfrm>
          <a:off x="10287000" y="241300"/>
          <a:ext cx="2017843" cy="2340586"/>
          <a:chOff x="6881366" y="3054306"/>
          <a:chExt cx="2017843" cy="2340586"/>
        </a:xfrm>
      </xdr:grpSpPr>
      <xdr:graphicFrame macro="">
        <xdr:nvGraphicFramePr>
          <xdr:cNvPr id="67" name="BMI_Chart">
            <a:extLst>
              <a:ext uri="{FF2B5EF4-FFF2-40B4-BE49-F238E27FC236}">
                <a16:creationId xmlns:a16="http://schemas.microsoft.com/office/drawing/2014/main" id="{00000000-0008-0000-0600-000043000000}"/>
              </a:ext>
            </a:extLst>
          </xdr:cNvPr>
          <xdr:cNvGraphicFramePr/>
        </xdr:nvGraphicFramePr>
        <xdr:xfrm>
          <a:off x="6881366" y="3220088"/>
          <a:ext cx="1907234" cy="21748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68" name="BMIGauge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GraphicFramePr/>
        </xdr:nvGraphicFramePr>
        <xdr:xfrm>
          <a:off x="6881366" y="3220088"/>
          <a:ext cx="1907234" cy="21748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69" name="BMITxtGroup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GrpSpPr/>
        </xdr:nvGrpSpPr>
        <xdr:grpSpPr>
          <a:xfrm>
            <a:off x="7569027" y="4386824"/>
            <a:ext cx="528047" cy="702373"/>
            <a:chOff x="10903839" y="1447798"/>
            <a:chExt cx="579120" cy="717235"/>
          </a:xfrm>
        </xdr:grpSpPr>
        <xdr:sp macro="" textlink="Actual_BMI">
          <xdr:nvSpPr>
            <xdr:cNvPr id="78" name="BMITxtActual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:cNvPr>
            <xdr:cNvSpPr txBox="1"/>
          </xdr:nvSpPr>
          <xdr:spPr>
            <a:xfrm>
              <a:off x="10964799" y="1447798"/>
              <a:ext cx="457200" cy="4572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0D5CE813-5207-4ACF-B62E-17CBA2D0E612}" type="TxLink">
                <a:rPr lang="en-US" sz="1200" b="0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#N/A</a:t>
              </a:fld>
              <a:endParaRPr lang="en-US" sz="10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  <xdr:sp macro="" textlink="">
          <xdr:nvSpPr>
            <xdr:cNvPr id="79" name="BMITxt">
              <a:extLst>
                <a:ext uri="{FF2B5EF4-FFF2-40B4-BE49-F238E27FC236}">
                  <a16:creationId xmlns:a16="http://schemas.microsoft.com/office/drawing/2014/main" id="{00000000-0008-0000-0600-00004F000000}"/>
                </a:ext>
              </a:extLst>
            </xdr:cNvPr>
            <xdr:cNvSpPr txBox="1"/>
          </xdr:nvSpPr>
          <xdr:spPr>
            <a:xfrm>
              <a:off x="10964799" y="1752600"/>
              <a:ext cx="457200" cy="2011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sz="1000" b="1">
                  <a:solidFill>
                    <a:srgbClr val="A6A6A6"/>
                  </a:solidFill>
                  <a:latin typeface="Arial Nova" panose="020B0504020202020204" pitchFamily="34" charset="0"/>
                </a:rPr>
                <a:t>BMI</a:t>
              </a:r>
            </a:p>
          </xdr:txBody>
        </xdr:sp>
        <xdr:sp macro="" textlink="WeightUnit">
          <xdr:nvSpPr>
            <xdr:cNvPr id="80" name="BMITxtWeightUnit">
              <a:extLst>
                <a:ext uri="{FF2B5EF4-FFF2-40B4-BE49-F238E27FC236}">
                  <a16:creationId xmlns:a16="http://schemas.microsoft.com/office/drawing/2014/main" id="{00000000-0008-0000-0600-000050000000}"/>
                </a:ext>
              </a:extLst>
            </xdr:cNvPr>
            <xdr:cNvSpPr txBox="1"/>
          </xdr:nvSpPr>
          <xdr:spPr>
            <a:xfrm>
              <a:off x="11208639" y="1890713"/>
              <a:ext cx="274320" cy="274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05EBB553-B9C7-438A-ABBC-8F0371E4E928}" type="TxLink">
                <a:rPr lang="en-US" sz="800" b="1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lb</a:t>
              </a:fld>
              <a:endParaRPr lang="en-US" sz="8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  <xdr:sp macro="" textlink="Actual_Weight">
          <xdr:nvSpPr>
            <xdr:cNvPr id="81" name="BMITxtWeight">
              <a:extLst>
                <a:ext uri="{FF2B5EF4-FFF2-40B4-BE49-F238E27FC236}">
                  <a16:creationId xmlns:a16="http://schemas.microsoft.com/office/drawing/2014/main" id="{00000000-0008-0000-0600-000051000000}"/>
                </a:ext>
              </a:extLst>
            </xdr:cNvPr>
            <xdr:cNvSpPr txBox="1"/>
          </xdr:nvSpPr>
          <xdr:spPr>
            <a:xfrm>
              <a:off x="10903839" y="1890713"/>
              <a:ext cx="457200" cy="274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B1A5BEA8-B583-4F51-989E-5C59664A0DFA}" type="TxLink">
                <a:rPr lang="en-US" sz="800" b="1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#N/A</a:t>
              </a:fld>
              <a:endParaRPr lang="en-US" sz="8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</xdr:grpSp>
      <xdr:sp macro="" textlink="">
        <xdr:nvSpPr>
          <xdr:cNvPr id="70" name="BMITxtObese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7673472" y="3221810"/>
            <a:ext cx="1225737" cy="2205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Underweight / Obese</a:t>
            </a:r>
          </a:p>
        </xdr:txBody>
      </xdr:sp>
      <xdr:sp macro="" textlink="">
        <xdr:nvSpPr>
          <xdr:cNvPr id="71" name="BMITxtOverWeight">
            <a:extLst>
              <a:ext uri="{FF2B5EF4-FFF2-40B4-BE49-F238E27FC236}">
                <a16:creationId xmlns:a16="http://schemas.microsoft.com/office/drawing/2014/main" id="{00000000-0008-0000-0600-000047000000}"/>
              </a:ext>
            </a:extLst>
          </xdr:cNvPr>
          <xdr:cNvSpPr txBox="1"/>
        </xdr:nvSpPr>
        <xdr:spPr>
          <a:xfrm>
            <a:off x="6996535" y="3221810"/>
            <a:ext cx="721915" cy="2205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Overweight</a:t>
            </a:r>
          </a:p>
        </xdr:txBody>
      </xdr:sp>
      <xdr:sp macro="" textlink="">
        <xdr:nvSpPr>
          <xdr:cNvPr id="72" name="BMITxtHealthy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7673469" y="3054306"/>
            <a:ext cx="1049685" cy="2194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Healthy weight</a:t>
            </a:r>
          </a:p>
        </xdr:txBody>
      </xdr:sp>
      <xdr:sp macro="" textlink="">
        <xdr:nvSpPr>
          <xdr:cNvPr id="73" name="BMITxtGoal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6996535" y="3054306"/>
            <a:ext cx="472196" cy="2194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Goal</a:t>
            </a:r>
          </a:p>
        </xdr:txBody>
      </xdr:sp>
      <xdr:sp macro="" textlink="">
        <xdr:nvSpPr>
          <xdr:cNvPr id="74" name="BMIBoxHealthy">
            <a:extLst>
              <a:ext uri="{FF2B5EF4-FFF2-40B4-BE49-F238E27FC236}">
                <a16:creationId xmlns:a16="http://schemas.microsoft.com/office/drawing/2014/main" id="{00000000-0008-0000-0600-00004A000000}"/>
              </a:ext>
            </a:extLst>
          </xdr:cNvPr>
          <xdr:cNvSpPr/>
        </xdr:nvSpPr>
        <xdr:spPr>
          <a:xfrm>
            <a:off x="7633079" y="3286343"/>
            <a:ext cx="91897" cy="91440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75" name="BMIBoxOverweight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/>
        </xdr:nvSpPr>
        <xdr:spPr>
          <a:xfrm>
            <a:off x="6968361" y="3284433"/>
            <a:ext cx="91897" cy="95261"/>
          </a:xfrm>
          <a:prstGeom prst="rect">
            <a:avLst/>
          </a:prstGeom>
          <a:solidFill>
            <a:srgbClr val="FF64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76" name="BMIBoxHealthy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/>
        </xdr:nvSpPr>
        <xdr:spPr>
          <a:xfrm>
            <a:off x="7633079" y="3118314"/>
            <a:ext cx="91897" cy="91440"/>
          </a:xfrm>
          <a:prstGeom prst="rect">
            <a:avLst/>
          </a:prstGeom>
          <a:solidFill>
            <a:srgbClr val="006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77" name="BMIBoxGoal">
            <a:extLst>
              <a:ext uri="{FF2B5EF4-FFF2-40B4-BE49-F238E27FC236}">
                <a16:creationId xmlns:a16="http://schemas.microsoft.com/office/drawing/2014/main" id="{00000000-0008-0000-0600-00004D000000}"/>
              </a:ext>
            </a:extLst>
          </xdr:cNvPr>
          <xdr:cNvSpPr/>
        </xdr:nvSpPr>
        <xdr:spPr>
          <a:xfrm>
            <a:off x="6968361" y="3122470"/>
            <a:ext cx="91897" cy="91440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130175</xdr:rowOff>
    </xdr:from>
    <xdr:to>
      <xdr:col>3</xdr:col>
      <xdr:colOff>103346</xdr:colOff>
      <xdr:row>13</xdr:row>
      <xdr:rowOff>188754</xdr:rowOff>
    </xdr:to>
    <xdr:grpSp>
      <xdr:nvGrpSpPr>
        <xdr:cNvPr id="82" name="WeeksGaugeGroup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GrpSpPr/>
      </xdr:nvGrpSpPr>
      <xdr:grpSpPr>
        <a:xfrm>
          <a:off x="0" y="444500"/>
          <a:ext cx="1913096" cy="2049304"/>
          <a:chOff x="6869909" y="0"/>
          <a:chExt cx="1913096" cy="2049304"/>
        </a:xfrm>
      </xdr:grpSpPr>
      <xdr:sp macro="" textlink="CountdownTxt">
        <xdr:nvSpPr>
          <xdr:cNvPr id="83" name="CountDownTxtBox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SpPr txBox="1"/>
        </xdr:nvSpPr>
        <xdr:spPr>
          <a:xfrm>
            <a:off x="7427642" y="691863"/>
            <a:ext cx="797630" cy="7216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0EAC9851-332B-4382-AE43-388C27E80D64}" type="TxLink">
              <a:rPr lang="en-US" sz="3400" b="0" i="0" u="none" strike="noStrike">
                <a:solidFill>
                  <a:srgbClr val="A6A6A6"/>
                </a:solidFill>
                <a:latin typeface="Arial Nova" panose="020B0504020202020204" pitchFamily="34" charset="0"/>
                <a:cs typeface="Sakkal Majalla" panose="020B0604020202020204" pitchFamily="2" charset="-78"/>
              </a:rPr>
              <a:pPr algn="ctr"/>
              <a:t>#N/A</a:t>
            </a:fld>
            <a:endParaRPr lang="en-US" sz="3400" b="1">
              <a:solidFill>
                <a:srgbClr val="A6A6A6"/>
              </a:solidFill>
              <a:latin typeface="Arial Nova" panose="020B0504020202020204" pitchFamily="34" charset="0"/>
              <a:cs typeface="Sakkal Majalla" panose="020B0604020202020204" pitchFamily="2" charset="-78"/>
            </a:endParaRPr>
          </a:p>
        </xdr:txBody>
      </xdr:sp>
      <xdr:sp macro="" textlink="WeeksToRaceTxt">
        <xdr:nvSpPr>
          <xdr:cNvPr id="84" name="WeeksToRaceTxtBox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38102" y="1243939"/>
            <a:ext cx="776708" cy="70190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0" bIns="0" anchor="ctr" upright="1"/>
          <a:lstStyle/>
          <a:p>
            <a:pPr algn="ctr" rtl="0">
              <a:defRPr sz="1000"/>
            </a:pPr>
            <a:fld id="{0DAFB378-D57D-44F3-966E-58BFBB316423}" type="TxLink">
              <a:rPr lang="en-US" sz="1400" b="0" i="0" u="none" strike="noStrike" baseline="0">
                <a:solidFill>
                  <a:srgbClr val="A6A6A6"/>
                </a:solidFill>
                <a:latin typeface="Arial Nova" panose="020B0504020202020204" pitchFamily="34" charset="0"/>
                <a:cs typeface="Calibri"/>
              </a:rPr>
              <a:pPr algn="ctr" rtl="0">
                <a:defRPr sz="1000"/>
              </a:pPr>
              <a:t>#N/A</a:t>
            </a:fld>
            <a:endParaRPr lang="en-US" sz="1400" b="0" i="0" u="none" strike="noStrike" baseline="0">
              <a:solidFill>
                <a:srgbClr val="A6A6A6"/>
              </a:solidFill>
              <a:latin typeface="Arial Nova" panose="020B0504020202020204" pitchFamily="34" charset="0"/>
              <a:cs typeface="Calibri"/>
            </a:endParaRPr>
          </a:p>
        </xdr:txBody>
      </xdr:sp>
      <xdr:graphicFrame macro="">
        <xdr:nvGraphicFramePr>
          <xdr:cNvPr id="85" name="WeeksToRaceChart">
            <a:extLst>
              <a:ext uri="{FF2B5EF4-FFF2-40B4-BE49-F238E27FC236}">
                <a16:creationId xmlns:a16="http://schemas.microsoft.com/office/drawing/2014/main" id="{00000000-0008-0000-0600-000055000000}"/>
              </a:ext>
            </a:extLst>
          </xdr:cNvPr>
          <xdr:cNvGraphicFramePr>
            <a:graphicFrameLocks/>
          </xdr:cNvGraphicFramePr>
        </xdr:nvGraphicFramePr>
        <xdr:xfrm>
          <a:off x="6869909" y="0"/>
          <a:ext cx="1913096" cy="20493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 editAs="absolute">
    <xdr:from>
      <xdr:col>4</xdr:col>
      <xdr:colOff>520700</xdr:colOff>
      <xdr:row>13</xdr:row>
      <xdr:rowOff>38100</xdr:rowOff>
    </xdr:from>
    <xdr:to>
      <xdr:col>7</xdr:col>
      <xdr:colOff>571648</xdr:colOff>
      <xdr:row>14</xdr:row>
      <xdr:rowOff>35719</xdr:rowOff>
    </xdr:to>
    <xdr:grpSp>
      <xdr:nvGrpSpPr>
        <xdr:cNvPr id="93" name="SpeedChLegGroup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GrpSpPr/>
      </xdr:nvGrpSpPr>
      <xdr:grpSpPr>
        <a:xfrm>
          <a:off x="2444750" y="2343150"/>
          <a:ext cx="2527448" cy="226219"/>
          <a:chOff x="8982077" y="523874"/>
          <a:chExt cx="2527448" cy="226219"/>
        </a:xfrm>
      </xdr:grpSpPr>
      <xdr:sp macro="" textlink="">
        <xdr:nvSpPr>
          <xdr:cNvPr id="94" name="SpeedChLegBox1">
            <a:extLst>
              <a:ext uri="{FF2B5EF4-FFF2-40B4-BE49-F238E27FC236}">
                <a16:creationId xmlns:a16="http://schemas.microsoft.com/office/drawing/2014/main" id="{00000000-0008-0000-0600-00005E000000}"/>
              </a:ext>
            </a:extLst>
          </xdr:cNvPr>
          <xdr:cNvSpPr/>
        </xdr:nvSpPr>
        <xdr:spPr>
          <a:xfrm>
            <a:off x="8982077" y="582781"/>
            <a:ext cx="293001" cy="108408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95" name="SpeedChLegTxt1">
            <a:extLst>
              <a:ext uri="{FF2B5EF4-FFF2-40B4-BE49-F238E27FC236}">
                <a16:creationId xmlns:a16="http://schemas.microsoft.com/office/drawing/2014/main" id="{00000000-0008-0000-0600-00005F000000}"/>
              </a:ext>
            </a:extLst>
          </xdr:cNvPr>
          <xdr:cNvSpPr txBox="1"/>
        </xdr:nvSpPr>
        <xdr:spPr>
          <a:xfrm>
            <a:off x="9285278" y="523874"/>
            <a:ext cx="911824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Speed</a:t>
            </a:r>
          </a:p>
        </xdr:txBody>
      </xdr:sp>
      <xdr:sp macro="" textlink="">
        <xdr:nvSpPr>
          <xdr:cNvPr id="96" name="SpeedChLegTxt2">
            <a:extLst>
              <a:ext uri="{FF2B5EF4-FFF2-40B4-BE49-F238E27FC236}">
                <a16:creationId xmlns:a16="http://schemas.microsoft.com/office/drawing/2014/main" id="{00000000-0008-0000-0600-000060000000}"/>
              </a:ext>
            </a:extLst>
          </xdr:cNvPr>
          <xdr:cNvSpPr txBox="1"/>
        </xdr:nvSpPr>
        <xdr:spPr>
          <a:xfrm>
            <a:off x="10597702" y="537447"/>
            <a:ext cx="911823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Climber Index</a:t>
            </a:r>
          </a:p>
        </xdr:txBody>
      </xdr:sp>
      <xdr:sp macro="" textlink="">
        <xdr:nvSpPr>
          <xdr:cNvPr id="97" name="SpeedChLegBox2">
            <a:extLst>
              <a:ext uri="{FF2B5EF4-FFF2-40B4-BE49-F238E27FC236}">
                <a16:creationId xmlns:a16="http://schemas.microsoft.com/office/drawing/2014/main" id="{00000000-0008-0000-0600-000061000000}"/>
              </a:ext>
            </a:extLst>
          </xdr:cNvPr>
          <xdr:cNvSpPr/>
        </xdr:nvSpPr>
        <xdr:spPr>
          <a:xfrm>
            <a:off x="10288862" y="582353"/>
            <a:ext cx="293889" cy="109261"/>
          </a:xfrm>
          <a:prstGeom prst="rect">
            <a:avLst/>
          </a:prstGeom>
          <a:solidFill>
            <a:srgbClr val="E1684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0</xdr:colOff>
      <xdr:row>14</xdr:row>
      <xdr:rowOff>0</xdr:rowOff>
    </xdr:from>
    <xdr:to>
      <xdr:col>9</xdr:col>
      <xdr:colOff>0</xdr:colOff>
      <xdr:row>28</xdr:row>
      <xdr:rowOff>0</xdr:rowOff>
    </xdr:to>
    <xdr:graphicFrame macro="">
      <xdr:nvGraphicFramePr>
        <xdr:cNvPr id="7" name="SpeedChart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10</xdr:col>
      <xdr:colOff>635000</xdr:colOff>
      <xdr:row>13</xdr:row>
      <xdr:rowOff>38100</xdr:rowOff>
    </xdr:from>
    <xdr:to>
      <xdr:col>13</xdr:col>
      <xdr:colOff>628799</xdr:colOff>
      <xdr:row>14</xdr:row>
      <xdr:rowOff>35719</xdr:rowOff>
    </xdr:to>
    <xdr:grpSp>
      <xdr:nvGrpSpPr>
        <xdr:cNvPr id="98" name="WeightChLegGroup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GrpSpPr/>
      </xdr:nvGrpSpPr>
      <xdr:grpSpPr>
        <a:xfrm>
          <a:off x="6778625" y="2343150"/>
          <a:ext cx="2536974" cy="226219"/>
          <a:chOff x="8982076" y="1138331"/>
          <a:chExt cx="2536974" cy="226219"/>
        </a:xfrm>
      </xdr:grpSpPr>
      <xdr:sp macro="" textlink="">
        <xdr:nvSpPr>
          <xdr:cNvPr id="99" name="WeightChLegBox1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SpPr/>
        </xdr:nvSpPr>
        <xdr:spPr>
          <a:xfrm>
            <a:off x="8982076" y="1197239"/>
            <a:ext cx="293004" cy="108408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100" name="WeightChLegTxt1">
            <a:extLst>
              <a:ext uri="{FF2B5EF4-FFF2-40B4-BE49-F238E27FC236}">
                <a16:creationId xmlns:a16="http://schemas.microsoft.com/office/drawing/2014/main" id="{00000000-0008-0000-0600-000064000000}"/>
              </a:ext>
            </a:extLst>
          </xdr:cNvPr>
          <xdr:cNvSpPr txBox="1"/>
        </xdr:nvSpPr>
        <xdr:spPr>
          <a:xfrm>
            <a:off x="9285277" y="1138331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</a:t>
            </a:r>
          </a:p>
        </xdr:txBody>
      </xdr:sp>
      <xdr:sp macro="" textlink="">
        <xdr:nvSpPr>
          <xdr:cNvPr id="101" name="WeightChLegTxt2"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 txBox="1"/>
        </xdr:nvSpPr>
        <xdr:spPr>
          <a:xfrm>
            <a:off x="10607218" y="1151905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</a:t>
            </a:r>
          </a:p>
        </xdr:txBody>
      </xdr:sp>
      <xdr:sp macro="" textlink="">
        <xdr:nvSpPr>
          <xdr:cNvPr id="102" name="WeightChLegBox2">
            <a:extLst>
              <a:ext uri="{FF2B5EF4-FFF2-40B4-BE49-F238E27FC236}">
                <a16:creationId xmlns:a16="http://schemas.microsoft.com/office/drawing/2014/main" id="{00000000-0008-0000-0600-000066000000}"/>
              </a:ext>
            </a:extLst>
          </xdr:cNvPr>
          <xdr:cNvSpPr/>
        </xdr:nvSpPr>
        <xdr:spPr>
          <a:xfrm>
            <a:off x="10288871" y="1196811"/>
            <a:ext cx="293892" cy="109261"/>
          </a:xfrm>
          <a:prstGeom prst="rect">
            <a:avLst/>
          </a:prstGeom>
          <a:solidFill>
            <a:srgbClr val="000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0</xdr:colOff>
      <xdr:row>14</xdr:row>
      <xdr:rowOff>0</xdr:rowOff>
    </xdr:from>
    <xdr:to>
      <xdr:col>15</xdr:col>
      <xdr:colOff>0</xdr:colOff>
      <xdr:row>28</xdr:row>
      <xdr:rowOff>0</xdr:rowOff>
    </xdr:to>
    <xdr:graphicFrame macro="">
      <xdr:nvGraphicFramePr>
        <xdr:cNvPr id="8" name="WeightChart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</xdr:col>
      <xdr:colOff>520700</xdr:colOff>
      <xdr:row>1</xdr:row>
      <xdr:rowOff>47625</xdr:rowOff>
    </xdr:from>
    <xdr:to>
      <xdr:col>10</xdr:col>
      <xdr:colOff>53703</xdr:colOff>
      <xdr:row>3</xdr:row>
      <xdr:rowOff>120206</xdr:rowOff>
    </xdr:to>
    <xdr:grpSp>
      <xdr:nvGrpSpPr>
        <xdr:cNvPr id="42" name="Cal.ChLegGroup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pSpPr/>
      </xdr:nvGrpSpPr>
      <xdr:grpSpPr>
        <a:xfrm>
          <a:off x="2444750" y="304800"/>
          <a:ext cx="3752578" cy="310706"/>
          <a:chOff x="8982073" y="1636109"/>
          <a:chExt cx="3781153" cy="310706"/>
        </a:xfrm>
      </xdr:grpSpPr>
      <xdr:sp macro="" textlink="">
        <xdr:nvSpPr>
          <xdr:cNvPr id="43" name="Cal.ChLegBox1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/>
        </xdr:nvSpPr>
        <xdr:spPr>
          <a:xfrm>
            <a:off x="8982073" y="1737515"/>
            <a:ext cx="292608" cy="107895"/>
          </a:xfrm>
          <a:prstGeom prst="rect">
            <a:avLst/>
          </a:prstGeom>
          <a:solidFill>
            <a:srgbClr val="FF8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4" name="Cal.ChLegTxt1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9284967" y="1636109"/>
            <a:ext cx="977996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</a:t>
            </a:r>
          </a:p>
        </xdr:txBody>
      </xdr:sp>
      <xdr:sp macro="" textlink="">
        <xdr:nvSpPr>
          <xdr:cNvPr id="45" name="Cal.ChLegTxt3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SpPr txBox="1"/>
        </xdr:nvSpPr>
        <xdr:spPr>
          <a:xfrm>
            <a:off x="11889587" y="1636109"/>
            <a:ext cx="845064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Cal/hour</a:t>
            </a:r>
          </a:p>
        </xdr:txBody>
      </xdr:sp>
      <xdr:sp macro="" textlink="">
        <xdr:nvSpPr>
          <xdr:cNvPr id="46" name="Cal.ChLegBox3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SpPr/>
        </xdr:nvSpPr>
        <xdr:spPr>
          <a:xfrm>
            <a:off x="11575754" y="1735744"/>
            <a:ext cx="292608" cy="111437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7" name="Cal.ChLegTxt2">
            <a:extLst>
              <a:ext uri="{FF2B5EF4-FFF2-40B4-BE49-F238E27FC236}">
                <a16:creationId xmlns:a16="http://schemas.microsoft.com/office/drawing/2014/main" id="{00000000-0008-0000-0600-00002F000000}"/>
              </a:ext>
            </a:extLst>
          </xdr:cNvPr>
          <xdr:cNvSpPr txBox="1"/>
        </xdr:nvSpPr>
        <xdr:spPr>
          <a:xfrm>
            <a:off x="10521225" y="1636109"/>
            <a:ext cx="911530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 Goal</a:t>
            </a:r>
          </a:p>
        </xdr:txBody>
      </xdr:sp>
      <xdr:sp macro="" textlink="">
        <xdr:nvSpPr>
          <xdr:cNvPr id="48" name="Cal.ChLegBox2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SpPr/>
        </xdr:nvSpPr>
        <xdr:spPr>
          <a:xfrm>
            <a:off x="10221991" y="1737085"/>
            <a:ext cx="293795" cy="108744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0</xdr:colOff>
      <xdr:row>3</xdr:row>
      <xdr:rowOff>0</xdr:rowOff>
    </xdr:from>
    <xdr:to>
      <xdr:col>15</xdr:col>
      <xdr:colOff>0</xdr:colOff>
      <xdr:row>13</xdr:row>
      <xdr:rowOff>0</xdr:rowOff>
    </xdr:to>
    <xdr:graphicFrame macro="">
      <xdr:nvGraphicFramePr>
        <xdr:cNvPr id="2" name="CalChart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</xdr:row>
      <xdr:rowOff>56173</xdr:rowOff>
    </xdr:from>
    <xdr:to>
      <xdr:col>8</xdr:col>
      <xdr:colOff>347323</xdr:colOff>
      <xdr:row>7</xdr:row>
      <xdr:rowOff>188777</xdr:rowOff>
    </xdr:to>
    <xdr:grpSp>
      <xdr:nvGrpSpPr>
        <xdr:cNvPr id="25641" name="Group 25640">
          <a:extLst>
            <a:ext uri="{FF2B5EF4-FFF2-40B4-BE49-F238E27FC236}">
              <a16:creationId xmlns:a16="http://schemas.microsoft.com/office/drawing/2014/main" id="{00000000-0008-0000-0700-000029640000}"/>
            </a:ext>
          </a:extLst>
        </xdr:cNvPr>
        <xdr:cNvGrpSpPr/>
      </xdr:nvGrpSpPr>
      <xdr:grpSpPr>
        <a:xfrm>
          <a:off x="1762125" y="313348"/>
          <a:ext cx="1366498" cy="1189879"/>
          <a:chOff x="1762125" y="313348"/>
          <a:chExt cx="1366498" cy="1189879"/>
        </a:xfrm>
      </xdr:grpSpPr>
      <xdr:sp macro="" textlink="">
        <xdr:nvSpPr>
          <xdr:cNvPr id="7" name="TextBoxHeadActivities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 txBox="1"/>
        </xdr:nvSpPr>
        <xdr:spPr>
          <a:xfrm>
            <a:off x="1762125" y="313348"/>
            <a:ext cx="1366498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Activities</a:t>
            </a:r>
          </a:p>
        </xdr:txBody>
      </xdr:sp>
      <xdr:sp macro="" textlink="">
        <xdr:nvSpPr>
          <xdr:cNvPr id="14" name="TextBoxActivities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 txBox="1"/>
        </xdr:nvSpPr>
        <xdr:spPr>
          <a:xfrm>
            <a:off x="1762125" y="675015"/>
            <a:ext cx="1366498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25" name="TextBoxActivitiesInsight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 txBox="1"/>
        </xdr:nvSpPr>
        <xdr:spPr>
          <a:xfrm>
            <a:off x="1762125" y="1183187"/>
            <a:ext cx="1366498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#N/A Activities / Week</a:t>
            </a:r>
          </a:p>
        </xdr:txBody>
      </xdr:sp>
    </xdr:grpSp>
    <xdr:clientData/>
  </xdr:twoCellAnchor>
  <xdr:twoCellAnchor>
    <xdr:from>
      <xdr:col>9</xdr:col>
      <xdr:colOff>267124</xdr:colOff>
      <xdr:row>1</xdr:row>
      <xdr:rowOff>56173</xdr:rowOff>
    </xdr:from>
    <xdr:to>
      <xdr:col>13</xdr:col>
      <xdr:colOff>109621</xdr:colOff>
      <xdr:row>7</xdr:row>
      <xdr:rowOff>188777</xdr:rowOff>
    </xdr:to>
    <xdr:grpSp>
      <xdr:nvGrpSpPr>
        <xdr:cNvPr id="25640" name="Group 25639">
          <a:extLst>
            <a:ext uri="{FF2B5EF4-FFF2-40B4-BE49-F238E27FC236}">
              <a16:creationId xmlns:a16="http://schemas.microsoft.com/office/drawing/2014/main" id="{00000000-0008-0000-0700-000028640000}"/>
            </a:ext>
          </a:extLst>
        </xdr:cNvPr>
        <xdr:cNvGrpSpPr/>
      </xdr:nvGrpSpPr>
      <xdr:grpSpPr>
        <a:xfrm>
          <a:off x="3429424" y="313348"/>
          <a:ext cx="1366497" cy="1189879"/>
          <a:chOff x="3429424" y="313348"/>
          <a:chExt cx="1366497" cy="1189879"/>
        </a:xfrm>
      </xdr:grpSpPr>
      <xdr:sp macro="" textlink="">
        <xdr:nvSpPr>
          <xdr:cNvPr id="2" name="TextBoxHeadWeeks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SpPr txBox="1"/>
        </xdr:nvSpPr>
        <xdr:spPr>
          <a:xfrm>
            <a:off x="3429424" y="313348"/>
            <a:ext cx="1366497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Weeks</a:t>
            </a:r>
          </a:p>
        </xdr:txBody>
      </xdr:sp>
      <xdr:sp macro="" textlink="">
        <xdr:nvSpPr>
          <xdr:cNvPr id="12" name="TextBoxWeeks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 txBox="1"/>
        </xdr:nvSpPr>
        <xdr:spPr>
          <a:xfrm>
            <a:off x="3429424" y="675015"/>
            <a:ext cx="1366497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28" name="TextBoxWeeksInsight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 txBox="1"/>
        </xdr:nvSpPr>
        <xdr:spPr>
          <a:xfrm>
            <a:off x="3429424" y="1183187"/>
            <a:ext cx="1366497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0.0 Tour de France</a:t>
            </a:r>
          </a:p>
        </xdr:txBody>
      </xdr:sp>
    </xdr:grpSp>
    <xdr:clientData/>
  </xdr:twoCellAnchor>
  <xdr:twoCellAnchor>
    <xdr:from>
      <xdr:col>14</xdr:col>
      <xdr:colOff>29422</xdr:colOff>
      <xdr:row>1</xdr:row>
      <xdr:rowOff>56173</xdr:rowOff>
    </xdr:from>
    <xdr:to>
      <xdr:col>18</xdr:col>
      <xdr:colOff>5270</xdr:colOff>
      <xdr:row>7</xdr:row>
      <xdr:rowOff>188777</xdr:rowOff>
    </xdr:to>
    <xdr:grpSp>
      <xdr:nvGrpSpPr>
        <xdr:cNvPr id="25639" name="Group 25638">
          <a:extLst>
            <a:ext uri="{FF2B5EF4-FFF2-40B4-BE49-F238E27FC236}">
              <a16:creationId xmlns:a16="http://schemas.microsoft.com/office/drawing/2014/main" id="{00000000-0008-0000-0700-000027640000}"/>
            </a:ext>
          </a:extLst>
        </xdr:cNvPr>
        <xdr:cNvGrpSpPr/>
      </xdr:nvGrpSpPr>
      <xdr:grpSpPr>
        <a:xfrm>
          <a:off x="5096722" y="313348"/>
          <a:ext cx="1366498" cy="1189879"/>
          <a:chOff x="5096722" y="313348"/>
          <a:chExt cx="1366498" cy="1189879"/>
        </a:xfrm>
      </xdr:grpSpPr>
      <xdr:sp macro="" textlink="">
        <xdr:nvSpPr>
          <xdr:cNvPr id="3" name="TextBoxHeadHours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 txBox="1"/>
        </xdr:nvSpPr>
        <xdr:spPr>
          <a:xfrm>
            <a:off x="5096722" y="313348"/>
            <a:ext cx="1366498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Hours</a:t>
            </a:r>
          </a:p>
        </xdr:txBody>
      </xdr:sp>
      <xdr:sp macro="" textlink="">
        <xdr:nvSpPr>
          <xdr:cNvPr id="13" name="TextBoxHours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 txBox="1"/>
        </xdr:nvSpPr>
        <xdr:spPr>
          <a:xfrm>
            <a:off x="5096722" y="675015"/>
            <a:ext cx="1366498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34" name="TextBoxHoursInsight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SpPr txBox="1"/>
        </xdr:nvSpPr>
        <xdr:spPr>
          <a:xfrm>
            <a:off x="5096722" y="1183187"/>
            <a:ext cx="1366498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0.0 Leadville 100</a:t>
            </a:r>
          </a:p>
        </xdr:txBody>
      </xdr:sp>
    </xdr:grpSp>
    <xdr:clientData/>
  </xdr:twoCellAnchor>
  <xdr:twoCellAnchor>
    <xdr:from>
      <xdr:col>18</xdr:col>
      <xdr:colOff>306071</xdr:colOff>
      <xdr:row>1</xdr:row>
      <xdr:rowOff>56173</xdr:rowOff>
    </xdr:from>
    <xdr:to>
      <xdr:col>22</xdr:col>
      <xdr:colOff>148568</xdr:colOff>
      <xdr:row>7</xdr:row>
      <xdr:rowOff>188777</xdr:rowOff>
    </xdr:to>
    <xdr:grpSp>
      <xdr:nvGrpSpPr>
        <xdr:cNvPr id="25642" name="Group 25641">
          <a:extLst>
            <a:ext uri="{FF2B5EF4-FFF2-40B4-BE49-F238E27FC236}">
              <a16:creationId xmlns:a16="http://schemas.microsoft.com/office/drawing/2014/main" id="{00000000-0008-0000-0700-00002A640000}"/>
            </a:ext>
          </a:extLst>
        </xdr:cNvPr>
        <xdr:cNvGrpSpPr/>
      </xdr:nvGrpSpPr>
      <xdr:grpSpPr>
        <a:xfrm>
          <a:off x="6764021" y="313348"/>
          <a:ext cx="1366497" cy="1189879"/>
          <a:chOff x="6764021" y="313348"/>
          <a:chExt cx="1366497" cy="1189879"/>
        </a:xfrm>
      </xdr:grpSpPr>
      <xdr:sp macro="" textlink="">
        <xdr:nvSpPr>
          <xdr:cNvPr id="6" name="TextBoxHeadDistance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 txBox="1"/>
        </xdr:nvSpPr>
        <xdr:spPr>
          <a:xfrm>
            <a:off x="6764021" y="313348"/>
            <a:ext cx="1366497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Distance (mi)</a:t>
            </a:r>
          </a:p>
        </xdr:txBody>
      </xdr:sp>
      <xdr:sp macro="" textlink="">
        <xdr:nvSpPr>
          <xdr:cNvPr id="15" name="TextBoxDistance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6764021" y="675015"/>
            <a:ext cx="1366497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35" name="TextBoxDistanceInsight">
            <a:extLst>
              <a:ext uri="{FF2B5EF4-FFF2-40B4-BE49-F238E27FC236}">
                <a16:creationId xmlns:a16="http://schemas.microsoft.com/office/drawing/2014/main" id="{00000000-0008-0000-0700-000023000000}"/>
              </a:ext>
            </a:extLst>
          </xdr:cNvPr>
          <xdr:cNvSpPr txBox="1"/>
        </xdr:nvSpPr>
        <xdr:spPr>
          <a:xfrm>
            <a:off x="6764021" y="1183187"/>
            <a:ext cx="1366497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0.0 Paris-Roubaix</a:t>
            </a:r>
          </a:p>
        </xdr:txBody>
      </xdr:sp>
    </xdr:grpSp>
    <xdr:clientData/>
  </xdr:twoCellAnchor>
  <xdr:twoCellAnchor>
    <xdr:from>
      <xdr:col>23</xdr:col>
      <xdr:colOff>68369</xdr:colOff>
      <xdr:row>1</xdr:row>
      <xdr:rowOff>56173</xdr:rowOff>
    </xdr:from>
    <xdr:to>
      <xdr:col>26</xdr:col>
      <xdr:colOff>291866</xdr:colOff>
      <xdr:row>7</xdr:row>
      <xdr:rowOff>188777</xdr:rowOff>
    </xdr:to>
    <xdr:grpSp>
      <xdr:nvGrpSpPr>
        <xdr:cNvPr id="25643" name="Group 25642">
          <a:extLst>
            <a:ext uri="{FF2B5EF4-FFF2-40B4-BE49-F238E27FC236}">
              <a16:creationId xmlns:a16="http://schemas.microsoft.com/office/drawing/2014/main" id="{00000000-0008-0000-0700-00002B640000}"/>
            </a:ext>
          </a:extLst>
        </xdr:cNvPr>
        <xdr:cNvGrpSpPr/>
      </xdr:nvGrpSpPr>
      <xdr:grpSpPr>
        <a:xfrm>
          <a:off x="8431319" y="313348"/>
          <a:ext cx="1366497" cy="1189879"/>
          <a:chOff x="8431319" y="313348"/>
          <a:chExt cx="1366497" cy="1189879"/>
        </a:xfrm>
      </xdr:grpSpPr>
      <xdr:sp macro="" textlink="">
        <xdr:nvSpPr>
          <xdr:cNvPr id="5" name="TextBoxHeadElevation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 txBox="1"/>
        </xdr:nvSpPr>
        <xdr:spPr>
          <a:xfrm>
            <a:off x="8431319" y="313348"/>
            <a:ext cx="1366497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Elevation (ft)</a:t>
            </a:r>
          </a:p>
        </xdr:txBody>
      </xdr:sp>
      <xdr:sp macro="" textlink="">
        <xdr:nvSpPr>
          <xdr:cNvPr id="16" name="TextBoxElevation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SpPr txBox="1"/>
        </xdr:nvSpPr>
        <xdr:spPr>
          <a:xfrm>
            <a:off x="8431319" y="675015"/>
            <a:ext cx="1366497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37" name="TextBoxElevationInsight">
            <a:extLst>
              <a:ext uri="{FF2B5EF4-FFF2-40B4-BE49-F238E27FC236}">
                <a16:creationId xmlns:a16="http://schemas.microsoft.com/office/drawing/2014/main" id="{00000000-0008-0000-0700-000025000000}"/>
              </a:ext>
            </a:extLst>
          </xdr:cNvPr>
          <xdr:cNvSpPr txBox="1"/>
        </xdr:nvSpPr>
        <xdr:spPr>
          <a:xfrm>
            <a:off x="8431319" y="1183187"/>
            <a:ext cx="1366497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0.0 Bear Mountain</a:t>
            </a:r>
          </a:p>
        </xdr:txBody>
      </xdr:sp>
    </xdr:grpSp>
    <xdr:clientData/>
  </xdr:twoCellAnchor>
  <xdr:twoCellAnchor>
    <xdr:from>
      <xdr:col>27</xdr:col>
      <xdr:colOff>211669</xdr:colOff>
      <xdr:row>1</xdr:row>
      <xdr:rowOff>56173</xdr:rowOff>
    </xdr:from>
    <xdr:to>
      <xdr:col>31</xdr:col>
      <xdr:colOff>54166</xdr:colOff>
      <xdr:row>7</xdr:row>
      <xdr:rowOff>188777</xdr:rowOff>
    </xdr:to>
    <xdr:grpSp>
      <xdr:nvGrpSpPr>
        <xdr:cNvPr id="25644" name="Group 25643">
          <a:extLst>
            <a:ext uri="{FF2B5EF4-FFF2-40B4-BE49-F238E27FC236}">
              <a16:creationId xmlns:a16="http://schemas.microsoft.com/office/drawing/2014/main" id="{00000000-0008-0000-0700-00002C640000}"/>
            </a:ext>
          </a:extLst>
        </xdr:cNvPr>
        <xdr:cNvGrpSpPr/>
      </xdr:nvGrpSpPr>
      <xdr:grpSpPr>
        <a:xfrm>
          <a:off x="10098619" y="313348"/>
          <a:ext cx="1366497" cy="1189879"/>
          <a:chOff x="10098619" y="313348"/>
          <a:chExt cx="1366497" cy="1189879"/>
        </a:xfrm>
      </xdr:grpSpPr>
      <xdr:sp macro="" textlink="">
        <xdr:nvSpPr>
          <xdr:cNvPr id="17" name="TextBoxCalories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 txBox="1"/>
        </xdr:nvSpPr>
        <xdr:spPr>
          <a:xfrm>
            <a:off x="10098619" y="675015"/>
            <a:ext cx="1366497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" name="TextBoxHeadCalories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 txBox="1"/>
        </xdr:nvSpPr>
        <xdr:spPr>
          <a:xfrm>
            <a:off x="10098619" y="313348"/>
            <a:ext cx="1366497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Calories</a:t>
            </a:r>
          </a:p>
        </xdr:txBody>
      </xdr:sp>
      <xdr:sp macro="" textlink="">
        <xdr:nvSpPr>
          <xdr:cNvPr id="38" name="TextBoxCaloriesInsight">
            <a:extLst>
              <a:ext uri="{FF2B5EF4-FFF2-40B4-BE49-F238E27FC236}">
                <a16:creationId xmlns:a16="http://schemas.microsoft.com/office/drawing/2014/main" id="{00000000-0008-0000-0700-000026000000}"/>
              </a:ext>
            </a:extLst>
          </xdr:cNvPr>
          <xdr:cNvSpPr txBox="1"/>
        </xdr:nvSpPr>
        <xdr:spPr>
          <a:xfrm>
            <a:off x="10098619" y="1183187"/>
            <a:ext cx="1366497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0.0 Belgian Waffle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8</xdr:row>
          <xdr:rowOff>114300</xdr:rowOff>
        </xdr:from>
        <xdr:to>
          <xdr:col>21</xdr:col>
          <xdr:colOff>19050</xdr:colOff>
          <xdr:row>9</xdr:row>
          <xdr:rowOff>171450</xdr:rowOff>
        </xdr:to>
        <xdr:sp macro="" textlink="">
          <xdr:nvSpPr>
            <xdr:cNvPr id="25610" name="Pivot2ComboBox1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7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8</xdr:row>
          <xdr:rowOff>114300</xdr:rowOff>
        </xdr:from>
        <xdr:to>
          <xdr:col>5</xdr:col>
          <xdr:colOff>9525</xdr:colOff>
          <xdr:row>9</xdr:row>
          <xdr:rowOff>171450</xdr:rowOff>
        </xdr:to>
        <xdr:sp macro="" textlink="">
          <xdr:nvSpPr>
            <xdr:cNvPr id="25611" name="Pivot1ComboBox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7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10</xdr:row>
          <xdr:rowOff>47625</xdr:rowOff>
        </xdr:from>
        <xdr:to>
          <xdr:col>5</xdr:col>
          <xdr:colOff>9525</xdr:colOff>
          <xdr:row>11</xdr:row>
          <xdr:rowOff>104775</xdr:rowOff>
        </xdr:to>
        <xdr:sp macro="" textlink="">
          <xdr:nvSpPr>
            <xdr:cNvPr id="25612" name="Pivot1ComboBox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7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10</xdr:row>
          <xdr:rowOff>47625</xdr:rowOff>
        </xdr:from>
        <xdr:to>
          <xdr:col>21</xdr:col>
          <xdr:colOff>19050</xdr:colOff>
          <xdr:row>11</xdr:row>
          <xdr:rowOff>104775</xdr:rowOff>
        </xdr:to>
        <xdr:sp macro="" textlink="">
          <xdr:nvSpPr>
            <xdr:cNvPr id="25613" name="Pivot2ComboBox2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7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17</xdr:row>
          <xdr:rowOff>114300</xdr:rowOff>
        </xdr:from>
        <xdr:to>
          <xdr:col>21</xdr:col>
          <xdr:colOff>19050</xdr:colOff>
          <xdr:row>18</xdr:row>
          <xdr:rowOff>171450</xdr:rowOff>
        </xdr:to>
        <xdr:sp macro="" textlink="">
          <xdr:nvSpPr>
            <xdr:cNvPr id="25614" name="Pivot4ComboBox1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7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19</xdr:row>
          <xdr:rowOff>47625</xdr:rowOff>
        </xdr:from>
        <xdr:to>
          <xdr:col>5</xdr:col>
          <xdr:colOff>9525</xdr:colOff>
          <xdr:row>20</xdr:row>
          <xdr:rowOff>104775</xdr:rowOff>
        </xdr:to>
        <xdr:sp macro="" textlink="">
          <xdr:nvSpPr>
            <xdr:cNvPr id="25616" name="Pivot3ComboBox2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7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17</xdr:row>
          <xdr:rowOff>114300</xdr:rowOff>
        </xdr:from>
        <xdr:to>
          <xdr:col>5</xdr:col>
          <xdr:colOff>9525</xdr:colOff>
          <xdr:row>18</xdr:row>
          <xdr:rowOff>171450</xdr:rowOff>
        </xdr:to>
        <xdr:sp macro="" textlink="">
          <xdr:nvSpPr>
            <xdr:cNvPr id="25617" name="Pivot3ComboBox1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7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161925</xdr:colOff>
          <xdr:row>2</xdr:row>
          <xdr:rowOff>19050</xdr:rowOff>
        </xdr:from>
        <xdr:to>
          <xdr:col>33</xdr:col>
          <xdr:colOff>47625</xdr:colOff>
          <xdr:row>3</xdr:row>
          <xdr:rowOff>47625</xdr:rowOff>
        </xdr:to>
        <xdr:sp macro="" textlink="">
          <xdr:nvSpPr>
            <xdr:cNvPr id="25618" name="AnalyticsResetButton" descr="Reset Analytics Sheet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7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 Nova"/>
                </a:rPr>
                <a:t>Reset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161925</xdr:colOff>
          <xdr:row>5</xdr:row>
          <xdr:rowOff>38100</xdr:rowOff>
        </xdr:from>
        <xdr:to>
          <xdr:col>32</xdr:col>
          <xdr:colOff>57150</xdr:colOff>
          <xdr:row>6</xdr:row>
          <xdr:rowOff>66675</xdr:rowOff>
        </xdr:to>
        <xdr:sp macro="" textlink="">
          <xdr:nvSpPr>
            <xdr:cNvPr id="25620" name="AnalyticsTopButton" descr="Top 1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7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 nova"/>
                </a:rPr>
                <a:t>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152400</xdr:colOff>
          <xdr:row>5</xdr:row>
          <xdr:rowOff>38100</xdr:rowOff>
        </xdr:from>
        <xdr:to>
          <xdr:col>33</xdr:col>
          <xdr:colOff>47625</xdr:colOff>
          <xdr:row>6</xdr:row>
          <xdr:rowOff>66675</xdr:rowOff>
        </xdr:to>
        <xdr:sp macro="" textlink="">
          <xdr:nvSpPr>
            <xdr:cNvPr id="25621" name="AnalyticsBottomButton" descr="Bottom 10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7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 nova"/>
                </a:rPr>
                <a:t>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161925</xdr:colOff>
          <xdr:row>3</xdr:row>
          <xdr:rowOff>123825</xdr:rowOff>
        </xdr:from>
        <xdr:to>
          <xdr:col>33</xdr:col>
          <xdr:colOff>47625</xdr:colOff>
          <xdr:row>4</xdr:row>
          <xdr:rowOff>152400</xdr:rowOff>
        </xdr:to>
        <xdr:sp macro="" textlink="">
          <xdr:nvSpPr>
            <xdr:cNvPr id="25619" name="AnalyticsPlanButton" descr="Set Time Period to current plan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7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 Nova"/>
                </a:rPr>
                <a:t>Plan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38100</xdr:colOff>
      <xdr:row>11</xdr:row>
      <xdr:rowOff>171450</xdr:rowOff>
    </xdr:from>
    <xdr:to>
      <xdr:col>21</xdr:col>
      <xdr:colOff>2288</xdr:colOff>
      <xdr:row>16</xdr:row>
      <xdr:rowOff>137923</xdr:rowOff>
    </xdr:to>
    <xdr:grpSp>
      <xdr:nvGrpSpPr>
        <xdr:cNvPr id="25630" name="Group 25629">
          <a:extLst>
            <a:ext uri="{FF2B5EF4-FFF2-40B4-BE49-F238E27FC236}">
              <a16:creationId xmlns:a16="http://schemas.microsoft.com/office/drawing/2014/main" id="{00000000-0008-0000-0700-00001E640000}"/>
            </a:ext>
          </a:extLst>
        </xdr:cNvPr>
        <xdr:cNvGrpSpPr/>
      </xdr:nvGrpSpPr>
      <xdr:grpSpPr>
        <a:xfrm>
          <a:off x="6248400" y="2286000"/>
          <a:ext cx="1354838" cy="966598"/>
          <a:chOff x="6248398" y="2285999"/>
          <a:chExt cx="1354838" cy="966598"/>
        </a:xfrm>
      </xdr:grpSpPr>
      <xdr:sp macro="" textlink="">
        <xdr:nvSpPr>
          <xdr:cNvPr id="91" name="TextBoxHeadP2C1">
            <a:extLst>
              <a:ext uri="{FF2B5EF4-FFF2-40B4-BE49-F238E27FC236}">
                <a16:creationId xmlns:a16="http://schemas.microsoft.com/office/drawing/2014/main" id="{00000000-0008-0000-0700-00005B000000}"/>
              </a:ext>
            </a:extLst>
          </xdr:cNvPr>
          <xdr:cNvSpPr txBox="1"/>
        </xdr:nvSpPr>
        <xdr:spPr>
          <a:xfrm>
            <a:off x="6248398" y="2508504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Speed</a:t>
            </a:r>
          </a:p>
        </xdr:txBody>
      </xdr:sp>
      <xdr:sp macro="" textlink="">
        <xdr:nvSpPr>
          <xdr:cNvPr id="92" name="TextBoxValueP2C1">
            <a:extLst>
              <a:ext uri="{FF2B5EF4-FFF2-40B4-BE49-F238E27FC236}">
                <a16:creationId xmlns:a16="http://schemas.microsoft.com/office/drawing/2014/main" id="{00000000-0008-0000-0700-00005C000000}"/>
              </a:ext>
            </a:extLst>
          </xdr:cNvPr>
          <xdr:cNvSpPr txBox="1"/>
        </xdr:nvSpPr>
        <xdr:spPr>
          <a:xfrm>
            <a:off x="6999732" y="2508504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Arial Nova" panose="020B0504020202020204" pitchFamily="34" charset="0"/>
              </a:rPr>
              <a:t>0.0</a:t>
            </a:r>
          </a:p>
        </xdr:txBody>
      </xdr:sp>
      <xdr:sp macro="" textlink="">
        <xdr:nvSpPr>
          <xdr:cNvPr id="93" name="TextBoxHeadP2C2">
            <a:extLst>
              <a:ext uri="{FF2B5EF4-FFF2-40B4-BE49-F238E27FC236}">
                <a16:creationId xmlns:a16="http://schemas.microsoft.com/office/drawing/2014/main" id="{00000000-0008-0000-0700-00005D000000}"/>
              </a:ext>
            </a:extLst>
          </xdr:cNvPr>
          <xdr:cNvSpPr txBox="1"/>
        </xdr:nvSpPr>
        <xdr:spPr>
          <a:xfrm>
            <a:off x="6248399" y="2905125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Cal/hour</a:t>
            </a:r>
          </a:p>
        </xdr:txBody>
      </xdr:sp>
      <xdr:sp macro="" textlink="">
        <xdr:nvSpPr>
          <xdr:cNvPr id="94" name="TextBoxValueP2C2">
            <a:extLst>
              <a:ext uri="{FF2B5EF4-FFF2-40B4-BE49-F238E27FC236}">
                <a16:creationId xmlns:a16="http://schemas.microsoft.com/office/drawing/2014/main" id="{00000000-0008-0000-0700-00005E000000}"/>
              </a:ext>
            </a:extLst>
          </xdr:cNvPr>
          <xdr:cNvSpPr txBox="1"/>
        </xdr:nvSpPr>
        <xdr:spPr>
          <a:xfrm>
            <a:off x="6999732" y="2905125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Arial Nova" panose="020B0504020202020204" pitchFamily="34" charset="0"/>
              </a:rPr>
              <a:t>0</a:t>
            </a:r>
          </a:p>
        </xdr:txBody>
      </xdr:sp>
      <xdr:sp macro="" textlink="">
        <xdr:nvSpPr>
          <xdr:cNvPr id="45" name="TextBoxHeadP2">
            <a:extLst>
              <a:ext uri="{FF2B5EF4-FFF2-40B4-BE49-F238E27FC236}">
                <a16:creationId xmlns:a16="http://schemas.microsoft.com/office/drawing/2014/main" id="{00000000-0008-0000-0700-00002D000000}"/>
              </a:ext>
            </a:extLst>
          </xdr:cNvPr>
          <xdr:cNvSpPr txBox="1"/>
        </xdr:nvSpPr>
        <xdr:spPr>
          <a:xfrm>
            <a:off x="6248400" y="2285999"/>
            <a:ext cx="1343025" cy="18288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Average /</a:t>
            </a:r>
            <a:r>
              <a:rPr lang="en-US" sz="800" b="1" baseline="0">
                <a:solidFill>
                  <a:srgbClr val="C7C7C7"/>
                </a:solidFill>
                <a:latin typeface="Arial Nova" panose="020B0504020202020204" pitchFamily="34" charset="0"/>
              </a:rPr>
              <a:t> Ride</a:t>
            </a:r>
            <a:endParaRPr lang="en-US" sz="800" b="1">
              <a:solidFill>
                <a:srgbClr val="C7C7C7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>
    <xdr:from>
      <xdr:col>1</xdr:col>
      <xdr:colOff>66674</xdr:colOff>
      <xdr:row>11</xdr:row>
      <xdr:rowOff>171450</xdr:rowOff>
    </xdr:from>
    <xdr:to>
      <xdr:col>5</xdr:col>
      <xdr:colOff>5716</xdr:colOff>
      <xdr:row>16</xdr:row>
      <xdr:rowOff>137923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GrpSpPr/>
      </xdr:nvGrpSpPr>
      <xdr:grpSpPr>
        <a:xfrm>
          <a:off x="180974" y="2286000"/>
          <a:ext cx="1463042" cy="966598"/>
          <a:chOff x="6248398" y="2285999"/>
          <a:chExt cx="1354840" cy="966598"/>
        </a:xfrm>
      </xdr:grpSpPr>
      <xdr:sp macro="" textlink="">
        <xdr:nvSpPr>
          <xdr:cNvPr id="106" name="TextBoxHeadP1C1">
            <a:extLst>
              <a:ext uri="{FF2B5EF4-FFF2-40B4-BE49-F238E27FC236}">
                <a16:creationId xmlns:a16="http://schemas.microsoft.com/office/drawing/2014/main" id="{00000000-0008-0000-0700-00006A000000}"/>
              </a:ext>
            </a:extLst>
          </xdr:cNvPr>
          <xdr:cNvSpPr txBox="1"/>
        </xdr:nvSpPr>
        <xdr:spPr>
          <a:xfrm>
            <a:off x="6248398" y="2508504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Activity Calories</a:t>
            </a:r>
          </a:p>
        </xdr:txBody>
      </xdr:sp>
      <xdr:sp macro="" textlink="">
        <xdr:nvSpPr>
          <xdr:cNvPr id="107" name="TextBoxValueP1C1">
            <a:extLst>
              <a:ext uri="{FF2B5EF4-FFF2-40B4-BE49-F238E27FC236}">
                <a16:creationId xmlns:a16="http://schemas.microsoft.com/office/drawing/2014/main" id="{00000000-0008-0000-0700-00006B000000}"/>
              </a:ext>
            </a:extLst>
          </xdr:cNvPr>
          <xdr:cNvSpPr txBox="1"/>
        </xdr:nvSpPr>
        <xdr:spPr>
          <a:xfrm>
            <a:off x="6999732" y="2508504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8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108" name="TextBoxHeadP1C2">
            <a:extLst>
              <a:ext uri="{FF2B5EF4-FFF2-40B4-BE49-F238E27FC236}">
                <a16:creationId xmlns:a16="http://schemas.microsoft.com/office/drawing/2014/main" id="{00000000-0008-0000-0700-00006C000000}"/>
              </a:ext>
            </a:extLst>
          </xdr:cNvPr>
          <xdr:cNvSpPr txBox="1"/>
        </xdr:nvSpPr>
        <xdr:spPr>
          <a:xfrm>
            <a:off x="6248399" y="2905125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Cal/hour</a:t>
            </a:r>
          </a:p>
        </xdr:txBody>
      </xdr:sp>
      <xdr:sp macro="" textlink="">
        <xdr:nvSpPr>
          <xdr:cNvPr id="109" name="TextBoxValueP1C2">
            <a:extLst>
              <a:ext uri="{FF2B5EF4-FFF2-40B4-BE49-F238E27FC236}">
                <a16:creationId xmlns:a16="http://schemas.microsoft.com/office/drawing/2014/main" id="{00000000-0008-0000-0700-00006D000000}"/>
              </a:ext>
            </a:extLst>
          </xdr:cNvPr>
          <xdr:cNvSpPr txBox="1"/>
        </xdr:nvSpPr>
        <xdr:spPr>
          <a:xfrm>
            <a:off x="6999732" y="2905125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Arial Nova" panose="020B0504020202020204" pitchFamily="34" charset="0"/>
              </a:rPr>
              <a:t>0</a:t>
            </a:r>
          </a:p>
        </xdr:txBody>
      </xdr:sp>
      <xdr:sp macro="" textlink="">
        <xdr:nvSpPr>
          <xdr:cNvPr id="110" name="TextBoxHeadP1">
            <a:extLst>
              <a:ext uri="{FF2B5EF4-FFF2-40B4-BE49-F238E27FC236}">
                <a16:creationId xmlns:a16="http://schemas.microsoft.com/office/drawing/2014/main" id="{00000000-0008-0000-0700-00006E000000}"/>
              </a:ext>
            </a:extLst>
          </xdr:cNvPr>
          <xdr:cNvSpPr txBox="1"/>
        </xdr:nvSpPr>
        <xdr:spPr>
          <a:xfrm>
            <a:off x="6248400" y="2285999"/>
            <a:ext cx="1354838" cy="18288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Average /</a:t>
            </a:r>
            <a:r>
              <a:rPr lang="en-US" sz="800" b="1" baseline="0">
                <a:solidFill>
                  <a:srgbClr val="C7C7C7"/>
                </a:solidFill>
                <a:latin typeface="Arial Nova" panose="020B0504020202020204" pitchFamily="34" charset="0"/>
              </a:rPr>
              <a:t> Ride</a:t>
            </a:r>
            <a:endParaRPr lang="en-US" sz="800" b="1">
              <a:solidFill>
                <a:srgbClr val="C7C7C7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>
    <xdr:from>
      <xdr:col>1</xdr:col>
      <xdr:colOff>66674</xdr:colOff>
      <xdr:row>21</xdr:row>
      <xdr:rowOff>0</xdr:rowOff>
    </xdr:from>
    <xdr:to>
      <xdr:col>5</xdr:col>
      <xdr:colOff>5716</xdr:colOff>
      <xdr:row>25</xdr:row>
      <xdr:rowOff>166498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700-000072000000}"/>
            </a:ext>
          </a:extLst>
        </xdr:cNvPr>
        <xdr:cNvGrpSpPr/>
      </xdr:nvGrpSpPr>
      <xdr:grpSpPr>
        <a:xfrm>
          <a:off x="180974" y="4114800"/>
          <a:ext cx="1463042" cy="966598"/>
          <a:chOff x="6248398" y="2285999"/>
          <a:chExt cx="1354840" cy="966598"/>
        </a:xfrm>
      </xdr:grpSpPr>
      <xdr:sp macro="" textlink="">
        <xdr:nvSpPr>
          <xdr:cNvPr id="115" name="TextBoxHeadP3C1">
            <a:extLst>
              <a:ext uri="{FF2B5EF4-FFF2-40B4-BE49-F238E27FC236}">
                <a16:creationId xmlns:a16="http://schemas.microsoft.com/office/drawing/2014/main" id="{00000000-0008-0000-0700-000073000000}"/>
              </a:ext>
            </a:extLst>
          </xdr:cNvPr>
          <xdr:cNvSpPr txBox="1"/>
        </xdr:nvSpPr>
        <xdr:spPr>
          <a:xfrm>
            <a:off x="6248398" y="2508504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Hrs/Activity</a:t>
            </a:r>
          </a:p>
        </xdr:txBody>
      </xdr:sp>
      <xdr:sp macro="" textlink="">
        <xdr:nvSpPr>
          <xdr:cNvPr id="116" name="TextBoxValueP3C1">
            <a:extLst>
              <a:ext uri="{FF2B5EF4-FFF2-40B4-BE49-F238E27FC236}">
                <a16:creationId xmlns:a16="http://schemas.microsoft.com/office/drawing/2014/main" id="{00000000-0008-0000-0700-000074000000}"/>
              </a:ext>
            </a:extLst>
          </xdr:cNvPr>
          <xdr:cNvSpPr txBox="1"/>
        </xdr:nvSpPr>
        <xdr:spPr>
          <a:xfrm>
            <a:off x="6999732" y="2508504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Arial Nova" panose="020B0504020202020204" pitchFamily="34" charset="0"/>
              </a:rPr>
              <a:t>00:00</a:t>
            </a:r>
          </a:p>
        </xdr:txBody>
      </xdr:sp>
      <xdr:sp macro="" textlink="">
        <xdr:nvSpPr>
          <xdr:cNvPr id="117" name="TextBoxHeadP3C2">
            <a:extLst>
              <a:ext uri="{FF2B5EF4-FFF2-40B4-BE49-F238E27FC236}">
                <a16:creationId xmlns:a16="http://schemas.microsoft.com/office/drawing/2014/main" id="{00000000-0008-0000-0700-000075000000}"/>
              </a:ext>
            </a:extLst>
          </xdr:cNvPr>
          <xdr:cNvSpPr txBox="1"/>
        </xdr:nvSpPr>
        <xdr:spPr>
          <a:xfrm>
            <a:off x="6248399" y="2905125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Cal/hour</a:t>
            </a:r>
          </a:p>
        </xdr:txBody>
      </xdr:sp>
      <xdr:sp macro="" textlink="">
        <xdr:nvSpPr>
          <xdr:cNvPr id="118" name="TextBoxValueP3C2">
            <a:extLst>
              <a:ext uri="{FF2B5EF4-FFF2-40B4-BE49-F238E27FC236}">
                <a16:creationId xmlns:a16="http://schemas.microsoft.com/office/drawing/2014/main" id="{00000000-0008-0000-0700-000076000000}"/>
              </a:ext>
            </a:extLst>
          </xdr:cNvPr>
          <xdr:cNvSpPr txBox="1"/>
        </xdr:nvSpPr>
        <xdr:spPr>
          <a:xfrm>
            <a:off x="6999732" y="2905125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Arial Nova" panose="020B0504020202020204" pitchFamily="34" charset="0"/>
              </a:rPr>
              <a:t>0</a:t>
            </a:r>
          </a:p>
        </xdr:txBody>
      </xdr:sp>
      <xdr:sp macro="" textlink="">
        <xdr:nvSpPr>
          <xdr:cNvPr id="119" name="TextBoxHeadP3">
            <a:extLst>
              <a:ext uri="{FF2B5EF4-FFF2-40B4-BE49-F238E27FC236}">
                <a16:creationId xmlns:a16="http://schemas.microsoft.com/office/drawing/2014/main" id="{00000000-0008-0000-0700-000077000000}"/>
              </a:ext>
            </a:extLst>
          </xdr:cNvPr>
          <xdr:cNvSpPr txBox="1"/>
        </xdr:nvSpPr>
        <xdr:spPr>
          <a:xfrm>
            <a:off x="6248400" y="2285999"/>
            <a:ext cx="1354838" cy="18288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Average /</a:t>
            </a:r>
            <a:r>
              <a:rPr lang="en-US" sz="800" b="1" baseline="0">
                <a:solidFill>
                  <a:srgbClr val="C7C7C7"/>
                </a:solidFill>
                <a:latin typeface="Arial Nova" panose="020B0504020202020204" pitchFamily="34" charset="0"/>
              </a:rPr>
              <a:t> Ride</a:t>
            </a:r>
            <a:endParaRPr lang="en-US" sz="800" b="1">
              <a:solidFill>
                <a:srgbClr val="C7C7C7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161925</xdr:colOff>
          <xdr:row>6</xdr:row>
          <xdr:rowOff>142875</xdr:rowOff>
        </xdr:from>
        <xdr:to>
          <xdr:col>33</xdr:col>
          <xdr:colOff>47625</xdr:colOff>
          <xdr:row>7</xdr:row>
          <xdr:rowOff>171450</xdr:rowOff>
        </xdr:to>
        <xdr:sp macro="" textlink="">
          <xdr:nvSpPr>
            <xdr:cNvPr id="25622" name="AnalyticsClearButton" descr="Set Time Period to current plan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7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 Nova"/>
                </a:rPr>
                <a:t>Clear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69850</xdr:colOff>
      <xdr:row>2</xdr:row>
      <xdr:rowOff>3175</xdr:rowOff>
    </xdr:from>
    <xdr:to>
      <xdr:col>4</xdr:col>
      <xdr:colOff>361950</xdr:colOff>
      <xdr:row>7</xdr:row>
      <xdr:rowOff>184150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TimePeriodSlicerPivotAnalytics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TimePeriodSlicerPivotAnalytic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150" y="317500"/>
              <a:ext cx="143510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0</xdr:colOff>
      <xdr:row>17</xdr:row>
      <xdr:rowOff>0</xdr:rowOff>
    </xdr:from>
    <xdr:to>
      <xdr:col>17</xdr:col>
      <xdr:colOff>0</xdr:colOff>
      <xdr:row>26</xdr:row>
      <xdr:rowOff>0</xdr:rowOff>
    </xdr:to>
    <xdr:graphicFrame macro="">
      <xdr:nvGraphicFramePr>
        <xdr:cNvPr id="21" name="Analytics3Chart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0</xdr:colOff>
      <xdr:row>17</xdr:row>
      <xdr:rowOff>0</xdr:rowOff>
    </xdr:from>
    <xdr:to>
      <xdr:col>33</xdr:col>
      <xdr:colOff>0</xdr:colOff>
      <xdr:row>26</xdr:row>
      <xdr:rowOff>0</xdr:rowOff>
    </xdr:to>
    <xdr:graphicFrame macro="">
      <xdr:nvGraphicFramePr>
        <xdr:cNvPr id="23" name="Analytics4Chart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8</xdr:row>
      <xdr:rowOff>0</xdr:rowOff>
    </xdr:from>
    <xdr:to>
      <xdr:col>33</xdr:col>
      <xdr:colOff>0</xdr:colOff>
      <xdr:row>17</xdr:row>
      <xdr:rowOff>0</xdr:rowOff>
    </xdr:to>
    <xdr:graphicFrame macro="">
      <xdr:nvGraphicFramePr>
        <xdr:cNvPr id="24" name="Analytics2Chart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0</xdr:colOff>
      <xdr:row>8</xdr:row>
      <xdr:rowOff>0</xdr:rowOff>
    </xdr:from>
    <xdr:to>
      <xdr:col>17</xdr:col>
      <xdr:colOff>0</xdr:colOff>
      <xdr:row>17</xdr:row>
      <xdr:rowOff>0</xdr:rowOff>
    </xdr:to>
    <xdr:graphicFrame macro="">
      <xdr:nvGraphicFramePr>
        <xdr:cNvPr id="8" name="Analytics1Chart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709166</xdr:colOff>
      <xdr:row>14</xdr:row>
      <xdr:rowOff>130131</xdr:rowOff>
    </xdr:from>
    <xdr:to>
      <xdr:col>10</xdr:col>
      <xdr:colOff>117159</xdr:colOff>
      <xdr:row>26</xdr:row>
      <xdr:rowOff>70417</xdr:rowOff>
    </xdr:to>
    <xdr:grpSp>
      <xdr:nvGrpSpPr>
        <xdr:cNvPr id="7" name="BMIGaugeGroup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pSpPr/>
      </xdr:nvGrpSpPr>
      <xdr:grpSpPr>
        <a:xfrm>
          <a:off x="6881366" y="3054306"/>
          <a:ext cx="2017843" cy="2340586"/>
          <a:chOff x="6881366" y="3054306"/>
          <a:chExt cx="2017843" cy="2340586"/>
        </a:xfrm>
      </xdr:grpSpPr>
      <xdr:graphicFrame macro="">
        <xdr:nvGraphicFramePr>
          <xdr:cNvPr id="48" name="BMI_Chart">
            <a:extLst>
              <a:ext uri="{FF2B5EF4-FFF2-40B4-BE49-F238E27FC236}">
                <a16:creationId xmlns:a16="http://schemas.microsoft.com/office/drawing/2014/main" id="{00000000-0008-0000-0A00-000030000000}"/>
              </a:ext>
            </a:extLst>
          </xdr:cNvPr>
          <xdr:cNvGraphicFramePr/>
        </xdr:nvGraphicFramePr>
        <xdr:xfrm>
          <a:off x="6881366" y="3220088"/>
          <a:ext cx="1907234" cy="21748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9" name="BMIGauge">
            <a:extLst>
              <a:ext uri="{FF2B5EF4-FFF2-40B4-BE49-F238E27FC236}">
                <a16:creationId xmlns:a16="http://schemas.microsoft.com/office/drawing/2014/main" id="{00000000-0008-0000-0A00-000031000000}"/>
              </a:ext>
            </a:extLst>
          </xdr:cNvPr>
          <xdr:cNvGraphicFramePr/>
        </xdr:nvGraphicFramePr>
        <xdr:xfrm>
          <a:off x="6881366" y="3220088"/>
          <a:ext cx="1907234" cy="21748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35" name="BMITxtGroup">
            <a:extLst>
              <a:ext uri="{FF2B5EF4-FFF2-40B4-BE49-F238E27FC236}">
                <a16:creationId xmlns:a16="http://schemas.microsoft.com/office/drawing/2014/main" id="{00000000-0008-0000-0A00-000023000000}"/>
              </a:ext>
            </a:extLst>
          </xdr:cNvPr>
          <xdr:cNvGrpSpPr/>
        </xdr:nvGrpSpPr>
        <xdr:grpSpPr>
          <a:xfrm>
            <a:off x="7569027" y="4386824"/>
            <a:ext cx="528047" cy="702373"/>
            <a:chOff x="10903839" y="1447798"/>
            <a:chExt cx="579120" cy="717235"/>
          </a:xfrm>
        </xdr:grpSpPr>
        <xdr:sp macro="" textlink="Actual_BMI">
          <xdr:nvSpPr>
            <xdr:cNvPr id="36" name="BMITxtActual">
              <a:extLst>
                <a:ext uri="{FF2B5EF4-FFF2-40B4-BE49-F238E27FC236}">
                  <a16:creationId xmlns:a16="http://schemas.microsoft.com/office/drawing/2014/main" id="{00000000-0008-0000-0A00-000024000000}"/>
                </a:ext>
              </a:extLst>
            </xdr:cNvPr>
            <xdr:cNvSpPr txBox="1"/>
          </xdr:nvSpPr>
          <xdr:spPr>
            <a:xfrm>
              <a:off x="10964799" y="1447798"/>
              <a:ext cx="457200" cy="4572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0D5CE813-5207-4ACF-B62E-17CBA2D0E612}" type="TxLink">
                <a:rPr lang="en-US" sz="1200" b="0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#N/A</a:t>
              </a:fld>
              <a:endParaRPr lang="en-US" sz="10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  <xdr:sp macro="" textlink="">
          <xdr:nvSpPr>
            <xdr:cNvPr id="37" name="BMITxt">
              <a:extLst>
                <a:ext uri="{FF2B5EF4-FFF2-40B4-BE49-F238E27FC236}">
                  <a16:creationId xmlns:a16="http://schemas.microsoft.com/office/drawing/2014/main" id="{00000000-0008-0000-0A00-000025000000}"/>
                </a:ext>
              </a:extLst>
            </xdr:cNvPr>
            <xdr:cNvSpPr txBox="1"/>
          </xdr:nvSpPr>
          <xdr:spPr>
            <a:xfrm>
              <a:off x="10964799" y="1752600"/>
              <a:ext cx="457200" cy="2011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sz="1000" b="1">
                  <a:solidFill>
                    <a:srgbClr val="A6A6A6"/>
                  </a:solidFill>
                  <a:latin typeface="Arial Nova" panose="020B0504020202020204" pitchFamily="34" charset="0"/>
                </a:rPr>
                <a:t>BMI</a:t>
              </a:r>
            </a:p>
          </xdr:txBody>
        </xdr:sp>
        <xdr:sp macro="" textlink="WeightUnit">
          <xdr:nvSpPr>
            <xdr:cNvPr id="38" name="BMITxtWeightUnit">
              <a:extLst>
                <a:ext uri="{FF2B5EF4-FFF2-40B4-BE49-F238E27FC236}">
                  <a16:creationId xmlns:a16="http://schemas.microsoft.com/office/drawing/2014/main" id="{00000000-0008-0000-0A00-000026000000}"/>
                </a:ext>
              </a:extLst>
            </xdr:cNvPr>
            <xdr:cNvSpPr txBox="1"/>
          </xdr:nvSpPr>
          <xdr:spPr>
            <a:xfrm>
              <a:off x="11208639" y="1890713"/>
              <a:ext cx="274320" cy="274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05EBB553-B9C7-438A-ABBC-8F0371E4E928}" type="TxLink">
                <a:rPr lang="en-US" sz="800" b="1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lb</a:t>
              </a:fld>
              <a:endParaRPr lang="en-US" sz="8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  <xdr:sp macro="" textlink="Actual_Weight">
          <xdr:nvSpPr>
            <xdr:cNvPr id="39" name="BMITxtWeight">
              <a:extLst>
                <a:ext uri="{FF2B5EF4-FFF2-40B4-BE49-F238E27FC236}">
                  <a16:creationId xmlns:a16="http://schemas.microsoft.com/office/drawing/2014/main" id="{00000000-0008-0000-0A00-000027000000}"/>
                </a:ext>
              </a:extLst>
            </xdr:cNvPr>
            <xdr:cNvSpPr txBox="1"/>
          </xdr:nvSpPr>
          <xdr:spPr>
            <a:xfrm>
              <a:off x="10903839" y="1890713"/>
              <a:ext cx="457200" cy="274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B1A5BEA8-B583-4F51-989E-5C59664A0DFA}" type="TxLink">
                <a:rPr lang="en-US" sz="800" b="1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#N/A</a:t>
              </a:fld>
              <a:endParaRPr lang="en-US" sz="8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</xdr:grpSp>
      <xdr:sp macro="" textlink="">
        <xdr:nvSpPr>
          <xdr:cNvPr id="40" name="BMITxtObese">
            <a:extLst>
              <a:ext uri="{FF2B5EF4-FFF2-40B4-BE49-F238E27FC236}">
                <a16:creationId xmlns:a16="http://schemas.microsoft.com/office/drawing/2014/main" id="{00000000-0008-0000-0A00-000028000000}"/>
              </a:ext>
            </a:extLst>
          </xdr:cNvPr>
          <xdr:cNvSpPr txBox="1"/>
        </xdr:nvSpPr>
        <xdr:spPr>
          <a:xfrm>
            <a:off x="7673472" y="3221810"/>
            <a:ext cx="1225737" cy="2205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Underweight / Obese</a:t>
            </a:r>
          </a:p>
        </xdr:txBody>
      </xdr:sp>
      <xdr:sp macro="" textlink="">
        <xdr:nvSpPr>
          <xdr:cNvPr id="41" name="BMITxtOverWeight">
            <a:extLst>
              <a:ext uri="{FF2B5EF4-FFF2-40B4-BE49-F238E27FC236}">
                <a16:creationId xmlns:a16="http://schemas.microsoft.com/office/drawing/2014/main" id="{00000000-0008-0000-0A00-000029000000}"/>
              </a:ext>
            </a:extLst>
          </xdr:cNvPr>
          <xdr:cNvSpPr txBox="1"/>
        </xdr:nvSpPr>
        <xdr:spPr>
          <a:xfrm>
            <a:off x="6996535" y="3221810"/>
            <a:ext cx="721915" cy="2205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Overweight</a:t>
            </a:r>
          </a:p>
        </xdr:txBody>
      </xdr:sp>
      <xdr:sp macro="" textlink="">
        <xdr:nvSpPr>
          <xdr:cNvPr id="42" name="BMITxtHealthy">
            <a:extLst>
              <a:ext uri="{FF2B5EF4-FFF2-40B4-BE49-F238E27FC236}">
                <a16:creationId xmlns:a16="http://schemas.microsoft.com/office/drawing/2014/main" id="{00000000-0008-0000-0A00-00002A000000}"/>
              </a:ext>
            </a:extLst>
          </xdr:cNvPr>
          <xdr:cNvSpPr txBox="1"/>
        </xdr:nvSpPr>
        <xdr:spPr>
          <a:xfrm>
            <a:off x="7673469" y="3054306"/>
            <a:ext cx="1049685" cy="2194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Healthy weight</a:t>
            </a:r>
          </a:p>
        </xdr:txBody>
      </xdr:sp>
      <xdr:sp macro="" textlink="">
        <xdr:nvSpPr>
          <xdr:cNvPr id="43" name="BMITxtGoal">
            <a:extLst>
              <a:ext uri="{FF2B5EF4-FFF2-40B4-BE49-F238E27FC236}">
                <a16:creationId xmlns:a16="http://schemas.microsoft.com/office/drawing/2014/main" id="{00000000-0008-0000-0A00-00002B000000}"/>
              </a:ext>
            </a:extLst>
          </xdr:cNvPr>
          <xdr:cNvSpPr txBox="1"/>
        </xdr:nvSpPr>
        <xdr:spPr>
          <a:xfrm>
            <a:off x="6996535" y="3054306"/>
            <a:ext cx="472196" cy="2194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Goal</a:t>
            </a:r>
          </a:p>
        </xdr:txBody>
      </xdr:sp>
      <xdr:sp macro="" textlink="">
        <xdr:nvSpPr>
          <xdr:cNvPr id="44" name="BMIBoxHealthy">
            <a:extLst>
              <a:ext uri="{FF2B5EF4-FFF2-40B4-BE49-F238E27FC236}">
                <a16:creationId xmlns:a16="http://schemas.microsoft.com/office/drawing/2014/main" id="{00000000-0008-0000-0A00-00002C000000}"/>
              </a:ext>
            </a:extLst>
          </xdr:cNvPr>
          <xdr:cNvSpPr/>
        </xdr:nvSpPr>
        <xdr:spPr>
          <a:xfrm>
            <a:off x="7633079" y="3286343"/>
            <a:ext cx="91897" cy="91440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5" name="BMIBoxOverweight">
            <a:extLst>
              <a:ext uri="{FF2B5EF4-FFF2-40B4-BE49-F238E27FC236}">
                <a16:creationId xmlns:a16="http://schemas.microsoft.com/office/drawing/2014/main" id="{00000000-0008-0000-0A00-00002D000000}"/>
              </a:ext>
            </a:extLst>
          </xdr:cNvPr>
          <xdr:cNvSpPr/>
        </xdr:nvSpPr>
        <xdr:spPr>
          <a:xfrm>
            <a:off x="6968361" y="3284433"/>
            <a:ext cx="91897" cy="95261"/>
          </a:xfrm>
          <a:prstGeom prst="rect">
            <a:avLst/>
          </a:prstGeom>
          <a:solidFill>
            <a:srgbClr val="FF64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6" name="BMIBoxHealthy">
            <a:extLst>
              <a:ext uri="{FF2B5EF4-FFF2-40B4-BE49-F238E27FC236}">
                <a16:creationId xmlns:a16="http://schemas.microsoft.com/office/drawing/2014/main" id="{00000000-0008-0000-0A00-00002E000000}"/>
              </a:ext>
            </a:extLst>
          </xdr:cNvPr>
          <xdr:cNvSpPr/>
        </xdr:nvSpPr>
        <xdr:spPr>
          <a:xfrm>
            <a:off x="7633079" y="3118314"/>
            <a:ext cx="91897" cy="91440"/>
          </a:xfrm>
          <a:prstGeom prst="rect">
            <a:avLst/>
          </a:prstGeom>
          <a:solidFill>
            <a:srgbClr val="006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7" name="BMIBoxGoal">
            <a:extLst>
              <a:ext uri="{FF2B5EF4-FFF2-40B4-BE49-F238E27FC236}">
                <a16:creationId xmlns:a16="http://schemas.microsoft.com/office/drawing/2014/main" id="{00000000-0008-0000-0A00-00002F000000}"/>
              </a:ext>
            </a:extLst>
          </xdr:cNvPr>
          <xdr:cNvSpPr/>
        </xdr:nvSpPr>
        <xdr:spPr>
          <a:xfrm>
            <a:off x="6968361" y="3122470"/>
            <a:ext cx="91897" cy="91440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200023</xdr:colOff>
      <xdr:row>7</xdr:row>
      <xdr:rowOff>112109</xdr:rowOff>
    </xdr:from>
    <xdr:to>
      <xdr:col>15</xdr:col>
      <xdr:colOff>380726</xdr:colOff>
      <xdr:row>9</xdr:row>
      <xdr:rowOff>22765</xdr:rowOff>
    </xdr:to>
    <xdr:grpSp>
      <xdr:nvGrpSpPr>
        <xdr:cNvPr id="3" name="Cal.ChLegGroup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pSpPr/>
      </xdr:nvGrpSpPr>
      <xdr:grpSpPr>
        <a:xfrm>
          <a:off x="8982073" y="1636109"/>
          <a:ext cx="3752578" cy="310706"/>
          <a:chOff x="8982073" y="1636109"/>
          <a:chExt cx="3781153" cy="310706"/>
        </a:xfrm>
      </xdr:grpSpPr>
      <xdr:sp macro="" textlink="">
        <xdr:nvSpPr>
          <xdr:cNvPr id="62" name="Cal.ChLegBox1">
            <a:extLst>
              <a:ext uri="{FF2B5EF4-FFF2-40B4-BE49-F238E27FC236}">
                <a16:creationId xmlns:a16="http://schemas.microsoft.com/office/drawing/2014/main" id="{00000000-0008-0000-0A00-00003E000000}"/>
              </a:ext>
            </a:extLst>
          </xdr:cNvPr>
          <xdr:cNvSpPr/>
        </xdr:nvSpPr>
        <xdr:spPr>
          <a:xfrm>
            <a:off x="8982073" y="1737515"/>
            <a:ext cx="292608" cy="107895"/>
          </a:xfrm>
          <a:prstGeom prst="rect">
            <a:avLst/>
          </a:prstGeom>
          <a:solidFill>
            <a:srgbClr val="FF8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63" name="Cal.ChLegTxt1">
            <a:extLst>
              <a:ext uri="{FF2B5EF4-FFF2-40B4-BE49-F238E27FC236}">
                <a16:creationId xmlns:a16="http://schemas.microsoft.com/office/drawing/2014/main" id="{00000000-0008-0000-0A00-00003F000000}"/>
              </a:ext>
            </a:extLst>
          </xdr:cNvPr>
          <xdr:cNvSpPr txBox="1"/>
        </xdr:nvSpPr>
        <xdr:spPr>
          <a:xfrm>
            <a:off x="9284967" y="1636109"/>
            <a:ext cx="977996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</a:t>
            </a:r>
          </a:p>
        </xdr:txBody>
      </xdr:sp>
      <xdr:sp macro="" textlink="">
        <xdr:nvSpPr>
          <xdr:cNvPr id="64" name="Cal.ChLegTxt3">
            <a:extLst>
              <a:ext uri="{FF2B5EF4-FFF2-40B4-BE49-F238E27FC236}">
                <a16:creationId xmlns:a16="http://schemas.microsoft.com/office/drawing/2014/main" id="{00000000-0008-0000-0A00-000040000000}"/>
              </a:ext>
            </a:extLst>
          </xdr:cNvPr>
          <xdr:cNvSpPr txBox="1"/>
        </xdr:nvSpPr>
        <xdr:spPr>
          <a:xfrm>
            <a:off x="11889587" y="1636109"/>
            <a:ext cx="845064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Cal/hour</a:t>
            </a:r>
          </a:p>
        </xdr:txBody>
      </xdr:sp>
      <xdr:sp macro="" textlink="">
        <xdr:nvSpPr>
          <xdr:cNvPr id="65" name="Cal.ChLegBox3">
            <a:extLst>
              <a:ext uri="{FF2B5EF4-FFF2-40B4-BE49-F238E27FC236}">
                <a16:creationId xmlns:a16="http://schemas.microsoft.com/office/drawing/2014/main" id="{00000000-0008-0000-0A00-000041000000}"/>
              </a:ext>
            </a:extLst>
          </xdr:cNvPr>
          <xdr:cNvSpPr/>
        </xdr:nvSpPr>
        <xdr:spPr>
          <a:xfrm>
            <a:off x="11575754" y="1735744"/>
            <a:ext cx="292608" cy="111437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66" name="Cal.ChLegTxt2">
            <a:extLst>
              <a:ext uri="{FF2B5EF4-FFF2-40B4-BE49-F238E27FC236}">
                <a16:creationId xmlns:a16="http://schemas.microsoft.com/office/drawing/2014/main" id="{00000000-0008-0000-0A00-000042000000}"/>
              </a:ext>
            </a:extLst>
          </xdr:cNvPr>
          <xdr:cNvSpPr txBox="1"/>
        </xdr:nvSpPr>
        <xdr:spPr>
          <a:xfrm>
            <a:off x="10521225" y="1636109"/>
            <a:ext cx="911530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 Goal</a:t>
            </a:r>
          </a:p>
        </xdr:txBody>
      </xdr:sp>
      <xdr:sp macro="" textlink="">
        <xdr:nvSpPr>
          <xdr:cNvPr id="67" name="Cal.ChLegBox2">
            <a:extLst>
              <a:ext uri="{FF2B5EF4-FFF2-40B4-BE49-F238E27FC236}">
                <a16:creationId xmlns:a16="http://schemas.microsoft.com/office/drawing/2014/main" id="{00000000-0008-0000-0A00-000043000000}"/>
              </a:ext>
            </a:extLst>
          </xdr:cNvPr>
          <xdr:cNvSpPr/>
        </xdr:nvSpPr>
        <xdr:spPr>
          <a:xfrm>
            <a:off x="10221991" y="1737085"/>
            <a:ext cx="293795" cy="108744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200027</xdr:colOff>
      <xdr:row>1</xdr:row>
      <xdr:rowOff>200024</xdr:rowOff>
    </xdr:from>
    <xdr:to>
      <xdr:col>13</xdr:col>
      <xdr:colOff>451000</xdr:colOff>
      <xdr:row>3</xdr:row>
      <xdr:rowOff>26193</xdr:rowOff>
    </xdr:to>
    <xdr:grpSp>
      <xdr:nvGrpSpPr>
        <xdr:cNvPr id="23" name="SpeedChLegGroup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GrpSpPr/>
      </xdr:nvGrpSpPr>
      <xdr:grpSpPr>
        <a:xfrm>
          <a:off x="8982077" y="523874"/>
          <a:ext cx="2527448" cy="226219"/>
          <a:chOff x="8982077" y="523874"/>
          <a:chExt cx="2527448" cy="226219"/>
        </a:xfrm>
      </xdr:grpSpPr>
      <xdr:sp macro="" textlink="">
        <xdr:nvSpPr>
          <xdr:cNvPr id="69" name="SpeedChLegBox1">
            <a:extLst>
              <a:ext uri="{FF2B5EF4-FFF2-40B4-BE49-F238E27FC236}">
                <a16:creationId xmlns:a16="http://schemas.microsoft.com/office/drawing/2014/main" id="{00000000-0008-0000-0A00-000045000000}"/>
              </a:ext>
            </a:extLst>
          </xdr:cNvPr>
          <xdr:cNvSpPr/>
        </xdr:nvSpPr>
        <xdr:spPr>
          <a:xfrm>
            <a:off x="8982077" y="582781"/>
            <a:ext cx="293001" cy="108408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70" name="SpeedChLegTxt1">
            <a:extLst>
              <a:ext uri="{FF2B5EF4-FFF2-40B4-BE49-F238E27FC236}">
                <a16:creationId xmlns:a16="http://schemas.microsoft.com/office/drawing/2014/main" id="{00000000-0008-0000-0A00-000046000000}"/>
              </a:ext>
            </a:extLst>
          </xdr:cNvPr>
          <xdr:cNvSpPr txBox="1"/>
        </xdr:nvSpPr>
        <xdr:spPr>
          <a:xfrm>
            <a:off x="9285278" y="523874"/>
            <a:ext cx="911824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Speed</a:t>
            </a:r>
          </a:p>
        </xdr:txBody>
      </xdr:sp>
      <xdr:sp macro="" textlink="">
        <xdr:nvSpPr>
          <xdr:cNvPr id="71" name="SpeedChLegTxt2">
            <a:extLst>
              <a:ext uri="{FF2B5EF4-FFF2-40B4-BE49-F238E27FC236}">
                <a16:creationId xmlns:a16="http://schemas.microsoft.com/office/drawing/2014/main" id="{00000000-0008-0000-0A00-000047000000}"/>
              </a:ext>
            </a:extLst>
          </xdr:cNvPr>
          <xdr:cNvSpPr txBox="1"/>
        </xdr:nvSpPr>
        <xdr:spPr>
          <a:xfrm>
            <a:off x="10597702" y="537447"/>
            <a:ext cx="911823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Climber Index</a:t>
            </a:r>
          </a:p>
        </xdr:txBody>
      </xdr:sp>
      <xdr:sp macro="" textlink="">
        <xdr:nvSpPr>
          <xdr:cNvPr id="72" name="SpeedChLegBox2">
            <a:extLst>
              <a:ext uri="{FF2B5EF4-FFF2-40B4-BE49-F238E27FC236}">
                <a16:creationId xmlns:a16="http://schemas.microsoft.com/office/drawing/2014/main" id="{00000000-0008-0000-0A00-000048000000}"/>
              </a:ext>
            </a:extLst>
          </xdr:cNvPr>
          <xdr:cNvSpPr/>
        </xdr:nvSpPr>
        <xdr:spPr>
          <a:xfrm>
            <a:off x="10288862" y="582353"/>
            <a:ext cx="293889" cy="109261"/>
          </a:xfrm>
          <a:prstGeom prst="rect">
            <a:avLst/>
          </a:prstGeom>
          <a:solidFill>
            <a:srgbClr val="E1684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200026</xdr:colOff>
      <xdr:row>5</xdr:row>
      <xdr:rowOff>14381</xdr:rowOff>
    </xdr:from>
    <xdr:to>
      <xdr:col>13</xdr:col>
      <xdr:colOff>460525</xdr:colOff>
      <xdr:row>6</xdr:row>
      <xdr:rowOff>40575</xdr:rowOff>
    </xdr:to>
    <xdr:grpSp>
      <xdr:nvGrpSpPr>
        <xdr:cNvPr id="25" name="WeightChLegGroup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GrpSpPr/>
      </xdr:nvGrpSpPr>
      <xdr:grpSpPr>
        <a:xfrm>
          <a:off x="8982076" y="1138331"/>
          <a:ext cx="2536974" cy="226219"/>
          <a:chOff x="8982076" y="1138331"/>
          <a:chExt cx="2536974" cy="226219"/>
        </a:xfrm>
      </xdr:grpSpPr>
      <xdr:sp macro="" textlink="">
        <xdr:nvSpPr>
          <xdr:cNvPr id="74" name="WeightChLegBox1">
            <a:extLst>
              <a:ext uri="{FF2B5EF4-FFF2-40B4-BE49-F238E27FC236}">
                <a16:creationId xmlns:a16="http://schemas.microsoft.com/office/drawing/2014/main" id="{00000000-0008-0000-0A00-00004A000000}"/>
              </a:ext>
            </a:extLst>
          </xdr:cNvPr>
          <xdr:cNvSpPr/>
        </xdr:nvSpPr>
        <xdr:spPr>
          <a:xfrm>
            <a:off x="8982076" y="1197239"/>
            <a:ext cx="293004" cy="108408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75" name="WeightChLegTxt1">
            <a:extLst>
              <a:ext uri="{FF2B5EF4-FFF2-40B4-BE49-F238E27FC236}">
                <a16:creationId xmlns:a16="http://schemas.microsoft.com/office/drawing/2014/main" id="{00000000-0008-0000-0A00-00004B000000}"/>
              </a:ext>
            </a:extLst>
          </xdr:cNvPr>
          <xdr:cNvSpPr txBox="1"/>
        </xdr:nvSpPr>
        <xdr:spPr>
          <a:xfrm>
            <a:off x="9285277" y="1138331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</a:t>
            </a:r>
          </a:p>
        </xdr:txBody>
      </xdr:sp>
      <xdr:sp macro="" textlink="">
        <xdr:nvSpPr>
          <xdr:cNvPr id="76" name="WeightChLegTxt2">
            <a:extLst>
              <a:ext uri="{FF2B5EF4-FFF2-40B4-BE49-F238E27FC236}">
                <a16:creationId xmlns:a16="http://schemas.microsoft.com/office/drawing/2014/main" id="{00000000-0008-0000-0A00-00004C000000}"/>
              </a:ext>
            </a:extLst>
          </xdr:cNvPr>
          <xdr:cNvSpPr txBox="1"/>
        </xdr:nvSpPr>
        <xdr:spPr>
          <a:xfrm>
            <a:off x="10607218" y="1151905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</a:t>
            </a:r>
          </a:p>
        </xdr:txBody>
      </xdr:sp>
      <xdr:sp macro="" textlink="">
        <xdr:nvSpPr>
          <xdr:cNvPr id="77" name="WeightChLegBox2">
            <a:extLst>
              <a:ext uri="{FF2B5EF4-FFF2-40B4-BE49-F238E27FC236}">
                <a16:creationId xmlns:a16="http://schemas.microsoft.com/office/drawing/2014/main" id="{00000000-0008-0000-0A00-00004D000000}"/>
              </a:ext>
            </a:extLst>
          </xdr:cNvPr>
          <xdr:cNvSpPr/>
        </xdr:nvSpPr>
        <xdr:spPr>
          <a:xfrm>
            <a:off x="10288871" y="1196811"/>
            <a:ext cx="293892" cy="109261"/>
          </a:xfrm>
          <a:prstGeom prst="rect">
            <a:avLst/>
          </a:prstGeom>
          <a:solidFill>
            <a:srgbClr val="000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6</xdr:col>
      <xdr:colOff>697709</xdr:colOff>
      <xdr:row>0</xdr:row>
      <xdr:rowOff>0</xdr:rowOff>
    </xdr:from>
    <xdr:to>
      <xdr:col>10</xdr:col>
      <xdr:colOff>955</xdr:colOff>
      <xdr:row>9</xdr:row>
      <xdr:rowOff>125254</xdr:rowOff>
    </xdr:to>
    <xdr:grpSp>
      <xdr:nvGrpSpPr>
        <xdr:cNvPr id="2" name="WeeksGaugeGroup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6869909" y="0"/>
          <a:ext cx="1913096" cy="2049304"/>
          <a:chOff x="6869909" y="0"/>
          <a:chExt cx="1913096" cy="2049304"/>
        </a:xfrm>
      </xdr:grpSpPr>
      <xdr:sp macro="" textlink="CountdownTxt">
        <xdr:nvSpPr>
          <xdr:cNvPr id="79" name="CountDownTxtBox">
            <a:extLst>
              <a:ext uri="{FF2B5EF4-FFF2-40B4-BE49-F238E27FC236}">
                <a16:creationId xmlns:a16="http://schemas.microsoft.com/office/drawing/2014/main" id="{00000000-0008-0000-0A00-00004F000000}"/>
              </a:ext>
            </a:extLst>
          </xdr:cNvPr>
          <xdr:cNvSpPr txBox="1"/>
        </xdr:nvSpPr>
        <xdr:spPr>
          <a:xfrm>
            <a:off x="7427642" y="691863"/>
            <a:ext cx="797630" cy="7216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0EAC9851-332B-4382-AE43-388C27E80D64}" type="TxLink">
              <a:rPr lang="en-US" sz="3400" b="0" i="0" u="none" strike="noStrike">
                <a:solidFill>
                  <a:srgbClr val="A6A6A6"/>
                </a:solidFill>
                <a:latin typeface="Arial Nova" panose="020B0504020202020204" pitchFamily="34" charset="0"/>
                <a:cs typeface="Sakkal Majalla" panose="020B0604020202020204" pitchFamily="2" charset="-78"/>
              </a:rPr>
              <a:pPr algn="ctr"/>
              <a:t>#N/A</a:t>
            </a:fld>
            <a:endParaRPr lang="en-US" sz="3400" b="1">
              <a:solidFill>
                <a:srgbClr val="A6A6A6"/>
              </a:solidFill>
              <a:latin typeface="Arial Nova" panose="020B0504020202020204" pitchFamily="34" charset="0"/>
              <a:cs typeface="Sakkal Majalla" panose="020B0604020202020204" pitchFamily="2" charset="-78"/>
            </a:endParaRPr>
          </a:p>
        </xdr:txBody>
      </xdr:sp>
      <xdr:sp macro="" textlink="WeeksToRaceTxt">
        <xdr:nvSpPr>
          <xdr:cNvPr id="80" name="WeeksToRaceTxtBox">
            <a:extLst>
              <a:ext uri="{FF2B5EF4-FFF2-40B4-BE49-F238E27FC236}">
                <a16:creationId xmlns:a16="http://schemas.microsoft.com/office/drawing/2014/main" id="{00000000-0008-0000-0A00-000050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38102" y="1243939"/>
            <a:ext cx="776708" cy="70190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0" bIns="0" anchor="ctr" upright="1"/>
          <a:lstStyle/>
          <a:p>
            <a:pPr algn="ctr" rtl="0">
              <a:defRPr sz="1000"/>
            </a:pPr>
            <a:fld id="{0DAFB378-D57D-44F3-966E-58BFBB316423}" type="TxLink">
              <a:rPr lang="en-US" sz="1400" b="0" i="0" u="none" strike="noStrike" baseline="0">
                <a:solidFill>
                  <a:srgbClr val="A6A6A6"/>
                </a:solidFill>
                <a:latin typeface="Arial Nova" panose="020B0504020202020204" pitchFamily="34" charset="0"/>
                <a:cs typeface="Calibri"/>
              </a:rPr>
              <a:pPr algn="ctr" rtl="0">
                <a:defRPr sz="1000"/>
              </a:pPr>
              <a:t>#N/A</a:t>
            </a:fld>
            <a:endParaRPr lang="en-US" sz="1400" b="0" i="0" u="none" strike="noStrike" baseline="0">
              <a:solidFill>
                <a:srgbClr val="A6A6A6"/>
              </a:solidFill>
              <a:latin typeface="Arial Nova" panose="020B0504020202020204" pitchFamily="34" charset="0"/>
              <a:cs typeface="Calibri"/>
            </a:endParaRPr>
          </a:p>
        </xdr:txBody>
      </xdr:sp>
      <xdr:graphicFrame macro="">
        <xdr:nvGraphicFramePr>
          <xdr:cNvPr id="81" name="WeeksToRaceChart">
            <a:extLst>
              <a:ext uri="{FF2B5EF4-FFF2-40B4-BE49-F238E27FC236}">
                <a16:creationId xmlns:a16="http://schemas.microsoft.com/office/drawing/2014/main" id="{00000000-0008-0000-0A00-000051000000}"/>
              </a:ext>
            </a:extLst>
          </xdr:cNvPr>
          <xdr:cNvGraphicFramePr>
            <a:graphicFrameLocks/>
          </xdr:cNvGraphicFramePr>
        </xdr:nvGraphicFramePr>
        <xdr:xfrm>
          <a:off x="6869909" y="0"/>
          <a:ext cx="1913096" cy="20493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 editAs="absolute">
    <xdr:from>
      <xdr:col>10</xdr:col>
      <xdr:colOff>210117</xdr:colOff>
      <xdr:row>10</xdr:row>
      <xdr:rowOff>2287</xdr:rowOff>
    </xdr:from>
    <xdr:to>
      <xdr:col>13</xdr:col>
      <xdr:colOff>384324</xdr:colOff>
      <xdr:row>11</xdr:row>
      <xdr:rowOff>40006</xdr:rowOff>
    </xdr:to>
    <xdr:grpSp>
      <xdr:nvGrpSpPr>
        <xdr:cNvPr id="50" name="Cal.ChTgLegGroup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GrpSpPr/>
      </xdr:nvGrpSpPr>
      <xdr:grpSpPr>
        <a:xfrm>
          <a:off x="8992167" y="2126362"/>
          <a:ext cx="2450682" cy="237744"/>
          <a:chOff x="5420292" y="551809"/>
          <a:chExt cx="2450682" cy="237744"/>
        </a:xfrm>
      </xdr:grpSpPr>
      <xdr:sp macro="" textlink="">
        <xdr:nvSpPr>
          <xdr:cNvPr id="51" name="Cal.ChLegBox1">
            <a:extLst>
              <a:ext uri="{FF2B5EF4-FFF2-40B4-BE49-F238E27FC236}">
                <a16:creationId xmlns:a16="http://schemas.microsoft.com/office/drawing/2014/main" id="{00000000-0008-0000-0A00-000033000000}"/>
              </a:ext>
            </a:extLst>
          </xdr:cNvPr>
          <xdr:cNvSpPr/>
        </xdr:nvSpPr>
        <xdr:spPr>
          <a:xfrm>
            <a:off x="5420292" y="615817"/>
            <a:ext cx="292608" cy="109728"/>
          </a:xfrm>
          <a:prstGeom prst="rect">
            <a:avLst/>
          </a:prstGeom>
          <a:solidFill>
            <a:srgbClr val="FF8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52" name="Cal.ChLegTxt1">
            <a:extLst>
              <a:ext uri="{FF2B5EF4-FFF2-40B4-BE49-F238E27FC236}">
                <a16:creationId xmlns:a16="http://schemas.microsoft.com/office/drawing/2014/main" id="{00000000-0008-0000-0A00-000034000000}"/>
              </a:ext>
            </a:extLst>
          </xdr:cNvPr>
          <xdr:cNvSpPr txBox="1"/>
        </xdr:nvSpPr>
        <xdr:spPr>
          <a:xfrm>
            <a:off x="5789861" y="551809"/>
            <a:ext cx="977996" cy="2377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</a:t>
            </a:r>
          </a:p>
        </xdr:txBody>
      </xdr:sp>
      <xdr:sp macro="" textlink="">
        <xdr:nvSpPr>
          <xdr:cNvPr id="53" name="Cal.ChLegTxt2">
            <a:extLst>
              <a:ext uri="{FF2B5EF4-FFF2-40B4-BE49-F238E27FC236}">
                <a16:creationId xmlns:a16="http://schemas.microsoft.com/office/drawing/2014/main" id="{00000000-0008-0000-0A00-000035000000}"/>
              </a:ext>
            </a:extLst>
          </xdr:cNvPr>
          <xdr:cNvSpPr txBox="1"/>
        </xdr:nvSpPr>
        <xdr:spPr>
          <a:xfrm>
            <a:off x="6959444" y="551809"/>
            <a:ext cx="911530" cy="2377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 Goal</a:t>
            </a:r>
          </a:p>
        </xdr:txBody>
      </xdr:sp>
      <xdr:sp macro="" textlink="">
        <xdr:nvSpPr>
          <xdr:cNvPr id="54" name="Cal.ChLegBox2">
            <a:extLst>
              <a:ext uri="{FF2B5EF4-FFF2-40B4-BE49-F238E27FC236}">
                <a16:creationId xmlns:a16="http://schemas.microsoft.com/office/drawing/2014/main" id="{00000000-0008-0000-0A00-000036000000}"/>
              </a:ext>
            </a:extLst>
          </xdr:cNvPr>
          <xdr:cNvSpPr/>
        </xdr:nvSpPr>
        <xdr:spPr>
          <a:xfrm>
            <a:off x="6660210" y="620805"/>
            <a:ext cx="292608" cy="99753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200025</xdr:colOff>
      <xdr:row>14</xdr:row>
      <xdr:rowOff>37584</xdr:rowOff>
    </xdr:from>
    <xdr:to>
      <xdr:col>13</xdr:col>
      <xdr:colOff>463092</xdr:colOff>
      <xdr:row>15</xdr:row>
      <xdr:rowOff>38727</xdr:rowOff>
    </xdr:to>
    <xdr:grpSp>
      <xdr:nvGrpSpPr>
        <xdr:cNvPr id="55" name="WeightChTgLegGroup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GrpSpPr/>
      </xdr:nvGrpSpPr>
      <xdr:grpSpPr>
        <a:xfrm>
          <a:off x="8982075" y="2961759"/>
          <a:ext cx="2539542" cy="201168"/>
          <a:chOff x="9153525" y="549522"/>
          <a:chExt cx="2539542" cy="201168"/>
        </a:xfrm>
      </xdr:grpSpPr>
      <xdr:sp macro="" textlink="">
        <xdr:nvSpPr>
          <xdr:cNvPr id="56" name="WeightChLegBox1">
            <a:extLst>
              <a:ext uri="{FF2B5EF4-FFF2-40B4-BE49-F238E27FC236}">
                <a16:creationId xmlns:a16="http://schemas.microsoft.com/office/drawing/2014/main" id="{00000000-0008-0000-0A00-000038000000}"/>
              </a:ext>
            </a:extLst>
          </xdr:cNvPr>
          <xdr:cNvSpPr/>
        </xdr:nvSpPr>
        <xdr:spPr>
          <a:xfrm>
            <a:off x="9153525" y="595242"/>
            <a:ext cx="292608" cy="109728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57" name="WeightChLegTxt1">
            <a:extLst>
              <a:ext uri="{FF2B5EF4-FFF2-40B4-BE49-F238E27FC236}">
                <a16:creationId xmlns:a16="http://schemas.microsoft.com/office/drawing/2014/main" id="{00000000-0008-0000-0A00-000039000000}"/>
              </a:ext>
            </a:extLst>
          </xdr:cNvPr>
          <xdr:cNvSpPr txBox="1"/>
        </xdr:nvSpPr>
        <xdr:spPr>
          <a:xfrm>
            <a:off x="9444869" y="549522"/>
            <a:ext cx="914400" cy="2011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</a:t>
            </a:r>
          </a:p>
        </xdr:txBody>
      </xdr:sp>
      <xdr:sp macro="" textlink="">
        <xdr:nvSpPr>
          <xdr:cNvPr id="58" name="WeightChLegTxt2">
            <a:extLst>
              <a:ext uri="{FF2B5EF4-FFF2-40B4-BE49-F238E27FC236}">
                <a16:creationId xmlns:a16="http://schemas.microsoft.com/office/drawing/2014/main" id="{00000000-0008-0000-0A00-00003A000000}"/>
              </a:ext>
            </a:extLst>
          </xdr:cNvPr>
          <xdr:cNvSpPr txBox="1"/>
        </xdr:nvSpPr>
        <xdr:spPr>
          <a:xfrm>
            <a:off x="10778667" y="549522"/>
            <a:ext cx="914400" cy="2011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 Goal</a:t>
            </a:r>
          </a:p>
        </xdr:txBody>
      </xdr:sp>
      <xdr:sp macro="" textlink="">
        <xdr:nvSpPr>
          <xdr:cNvPr id="59" name="WeightChLegBox2">
            <a:extLst>
              <a:ext uri="{FF2B5EF4-FFF2-40B4-BE49-F238E27FC236}">
                <a16:creationId xmlns:a16="http://schemas.microsoft.com/office/drawing/2014/main" id="{00000000-0008-0000-0A00-00003B000000}"/>
              </a:ext>
            </a:extLst>
          </xdr:cNvPr>
          <xdr:cNvSpPr/>
        </xdr:nvSpPr>
        <xdr:spPr>
          <a:xfrm>
            <a:off x="10460320" y="595242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200025</xdr:colOff>
      <xdr:row>18</xdr:row>
      <xdr:rowOff>36305</xdr:rowOff>
    </xdr:from>
    <xdr:to>
      <xdr:col>13</xdr:col>
      <xdr:colOff>460524</xdr:colOff>
      <xdr:row>19</xdr:row>
      <xdr:rowOff>62499</xdr:rowOff>
    </xdr:to>
    <xdr:grpSp>
      <xdr:nvGrpSpPr>
        <xdr:cNvPr id="60" name="HRChTgLegGroup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GrpSpPr/>
      </xdr:nvGrpSpPr>
      <xdr:grpSpPr>
        <a:xfrm>
          <a:off x="8982075" y="3760580"/>
          <a:ext cx="2536974" cy="226219"/>
          <a:chOff x="5419725" y="2781300"/>
          <a:chExt cx="2536974" cy="226219"/>
        </a:xfrm>
      </xdr:grpSpPr>
      <xdr:sp macro="" textlink="">
        <xdr:nvSpPr>
          <xdr:cNvPr id="61" name="HRChLegBox1">
            <a:extLst>
              <a:ext uri="{FF2B5EF4-FFF2-40B4-BE49-F238E27FC236}">
                <a16:creationId xmlns:a16="http://schemas.microsoft.com/office/drawing/2014/main" id="{00000000-0008-0000-0A00-00003D000000}"/>
              </a:ext>
            </a:extLst>
          </xdr:cNvPr>
          <xdr:cNvSpPr/>
        </xdr:nvSpPr>
        <xdr:spPr>
          <a:xfrm>
            <a:off x="5419725" y="2840208"/>
            <a:ext cx="292608" cy="109728"/>
          </a:xfrm>
          <a:prstGeom prst="rect">
            <a:avLst/>
          </a:prstGeom>
          <a:solidFill>
            <a:srgbClr val="000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68" name="HRChLegTxt1">
            <a:extLst>
              <a:ext uri="{FF2B5EF4-FFF2-40B4-BE49-F238E27FC236}">
                <a16:creationId xmlns:a16="http://schemas.microsoft.com/office/drawing/2014/main" id="{00000000-0008-0000-0A00-000044000000}"/>
              </a:ext>
            </a:extLst>
          </xdr:cNvPr>
          <xdr:cNvSpPr txBox="1"/>
        </xdr:nvSpPr>
        <xdr:spPr>
          <a:xfrm>
            <a:off x="5722926" y="2781300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</a:t>
            </a:r>
          </a:p>
        </xdr:txBody>
      </xdr:sp>
      <xdr:sp macro="" textlink="">
        <xdr:nvSpPr>
          <xdr:cNvPr id="73" name="HRChLegTxt2">
            <a:extLst>
              <a:ext uri="{FF2B5EF4-FFF2-40B4-BE49-F238E27FC236}">
                <a16:creationId xmlns:a16="http://schemas.microsoft.com/office/drawing/2014/main" id="{00000000-0008-0000-0A00-000049000000}"/>
              </a:ext>
            </a:extLst>
          </xdr:cNvPr>
          <xdr:cNvSpPr txBox="1"/>
        </xdr:nvSpPr>
        <xdr:spPr>
          <a:xfrm>
            <a:off x="7044867" y="2794874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 Goal</a:t>
            </a:r>
          </a:p>
        </xdr:txBody>
      </xdr:sp>
      <xdr:sp macro="" textlink="">
        <xdr:nvSpPr>
          <xdr:cNvPr id="78" name="HRChLegBox2">
            <a:extLst>
              <a:ext uri="{FF2B5EF4-FFF2-40B4-BE49-F238E27FC236}">
                <a16:creationId xmlns:a16="http://schemas.microsoft.com/office/drawing/2014/main" id="{00000000-0008-0000-0A00-00004E000000}"/>
              </a:ext>
            </a:extLst>
          </xdr:cNvPr>
          <xdr:cNvSpPr/>
        </xdr:nvSpPr>
        <xdr:spPr>
          <a:xfrm>
            <a:off x="6726520" y="2839779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200025</xdr:colOff>
      <xdr:row>22</xdr:row>
      <xdr:rowOff>60078</xdr:rowOff>
    </xdr:from>
    <xdr:to>
      <xdr:col>13</xdr:col>
      <xdr:colOff>460524</xdr:colOff>
      <xdr:row>23</xdr:row>
      <xdr:rowOff>86272</xdr:rowOff>
    </xdr:to>
    <xdr:grpSp>
      <xdr:nvGrpSpPr>
        <xdr:cNvPr id="82" name="PowerChTgLegGroup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GrpSpPr/>
      </xdr:nvGrpSpPr>
      <xdr:grpSpPr>
        <a:xfrm>
          <a:off x="8982075" y="4584453"/>
          <a:ext cx="2536974" cy="226219"/>
          <a:chOff x="9153525" y="3009900"/>
          <a:chExt cx="2536974" cy="226219"/>
        </a:xfrm>
      </xdr:grpSpPr>
      <xdr:sp macro="" textlink="">
        <xdr:nvSpPr>
          <xdr:cNvPr id="83" name="PowerChLegBox1">
            <a:extLst>
              <a:ext uri="{FF2B5EF4-FFF2-40B4-BE49-F238E27FC236}">
                <a16:creationId xmlns:a16="http://schemas.microsoft.com/office/drawing/2014/main" id="{00000000-0008-0000-0A00-000053000000}"/>
              </a:ext>
            </a:extLst>
          </xdr:cNvPr>
          <xdr:cNvSpPr/>
        </xdr:nvSpPr>
        <xdr:spPr>
          <a:xfrm>
            <a:off x="9153525" y="3068808"/>
            <a:ext cx="292608" cy="109728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84" name="PowerChLegTxt1">
            <a:extLst>
              <a:ext uri="{FF2B5EF4-FFF2-40B4-BE49-F238E27FC236}">
                <a16:creationId xmlns:a16="http://schemas.microsoft.com/office/drawing/2014/main" id="{00000000-0008-0000-0A00-000054000000}"/>
              </a:ext>
            </a:extLst>
          </xdr:cNvPr>
          <xdr:cNvSpPr txBox="1"/>
        </xdr:nvSpPr>
        <xdr:spPr>
          <a:xfrm>
            <a:off x="9456726" y="3009900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Power</a:t>
            </a:r>
          </a:p>
        </xdr:txBody>
      </xdr:sp>
      <xdr:sp macro="" textlink="">
        <xdr:nvSpPr>
          <xdr:cNvPr id="85" name="PowerChLegTxt2">
            <a:extLst>
              <a:ext uri="{FF2B5EF4-FFF2-40B4-BE49-F238E27FC236}">
                <a16:creationId xmlns:a16="http://schemas.microsoft.com/office/drawing/2014/main" id="{00000000-0008-0000-0A00-000055000000}"/>
              </a:ext>
            </a:extLst>
          </xdr:cNvPr>
          <xdr:cNvSpPr txBox="1"/>
        </xdr:nvSpPr>
        <xdr:spPr>
          <a:xfrm>
            <a:off x="10778667" y="3023474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Power Goal</a:t>
            </a:r>
          </a:p>
        </xdr:txBody>
      </xdr:sp>
      <xdr:sp macro="" textlink="">
        <xdr:nvSpPr>
          <xdr:cNvPr id="86" name="PowerChLegBox2">
            <a:extLst>
              <a:ext uri="{FF2B5EF4-FFF2-40B4-BE49-F238E27FC236}">
                <a16:creationId xmlns:a16="http://schemas.microsoft.com/office/drawing/2014/main" id="{00000000-0008-0000-0A00-000056000000}"/>
              </a:ext>
            </a:extLst>
          </xdr:cNvPr>
          <xdr:cNvSpPr/>
        </xdr:nvSpPr>
        <xdr:spPr>
          <a:xfrm>
            <a:off x="10460320" y="3068379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oneCell">
    <xdr:from>
      <xdr:col>8</xdr:col>
      <xdr:colOff>0</xdr:colOff>
      <xdr:row>27</xdr:row>
      <xdr:rowOff>0</xdr:rowOff>
    </xdr:from>
    <xdr:to>
      <xdr:col>10</xdr:col>
      <xdr:colOff>228560</xdr:colOff>
      <xdr:row>32</xdr:row>
      <xdr:rowOff>131430</xdr:rowOff>
    </xdr:to>
    <xdr:pic>
      <xdr:nvPicPr>
        <xdr:cNvPr id="87" name="BikeRiderIm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7975" y="5524500"/>
          <a:ext cx="1390610" cy="1350630"/>
        </a:xfrm>
        <a:prstGeom prst="rect">
          <a:avLst/>
        </a:prstGeom>
      </xdr:spPr>
    </xdr:pic>
    <xdr:clientData fLock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Abelardo" refreshedDate="44676.899627662038" createdVersion="3" refreshedVersion="7" minRefreshableVersion="3" recordCount="21" xr:uid="{01F52053-8F9E-4EC0-82D2-6C0A52A21575}">
  <cacheSource type="worksheet">
    <worksheetSource ref="B15:AL36" sheet="Calendar"/>
  </cacheSource>
  <cacheFields count="37">
    <cacheField name="Wk" numFmtId="1">
      <sharedItems containsNonDate="0" containsString="0" containsBlank="1"/>
    </cacheField>
    <cacheField name="Date" numFmtId="168">
      <sharedItems containsNonDate="0" containsDate="1" containsString="0" containsBlank="1" minDate="2021-09-20T00:00:00" maxDate="2022-07-19T00:00:00" count="45">
        <m/>
        <d v="2022-03-28T00:00:00" u="1"/>
        <d v="2021-09-20T00:00:00" u="1"/>
        <d v="2021-10-25T00:00:00" u="1"/>
        <d v="2022-03-21T00:00:00" u="1"/>
        <d v="2021-10-18T00:00:00" u="1"/>
        <d v="2022-03-14T00:00:00" u="1"/>
        <d v="2022-02-28T00:00:00" u="1"/>
        <d v="2021-10-11T00:00:00" u="1"/>
        <d v="2022-03-07T00:00:00" u="1"/>
        <d v="2022-02-21T00:00:00" u="1"/>
        <d v="2021-10-04T00:00:00" u="1"/>
        <d v="2022-02-14T00:00:00" u="1"/>
        <d v="2022-02-07T00:00:00" u="1"/>
        <d v="2022-06-27T00:00:00" u="1"/>
        <d v="2022-06-20T00:00:00" u="1"/>
        <d v="2022-06-13T00:00:00" u="1"/>
        <d v="2022-07-18T00:00:00" u="1"/>
        <d v="2022-06-06T00:00:00" u="1"/>
        <d v="2022-07-11T00:00:00" u="1"/>
        <d v="2022-01-31T00:00:00" u="1"/>
        <d v="2022-07-04T00:00:00" u="1"/>
        <d v="2022-01-24T00:00:00" u="1"/>
        <d v="2022-01-17T00:00:00" u="1"/>
        <d v="2022-01-10T00:00:00" u="1"/>
        <d v="2021-11-29T00:00:00" u="1"/>
        <d v="2022-01-03T00:00:00" u="1"/>
        <d v="2022-04-25T00:00:00" u="1"/>
        <d v="2022-05-30T00:00:00" u="1"/>
        <d v="2021-11-22T00:00:00" u="1"/>
        <d v="2021-12-27T00:00:00" u="1"/>
        <d v="2022-04-18T00:00:00" u="1"/>
        <d v="2022-05-23T00:00:00" u="1"/>
        <d v="2021-11-15T00:00:00" u="1"/>
        <d v="2021-12-20T00:00:00" u="1"/>
        <d v="2022-04-11T00:00:00" u="1"/>
        <d v="2022-05-16T00:00:00" u="1"/>
        <d v="2021-11-08T00:00:00" u="1"/>
        <d v="2021-12-13T00:00:00" u="1"/>
        <d v="2022-04-04T00:00:00" u="1"/>
        <d v="2022-05-09T00:00:00" u="1"/>
        <d v="2021-11-01T00:00:00" u="1"/>
        <d v="2021-12-06T00:00:00" u="1"/>
        <d v="2022-05-02T00:00:00" u="1"/>
        <d v="2021-09-27T00:00:00" u="1"/>
      </sharedItems>
    </cacheField>
    <cacheField name="Period" numFmtId="0">
      <sharedItems containsNonDate="0" containsBlank="1" count="9">
        <m/>
        <s v="Peak" u="1"/>
        <s v="Base III" u="1"/>
        <s v="Build II" u="1"/>
        <s v="Base I" u="1"/>
        <s v="Prep." u="1"/>
        <s v="Base II" u="1"/>
        <s v="Race" u="1"/>
        <s v="Build I" u="1"/>
      </sharedItems>
    </cacheField>
    <cacheField name="Event" numFmtId="0">
      <sharedItems containsNonDate="0" containsString="0" containsBlank="1"/>
    </cacheField>
    <cacheField name="Event Date" numFmtId="179">
      <sharedItems containsNonDate="0" containsString="0" containsBlank="1"/>
    </cacheField>
    <cacheField name="Plan. Hrs" numFmtId="164">
      <sharedItems containsNonDate="0" containsString="0" containsBlank="1" count="1">
        <m/>
      </sharedItems>
    </cacheField>
    <cacheField name="Mon" numFmtId="181">
      <sharedItems containsNonDate="0" containsString="0" containsBlank="1"/>
    </cacheField>
    <cacheField name="Tue" numFmtId="181">
      <sharedItems containsNonDate="0" containsString="0" containsBlank="1"/>
    </cacheField>
    <cacheField name="Wed" numFmtId="181">
      <sharedItems containsNonDate="0" containsString="0" containsBlank="1"/>
    </cacheField>
    <cacheField name="Thu" numFmtId="181">
      <sharedItems containsNonDate="0" containsString="0" containsBlank="1"/>
    </cacheField>
    <cacheField name="Fri" numFmtId="181">
      <sharedItems containsNonDate="0" containsString="0" containsBlank="1"/>
    </cacheField>
    <cacheField name="Sat" numFmtId="181">
      <sharedItems containsNonDate="0" containsString="0" containsBlank="1"/>
    </cacheField>
    <cacheField name="Sun" numFmtId="181">
      <sharedItems containsNonDate="0" containsString="0" containsBlank="1"/>
    </cacheField>
    <cacheField name="Actual Hrs" numFmtId="164">
      <sharedItems containsNonDate="0" containsString="0" containsBlank="1"/>
    </cacheField>
    <cacheField name="Cal." numFmtId="3">
      <sharedItems containsNonDate="0" containsString="0" containsBlank="1" count="1">
        <m/>
      </sharedItems>
    </cacheField>
    <cacheField name="Cal. Goal" numFmtId="3">
      <sharedItems containsNonDate="0" containsString="0" containsBlank="1" count="1">
        <m/>
      </sharedItems>
    </cacheField>
    <cacheField name="Power" numFmtId="3">
      <sharedItems containsNonDate="0" containsString="0" containsBlank="1" count="1">
        <m/>
      </sharedItems>
    </cacheField>
    <cacheField name="Power Goal" numFmtId="3">
      <sharedItems containsNonDate="0" containsString="0" containsBlank="1" count="1">
        <m/>
      </sharedItems>
    </cacheField>
    <cacheField name="Weight" numFmtId="182">
      <sharedItems count="1">
        <e v="#N/A"/>
      </sharedItems>
    </cacheField>
    <cacheField name="Weight Goal" numFmtId="182">
      <sharedItems count="1">
        <e v="#N/A"/>
      </sharedItems>
    </cacheField>
    <cacheField name="HR" numFmtId="1">
      <sharedItems count="1">
        <e v="#N/A"/>
      </sharedItems>
    </cacheField>
    <cacheField name="HR Goal" numFmtId="1">
      <sharedItems count="1">
        <e v="#N/A"/>
      </sharedItems>
    </cacheField>
    <cacheField name="Period2" numFmtId="0">
      <sharedItems containsSemiMixedTypes="0" containsString="0" containsNumber="1" containsInteger="1" minValue="0" maxValue="0" count="1">
        <n v="0"/>
      </sharedItems>
    </cacheField>
    <cacheField name="Plan. Hrs Chart" numFmtId="183">
      <sharedItems containsSemiMixedTypes="0" containsString="0" containsNumber="1" containsInteger="1" minValue="0" maxValue="0"/>
    </cacheField>
    <cacheField name="Cal. Goal Chart" numFmtId="3">
      <sharedItems containsSemiMixedTypes="0" containsString="0" containsNumber="1" containsInteger="1" minValue="0" maxValue="0"/>
    </cacheField>
    <cacheField name="HR Goal Chart" numFmtId="1">
      <sharedItems containsNonDate="0" containsString="0" containsBlank="1"/>
    </cacheField>
    <cacheField name="Weight Goal Chart" numFmtId="182">
      <sharedItems containsNonDate="0" containsString="0" containsBlank="1"/>
    </cacheField>
    <cacheField name="Power Goal Chart" numFmtId="3">
      <sharedItems containsNonDate="0" containsString="0" containsBlank="1"/>
    </cacheField>
    <cacheField name="BMI" numFmtId="182">
      <sharedItems/>
    </cacheField>
    <cacheField name="Speed" numFmtId="182">
      <sharedItems count="1">
        <e v="#N/A"/>
      </sharedItems>
    </cacheField>
    <cacheField name="Elevation" numFmtId="3">
      <sharedItems/>
    </cacheField>
    <cacheField name="Distance" numFmtId="3">
      <sharedItems/>
    </cacheField>
    <cacheField name="Climber Index" numFmtId="3">
      <sharedItems count="1">
        <e v="#N/A"/>
      </sharedItems>
    </cacheField>
    <cacheField name="Cal/hour" numFmtId="3">
      <sharedItems count="1">
        <e v="#N/A"/>
      </sharedItems>
    </cacheField>
    <cacheField name="Today Week" numFmtId="166">
      <sharedItems containsSemiMixedTypes="0" containsString="0" containsNumber="1" containsInteger="1" minValue="-1" maxValue="-1" count="1">
        <n v="-1"/>
      </sharedItems>
    </cacheField>
    <cacheField name="Plan. Hrs2" numFmtId="166">
      <sharedItems containsSemiMixedTypes="0" containsString="0" containsNumber="1" containsInteger="1" minValue="0" maxValue="0"/>
    </cacheField>
    <cacheField name="Actual Hrs2" numFmtId="166">
      <sharedItems count="1">
        <e v="#N/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Abelardo" refreshedDate="44676.899675578701" createdVersion="3" refreshedVersion="7" minRefreshableVersion="3" recordCount="1" xr:uid="{1601ADF7-6BEC-4871-952C-6B1B175463D9}">
  <cacheSource type="worksheet">
    <worksheetSource ref="B5:Y6" sheet="Load"/>
  </cacheSource>
  <cacheFields count="24">
    <cacheField name="Time Period" numFmtId="14">
      <sharedItems containsNonDate="0" containsDate="1" containsString="0" containsBlank="1" minDate="2011-12-26T00:00:00" maxDate="2022-04-05T00:00:00" count="425">
        <m/>
        <d v="2021-10-25T00:00:00" u="1"/>
        <d v="2018-12-17T00:00:00" u="1"/>
        <d v="2014-10-27T00:00:00" u="1"/>
        <d v="2015-11-23T00:00:00" u="1"/>
        <d v="2020-11-23T00:00:00" u="1"/>
        <d v="2012-10-29T00:00:00" u="1"/>
        <d v="2015-12-21T00:00:00" u="1"/>
        <d v="2020-12-21T00:00:00" u="1"/>
        <d v="2012-01-02T00:00:00" u="1"/>
        <d v="2013-12-23T00:00:00" u="1"/>
        <d v="2017-11-27T00:00:00" u="1"/>
        <d v="2019-12-23T00:00:00" u="1"/>
        <d v="2016-01-04T00:00:00" u="1"/>
        <d v="2021-01-04T00:00:00" u="1"/>
        <d v="2021-11-29T00:00:00" u="1"/>
        <d v="2014-01-06T00:00:00" u="1"/>
        <d v="2015-02-02T00:00:00" u="1"/>
        <d v="2020-01-06T00:00:00" u="1"/>
        <d v="2021-12-27T00:00:00" u="1"/>
        <d v="2013-02-04T00:00:00" u="1"/>
        <d v="2018-01-08T00:00:00" u="1"/>
        <d v="2019-02-04T00:00:00" u="1"/>
        <d v="2014-12-29T00:00:00" u="1"/>
        <d v="2015-03-02T00:00:00" u="1"/>
        <d v="2022-01-10T00:00:00" u="1"/>
        <d v="2020-03-02T00:00:00" u="1"/>
        <d v="2012-12-31T00:00:00" u="1"/>
        <d v="2018-12-31T00:00:00" u="1"/>
        <d v="2015-01-12T00:00:00" u="1"/>
        <d v="2013-03-04T00:00:00" u="1"/>
        <d v="2016-02-08T00:00:00" u="1"/>
        <d v="2019-03-04T00:00:00" u="1"/>
        <d v="2021-02-08T00:00:00" u="1"/>
        <d v="2013-01-14T00:00:00" u="1"/>
        <d v="2014-02-10T00:00:00" u="1"/>
        <d v="2019-01-14T00:00:00" u="1"/>
        <d v="2018-04-02T00:00:00" u="1"/>
        <d v="2012-01-16T00:00:00" u="1"/>
        <d v="2018-02-12T00:00:00" u="1"/>
        <d v="2016-04-04T00:00:00" u="1"/>
        <d v="2021-03-08T00:00:00" u="1"/>
        <d v="2022-04-04T00:00:00" u="1"/>
        <d v="2016-01-18T00:00:00" u="1"/>
        <d v="2014-03-10T00:00:00" u="1"/>
        <d v="2015-04-06T00:00:00" u="1"/>
        <d v="2021-01-18T00:00:00" u="1"/>
        <d v="2016-05-02T00:00:00" u="1"/>
        <d v="2022-02-14T00:00:00" u="1"/>
        <d v="2020-04-06T00:00:00" u="1"/>
        <d v="2014-01-20T00:00:00" u="1"/>
        <d v="2015-02-16T00:00:00" u="1"/>
        <d v="2020-01-20T00:00:00" u="1"/>
        <d v="2018-03-12T00:00:00" u="1"/>
        <d v="2015-05-04T00:00:00" u="1"/>
        <d v="2019-04-08T00:00:00" u="1"/>
        <d v="2020-05-04T00:00:00" u="1"/>
        <d v="2013-02-18T00:00:00" u="1"/>
        <d v="2018-01-22T00:00:00" u="1"/>
        <d v="2016-03-14T00:00:00" u="1"/>
        <d v="2013-05-06T00:00:00" u="1"/>
        <d v="2019-02-18T00:00:00" u="1"/>
        <d v="2014-06-02T00:00:00" u="1"/>
        <d v="2022-03-14T00:00:00" u="1"/>
        <d v="2015-03-16T00:00:00" u="1"/>
        <d v="2012-06-04T00:00:00" u="1"/>
        <d v="2020-03-16T00:00:00" u="1"/>
        <d v="2021-04-12T00:00:00" u="1"/>
        <d v="2018-06-04T00:00:00" u="1"/>
        <d v="2015-01-26T00:00:00" u="1"/>
        <d v="2013-03-18T00:00:00" u="1"/>
        <d v="2016-02-22T00:00:00" u="1"/>
        <d v="2014-04-14T00:00:00" u="1"/>
        <d v="2019-03-18T00:00:00" u="1"/>
        <d v="2021-02-22T00:00:00" u="1"/>
        <d v="2012-07-02T00:00:00" u="1"/>
        <d v="2021-05-10T00:00:00" u="1"/>
        <d v="2018-07-02T00:00:00" u="1"/>
        <d v="2013-01-28T00:00:00" u="1"/>
        <d v="2014-02-24T00:00:00" u="1"/>
        <d v="2012-04-16T00:00:00" u="1"/>
        <d v="2019-01-28T00:00:00" u="1"/>
        <d v="2014-05-12T00:00:00" u="1"/>
        <d v="2018-04-16T00:00:00" u="1"/>
        <d v="2015-06-08T00:00:00" u="1"/>
        <d v="2020-06-08T00:00:00" u="1"/>
        <d v="2012-05-14T00:00:00" u="1"/>
        <d v="2018-02-26T00:00:00" u="1"/>
        <d v="2021-03-22T00:00:00" u="1"/>
        <d v="2018-05-14T00:00:00" u="1"/>
        <d v="2015-07-06T00:00:00" u="1"/>
        <d v="2019-06-10T00:00:00" u="1"/>
        <d v="2020-07-06T00:00:00" u="1"/>
        <d v="2021-08-02T00:00:00" u="1"/>
        <d v="2014-03-24T00:00:00" u="1"/>
        <d v="2015-04-20T00:00:00" u="1"/>
        <d v="2022-02-28T00:00:00" u="1"/>
        <d v="2013-07-08T00:00:00" u="1"/>
        <d v="2020-04-20T00:00:00" u="1"/>
        <d v="2017-06-12T00:00:00" u="1"/>
        <d v="2014-08-04T00:00:00" u="1"/>
        <d v="2019-07-08T00:00:00" u="1"/>
        <d v="2013-04-22T00:00:00" u="1"/>
        <d v="2018-03-26T00:00:00" u="1"/>
        <d v="2015-05-18T00:00:00" u="1"/>
        <d v="2019-04-22T00:00:00" u="1"/>
        <d v="2020-05-18T00:00:00" u="1"/>
        <d v="2013-09-02T00:00:00" u="1"/>
        <d v="2017-07-10T00:00:00" u="1"/>
        <d v="2021-06-14T00:00:00" u="1"/>
        <d v="2018-08-06T00:00:00" u="1"/>
        <d v="2019-09-02T00:00:00" u="1"/>
        <d v="2013-05-20T00:00:00" u="1"/>
        <d v="2014-06-16T00:00:00" u="1"/>
        <d v="2022-03-28T00:00:00" u="1"/>
        <d v="2019-05-20T00:00:00" u="1"/>
        <d v="2016-08-08T00:00:00" u="1"/>
        <d v="2017-09-04T00:00:00" u="1"/>
        <d v="2021-07-12T00:00:00" u="1"/>
        <d v="2015-03-30T00:00:00" u="1"/>
        <d v="2012-06-18T00:00:00" u="1"/>
        <d v="2020-03-30T00:00:00" u="1"/>
        <d v="2017-05-22T00:00:00" u="1"/>
        <d v="2014-07-14T00:00:00" u="1"/>
        <d v="2021-04-26T00:00:00" u="1"/>
        <d v="2015-08-10T00:00:00" u="1"/>
        <d v="2020-08-10T00:00:00" u="1"/>
        <d v="2017-10-02T00:00:00" u="1"/>
        <d v="2014-04-28T00:00:00" u="1"/>
        <d v="2012-07-16T00:00:00" u="1"/>
        <d v="2013-08-12T00:00:00" u="1"/>
        <d v="2021-05-24T00:00:00" u="1"/>
        <d v="2014-09-08T00:00:00" u="1"/>
        <d v="2018-07-16T00:00:00" u="1"/>
        <d v="2019-08-12T00:00:00" u="1"/>
        <d v="2021-10-04T00:00:00" u="1"/>
        <d v="2012-04-30T00:00:00" u="1"/>
        <d v="2014-05-26T00:00:00" u="1"/>
        <d v="2018-04-30T00:00:00" u="1"/>
        <d v="2015-06-22T00:00:00" u="1"/>
        <d v="2020-06-22T00:00:00" u="1"/>
        <d v="2017-08-14T00:00:00" u="1"/>
        <d v="2014-10-06T00:00:00" u="1"/>
        <d v="2018-09-10T00:00:00" u="1"/>
        <d v="2015-11-02T00:00:00" u="1"/>
        <d v="2020-11-02T00:00:00" u="1"/>
        <d v="2018-05-28T00:00:00" u="1"/>
        <d v="2015-07-20T00:00:00" u="1"/>
        <d v="2019-06-24T00:00:00" u="1"/>
        <d v="2012-10-08T00:00:00" u="1"/>
        <d v="2016-09-12T00:00:00" u="1"/>
        <d v="2020-07-20T00:00:00" u="1"/>
        <d v="2013-11-04T00:00:00" u="1"/>
        <d v="2018-10-08T00:00:00" u="1"/>
        <d v="2013-07-22T00:00:00" u="1"/>
        <d v="2017-06-26T00:00:00" u="1"/>
        <d v="2014-08-18T00:00:00" u="1"/>
        <d v="2019-07-22T00:00:00" u="1"/>
        <d v="2016-10-10T00:00:00" u="1"/>
        <d v="2013-12-02T00:00:00" u="1"/>
        <d v="2020-09-14T00:00:00" u="1"/>
        <d v="2017-11-06T00:00:00" u="1"/>
        <d v="2019-12-02T00:00:00" u="1"/>
        <d v="2013-09-16T00:00:00" u="1"/>
        <d v="2017-07-24T00:00:00" u="1"/>
        <d v="2021-06-28T00:00:00" u="1"/>
        <d v="2018-08-20T00:00:00" u="1"/>
        <d v="2015-10-12T00:00:00" u="1"/>
        <d v="2019-09-16T00:00:00" u="1"/>
        <d v="2020-10-12T00:00:00" u="1"/>
        <d v="2017-12-04T00:00:00" u="1"/>
        <d v="2021-11-08T00:00:00" u="1"/>
        <d v="2014-06-30T00:00:00" u="1"/>
        <d v="2016-08-22T00:00:00" u="1"/>
        <d v="2013-10-14T00:00:00" u="1"/>
        <d v="2017-09-18T00:00:00" u="1"/>
        <d v="2021-07-26T00:00:00" u="1"/>
        <d v="2014-11-10T00:00:00" u="1"/>
        <d v="2021-12-06T00:00:00" u="1"/>
        <d v="2014-07-28T00:00:00" u="1"/>
        <d v="2015-08-24T00:00:00" u="1"/>
        <d v="2012-11-12T00:00:00" u="1"/>
        <d v="2020-08-24T00:00:00" u="1"/>
        <d v="2017-10-16T00:00:00" u="1"/>
        <d v="2014-12-08T00:00:00" u="1"/>
        <d v="2021-09-20T00:00:00" u="1"/>
        <d v="2018-11-12T00:00:00" u="1"/>
        <d v="2013-08-26T00:00:00" u="1"/>
        <d v="2014-09-22T00:00:00" u="1"/>
        <d v="2018-07-30T00:00:00" u="1"/>
        <d v="2019-08-26T00:00:00" u="1"/>
        <d v="2021-10-18T00:00:00" u="1"/>
        <d v="2018-12-10T00:00:00" u="1"/>
        <d v="2017-08-28T00:00:00" u="1"/>
        <d v="2014-10-20T00:00:00" u="1"/>
        <d v="2018-09-24T00:00:00" u="1"/>
        <d v="2015-11-16T00:00:00" u="1"/>
        <d v="2020-11-16T00:00:00" u="1"/>
        <d v="2016-09-26T00:00:00" u="1"/>
        <d v="2013-11-18T00:00:00" u="1"/>
        <d v="2015-12-14T00:00:00" u="1"/>
        <d v="2020-12-14T00:00:00" u="1"/>
        <d v="2015-09-28T00:00:00" u="1"/>
        <d v="2013-12-16T00:00:00" u="1"/>
        <d v="2020-09-28T00:00:00" u="1"/>
        <d v="2017-11-20T00:00:00" u="1"/>
        <d v="2019-12-16T00:00:00" u="1"/>
        <d v="2013-09-30T00:00:00" u="1"/>
        <d v="2015-10-26T00:00:00" u="1"/>
        <d v="2019-09-30T00:00:00" u="1"/>
        <d v="2020-10-26T00:00:00" u="1"/>
        <d v="2017-12-18T00:00:00" u="1"/>
        <d v="2021-11-22T00:00:00" u="1"/>
        <d v="2013-10-28T00:00:00" u="1"/>
        <d v="2014-11-24T00:00:00" u="1"/>
        <d v="2019-10-28T00:00:00" u="1"/>
        <d v="2021-12-20T00:00:00" u="1"/>
        <d v="2017-10-30T00:00:00" u="1"/>
        <d v="2014-12-22T00:00:00" u="1"/>
        <d v="2018-11-26T00:00:00" u="1"/>
        <d v="2022-01-03T00:00:00" u="1"/>
        <d v="2012-12-24T00:00:00" u="1"/>
        <d v="2018-12-24T00:00:00" u="1"/>
        <d v="2015-01-05T00:00:00" u="1"/>
        <d v="2016-02-01T00:00:00" u="1"/>
        <d v="2021-02-01T00:00:00" u="1"/>
        <d v="2011-12-26T00:00:00" u="1"/>
        <d v="2015-11-30T00:00:00" u="1"/>
        <d v="2020-11-30T00:00:00" u="1"/>
        <d v="2014-02-03T00:00:00" u="1"/>
        <d v="2019-01-07T00:00:00" u="1"/>
        <d v="2020-02-03T00:00:00" u="1"/>
        <d v="2015-12-28T00:00:00" u="1"/>
        <d v="2020-12-28T00:00:00" u="1"/>
        <d v="2012-01-09T00:00:00" u="1"/>
        <d v="2018-02-05T00:00:00" u="1"/>
        <d v="2021-03-01T00:00:00" u="1"/>
        <d v="2013-12-30T00:00:00" u="1"/>
        <d v="2019-12-30T00:00:00" u="1"/>
        <d v="2016-01-11T00:00:00" u="1"/>
        <d v="2014-03-03T00:00:00" u="1"/>
        <d v="2021-01-11T00:00:00" u="1"/>
        <d v="2022-02-07T00:00:00" u="1"/>
        <d v="2014-01-13T00:00:00" u="1"/>
        <d v="2015-02-09T00:00:00" u="1"/>
        <d v="2020-01-13T00:00:00" u="1"/>
        <d v="2018-03-05T00:00:00" u="1"/>
        <d v="2019-04-01T00:00:00" u="1"/>
        <d v="2013-02-11T00:00:00" u="1"/>
        <d v="2018-01-15T00:00:00" u="1"/>
        <d v="2016-03-07T00:00:00" u="1"/>
        <d v="2019-02-11T00:00:00" u="1"/>
        <d v="2022-03-07T00:00:00" u="1"/>
        <d v="2015-03-09T00:00:00" u="1"/>
        <d v="2022-01-17T00:00:00" u="1"/>
        <d v="2020-03-09T00:00:00" u="1"/>
        <d v="2021-04-05T00:00:00" u="1"/>
        <d v="2015-01-19T00:00:00" u="1"/>
        <d v="2016-02-15T00:00:00" u="1"/>
        <d v="2014-04-07T00:00:00" u="1"/>
        <d v="2019-03-11T00:00:00" u="1"/>
        <d v="2021-02-15T00:00:00" u="1"/>
        <d v="2021-05-03T00:00:00" u="1"/>
        <d v="2013-01-21T00:00:00" u="1"/>
        <d v="2014-02-17T00:00:00" u="1"/>
        <d v="2012-04-09T00:00:00" u="1"/>
        <d v="2019-01-21T00:00:00" u="1"/>
        <d v="2014-05-05T00:00:00" u="1"/>
        <d v="2020-02-17T00:00:00" u="1"/>
        <d v="2018-04-09T00:00:00" u="1"/>
        <d v="2015-06-01T00:00:00" u="1"/>
        <d v="2020-06-01T00:00:00" u="1"/>
        <d v="2012-01-23T00:00:00" u="1"/>
        <d v="2018-02-19T00:00:00" u="1"/>
        <d v="2013-06-03T00:00:00" u="1"/>
        <d v="2021-03-15T00:00:00" u="1"/>
        <d v="2018-05-07T00:00:00" u="1"/>
        <d v="2019-06-03T00:00:00" u="1"/>
        <d v="2016-01-25T00:00:00" u="1"/>
        <d v="2014-03-17T00:00:00" u="1"/>
        <d v="2015-04-13T00:00:00" u="1"/>
        <d v="2022-02-21T00:00:00" u="1"/>
        <d v="2020-04-13T00:00:00" u="1"/>
        <d v="2017-06-05T00:00:00" u="1"/>
        <d v="2019-07-01T00:00:00" u="1"/>
        <d v="2014-01-27T00:00:00" u="1"/>
        <d v="2012-03-19T00:00:00" u="1"/>
        <d v="2015-02-23T00:00:00" u="1"/>
        <d v="2013-04-15T00:00:00" u="1"/>
        <d v="2020-01-27T00:00:00" u="1"/>
        <d v="2018-03-19T00:00:00" u="1"/>
        <d v="2015-05-11T00:00:00" u="1"/>
        <d v="2019-04-15T00:00:00" u="1"/>
        <d v="2020-05-11T00:00:00" u="1"/>
        <d v="2017-07-03T00:00:00" u="1"/>
        <d v="2021-06-07T00:00:00" u="1"/>
        <d v="2013-02-25T00:00:00" u="1"/>
        <d v="2018-01-29T00:00:00" u="1"/>
        <d v="2013-05-13T00:00:00" u="1"/>
        <d v="2019-02-25T00:00:00" u="1"/>
        <d v="2014-06-09T00:00:00" u="1"/>
        <d v="2022-03-21T00:00:00" u="1"/>
        <d v="2019-05-13T00:00:00" u="1"/>
        <d v="2021-07-05T00:00:00" u="1"/>
        <d v="2015-03-23T00:00:00" u="1"/>
        <d v="2012-06-11T00:00:00" u="1"/>
        <d v="2022-01-31T00:00:00" u="1"/>
        <d v="2020-03-23T00:00:00" u="1"/>
        <d v="2017-05-15T00:00:00" u="1"/>
        <d v="2014-07-07T00:00:00" u="1"/>
        <d v="2021-04-19T00:00:00" u="1"/>
        <d v="2015-08-03T00:00:00" u="1"/>
        <d v="2020-08-03T00:00:00" u="1"/>
        <d v="2013-03-25T00:00:00" u="1"/>
        <d v="2016-02-29T00:00:00" u="1"/>
        <d v="2019-03-25T00:00:00" u="1"/>
        <d v="2012-07-09T00:00:00" u="1"/>
        <d v="2021-05-17T00:00:00" u="1"/>
        <d v="2018-07-09T00:00:00" u="1"/>
        <d v="2019-08-05T00:00:00" u="1"/>
        <d v="2014-05-19T00:00:00" u="1"/>
        <d v="2018-04-23T00:00:00" u="1"/>
        <d v="2015-06-15T00:00:00" u="1"/>
        <d v="2012-09-03T00:00:00" u="1"/>
        <d v="2020-06-15T00:00:00" u="1"/>
        <d v="2017-08-07T00:00:00" u="1"/>
        <d v="2018-09-03T00:00:00" u="1"/>
        <d v="2012-05-21T00:00:00" u="1"/>
        <d v="2016-04-25T00:00:00" u="1"/>
        <d v="2021-03-29T00:00:00" u="1"/>
        <d v="2018-05-21T00:00:00" u="1"/>
        <d v="2015-07-13T00:00:00" u="1"/>
        <d v="2019-06-17T00:00:00" u="1"/>
        <d v="2016-09-05T00:00:00" u="1"/>
        <d v="2020-07-13T00:00:00" u="1"/>
        <d v="2018-10-01T00:00:00" u="1"/>
        <d v="2014-03-31T00:00:00" u="1"/>
        <d v="2015-04-27T00:00:00" u="1"/>
        <d v="2020-04-27T00:00:00" u="1"/>
        <d v="2017-06-19T00:00:00" u="1"/>
        <d v="2014-08-11T00:00:00" u="1"/>
        <d v="2019-07-15T00:00:00" u="1"/>
        <d v="2016-10-03T00:00:00" u="1"/>
        <d v="2020-09-07T00:00:00" u="1"/>
        <d v="2013-04-29T00:00:00" u="1"/>
        <d v="2015-05-25T00:00:00" u="1"/>
        <d v="2019-04-29T00:00:00" u="1"/>
        <d v="2012-08-13T00:00:00" u="1"/>
        <d v="2020-05-25T00:00:00" u="1"/>
        <d v="2013-09-09T00:00:00" u="1"/>
        <d v="2017-07-17T00:00:00" u="1"/>
        <d v="2021-06-21T00:00:00" u="1"/>
        <d v="2018-08-13T00:00:00" u="1"/>
        <d v="2015-10-05T00:00:00" u="1"/>
        <d v="2019-09-09T00:00:00" u="1"/>
        <d v="2020-10-05T00:00:00" u="1"/>
        <d v="2021-11-01T00:00:00" u="1"/>
        <d v="2013-05-27T00:00:00" u="1"/>
        <d v="2014-06-23T00:00:00" u="1"/>
        <d v="2019-05-27T00:00:00" u="1"/>
        <d v="2016-08-15T00:00:00" u="1"/>
        <d v="2013-10-07T00:00:00" u="1"/>
        <d v="2017-09-11T00:00:00" u="1"/>
        <d v="2021-07-19T00:00:00" u="1"/>
        <d v="2014-11-03T00:00:00" u="1"/>
        <d v="2017-05-29T00:00:00" u="1"/>
        <d v="2014-07-21T00:00:00" u="1"/>
        <d v="2018-06-25T00:00:00" u="1"/>
        <d v="2015-08-17T00:00:00" u="1"/>
        <d v="2020-08-17T00:00:00" u="1"/>
        <d v="2017-10-09T00:00:00" u="1"/>
        <d v="2014-12-01T00:00:00" u="1"/>
        <d v="2021-09-13T00:00:00" u="1"/>
        <d v="2018-11-05T00:00:00" u="1"/>
        <d v="2012-07-23T00:00:00" u="1"/>
        <d v="2013-08-19T00:00:00" u="1"/>
        <d v="2021-05-31T00:00:00" u="1"/>
        <d v="2014-09-15T00:00:00" u="1"/>
        <d v="2018-07-23T00:00:00" u="1"/>
        <d v="2019-08-19T00:00:00" u="1"/>
        <d v="2012-12-03T00:00:00" u="1"/>
        <d v="2021-10-11T00:00:00" u="1"/>
        <d v="2018-12-03T00:00:00" u="1"/>
        <d v="2020-06-29T00:00:00" u="1"/>
        <d v="2017-08-21T00:00:00" u="1"/>
        <d v="2014-10-13T00:00:00" u="1"/>
        <d v="2018-09-17T00:00:00" u="1"/>
        <d v="2015-11-09T00:00:00" u="1"/>
        <d v="2020-11-09T00:00:00" u="1"/>
        <d v="2015-07-27T00:00:00" u="1"/>
        <d v="2016-09-19T00:00:00" u="1"/>
        <d v="2020-07-27T00:00:00" u="1"/>
        <d v="2013-11-11T00:00:00" u="1"/>
        <d v="2015-12-07T00:00:00" u="1"/>
        <d v="2020-12-07T00:00:00" u="1"/>
        <d v="2013-07-29T00:00:00" u="1"/>
        <d v="2014-08-25T00:00:00" u="1"/>
        <d v="2019-07-29T00:00:00" u="1"/>
        <d v="2016-10-17T00:00:00" u="1"/>
        <d v="2013-12-09T00:00:00" u="1"/>
        <d v="2020-09-21T00:00:00" u="1"/>
        <d v="2017-11-13T00:00:00" u="1"/>
        <d v="2019-12-09T00:00:00" u="1"/>
        <d v="2012-08-27T00:00:00" u="1"/>
        <d v="2013-09-23T00:00:00" u="1"/>
        <d v="2017-07-31T00:00:00" u="1"/>
        <d v="2018-08-27T00:00:00" u="1"/>
        <d v="2015-10-19T00:00:00" u="1"/>
        <d v="2019-09-23T00:00:00" u="1"/>
        <d v="2020-10-19T00:00:00" u="1"/>
        <d v="2017-12-11T00:00:00" u="1"/>
        <d v="2021-11-15T00:00:00" u="1"/>
        <d v="2016-08-29T00:00:00" u="1"/>
        <d v="2013-10-21T00:00:00" u="1"/>
        <d v="2017-09-25T00:00:00" u="1"/>
        <d v="2014-11-17T00:00:00" u="1"/>
        <d v="2019-10-21T00:00:00" u="1"/>
        <d v="2021-12-13T00:00:00" u="1"/>
        <d v="2015-08-31T00:00:00" u="1"/>
        <d v="2012-11-19T00:00:00" u="1"/>
        <d v="2020-08-31T00:00:00" u="1"/>
        <d v="2017-10-23T00:00:00" u="1"/>
        <d v="2014-12-15T00:00:00" u="1"/>
        <d v="2021-09-27T00:00:00" u="1"/>
        <d v="2018-11-19T00:00:00" u="1"/>
      </sharedItems>
    </cacheField>
    <cacheField name="Activities" numFmtId="0">
      <sharedItems containsNonDate="0" containsString="0" containsBlank="1"/>
    </cacheField>
    <cacheField name="Distance" numFmtId="0">
      <sharedItems containsNonDate="0" containsString="0" containsBlank="1"/>
    </cacheField>
    <cacheField name="Activity Time" numFmtId="189">
      <sharedItems containsNonDate="0" containsString="0" containsBlank="1"/>
    </cacheField>
    <cacheField name="Activity Calories" numFmtId="0">
      <sharedItems containsNonDate="0" containsString="0" containsBlank="1"/>
    </cacheField>
    <cacheField name="Elev Gain" numFmtId="0">
      <sharedItems containsNonDate="0" containsString="0" containsBlank="1"/>
    </cacheField>
    <cacheField name="Speed" numFmtId="0">
      <sharedItems containsNonDate="0" containsString="0" containsBlank="1"/>
    </cacheField>
    <cacheField name="Heart Rate" numFmtId="0">
      <sharedItems containsNonDate="0" containsString="0" containsBlank="1"/>
    </cacheField>
    <cacheField name="Bike Cadence" numFmtId="0">
      <sharedItems containsNonDate="0" containsString="0" containsBlank="1"/>
    </cacheField>
    <cacheField name="Power" numFmtId="0">
      <sharedItems containsNonDate="0" containsString="0" containsBlank="1"/>
    </cacheField>
    <cacheField name="Climber Index" numFmtId="1">
      <sharedItems containsNonDate="0" containsString="0" containsBlank="1"/>
    </cacheField>
    <cacheField name="Cal/hour" numFmtId="1">
      <sharedItems containsNonDate="0" containsString="0" containsBlank="1"/>
    </cacheField>
    <cacheField name="Hrs/Activity" numFmtId="2">
      <sharedItems containsNonDate="0" containsString="0" containsBlank="1"/>
    </cacheField>
    <cacheField name="Speed/HR" numFmtId="0">
      <sharedItems containsNonDate="0" containsString="0" containsBlank="1"/>
    </cacheField>
    <cacheField name="Distance Unit" numFmtId="0">
      <sharedItems containsNonDate="0" containsString="0" containsBlank="1"/>
    </cacheField>
    <cacheField name="Time Unit" numFmtId="0">
      <sharedItems containsNonDate="0" containsString="0" containsBlank="1"/>
    </cacheField>
    <cacheField name="Calories Unit" numFmtId="0">
      <sharedItems containsNonDate="0" containsString="0" containsBlank="1"/>
    </cacheField>
    <cacheField name="Elevation Unit" numFmtId="0">
      <sharedItems containsNonDate="0" containsString="0" containsBlank="1"/>
    </cacheField>
    <cacheField name="Speed Unit" numFmtId="0">
      <sharedItems containsNonDate="0" containsString="0" containsBlank="1"/>
    </cacheField>
    <cacheField name="Heart Rate Unit" numFmtId="0">
      <sharedItems containsNonDate="0" containsString="0" containsBlank="1"/>
    </cacheField>
    <cacheField name="Cadence Unit" numFmtId="0">
      <sharedItems containsNonDate="0" containsString="0" containsBlank="1"/>
    </cacheField>
    <cacheField name="Power Unit" numFmtId="0">
      <sharedItems containsNonDate="0" containsString="0" containsBlank="1"/>
    </cacheField>
    <cacheField name="WeightTable.lb" numFmtId="0">
      <sharedItems containsNonDate="0" containsString="0" containsBlank="1"/>
    </cacheField>
    <cacheField name="WeightTable.kg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32927632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Abelardo" refreshedDate="44676.899675694447" createdVersion="3" refreshedVersion="7" minRefreshableVersion="3" recordCount="1" xr:uid="{2F32CB2D-7EC7-4850-B8DD-D522E98F6326}">
  <cacheSource type="worksheet">
    <worksheetSource ref="B5:Y6" sheet="Load"/>
  </cacheSource>
  <cacheFields count="24">
    <cacheField name="Time Period" numFmtId="14">
      <sharedItems containsNonDate="0" containsString="0" containsBlank="1" count="1">
        <m/>
      </sharedItems>
    </cacheField>
    <cacheField name="Activities" numFmtId="0">
      <sharedItems containsNonDate="0" containsString="0" containsBlank="1"/>
    </cacheField>
    <cacheField name="Distance" numFmtId="0">
      <sharedItems containsNonDate="0" containsString="0" containsBlank="1"/>
    </cacheField>
    <cacheField name="Activity Time" numFmtId="189">
      <sharedItems containsNonDate="0" containsString="0" containsBlank="1"/>
    </cacheField>
    <cacheField name="Activity Calories" numFmtId="0">
      <sharedItems containsNonDate="0" containsString="0" containsBlank="1"/>
    </cacheField>
    <cacheField name="Elev Gain" numFmtId="0">
      <sharedItems containsNonDate="0" containsString="0" containsBlank="1"/>
    </cacheField>
    <cacheField name="Speed" numFmtId="0">
      <sharedItems containsNonDate="0" containsString="0" containsBlank="1"/>
    </cacheField>
    <cacheField name="Heart Rate" numFmtId="0">
      <sharedItems containsNonDate="0" containsString="0" containsBlank="1"/>
    </cacheField>
    <cacheField name="Bike Cadence" numFmtId="0">
      <sharedItems containsNonDate="0" containsString="0" containsBlank="1"/>
    </cacheField>
    <cacheField name="Power" numFmtId="0">
      <sharedItems containsNonDate="0" containsString="0" containsBlank="1"/>
    </cacheField>
    <cacheField name="Climber Index" numFmtId="1">
      <sharedItems containsNonDate="0" containsString="0" containsBlank="1"/>
    </cacheField>
    <cacheField name="Cal/hour" numFmtId="1">
      <sharedItems containsNonDate="0" containsString="0" containsBlank="1"/>
    </cacheField>
    <cacheField name="Hrs/Activity" numFmtId="2">
      <sharedItems containsNonDate="0" containsString="0" containsBlank="1"/>
    </cacheField>
    <cacheField name="Speed/HR" numFmtId="0">
      <sharedItems containsNonDate="0" containsString="0" containsBlank="1"/>
    </cacheField>
    <cacheField name="Distance Unit" numFmtId="0">
      <sharedItems containsNonDate="0" containsString="0" containsBlank="1"/>
    </cacheField>
    <cacheField name="Time Unit" numFmtId="0">
      <sharedItems containsNonDate="0" containsString="0" containsBlank="1"/>
    </cacheField>
    <cacheField name="Calories Unit" numFmtId="0">
      <sharedItems containsNonDate="0" containsString="0" containsBlank="1"/>
    </cacheField>
    <cacheField name="Elevation Unit" numFmtId="0">
      <sharedItems containsNonDate="0" containsString="0" containsBlank="1"/>
    </cacheField>
    <cacheField name="Speed Unit" numFmtId="0">
      <sharedItems containsNonDate="0" containsString="0" containsBlank="1"/>
    </cacheField>
    <cacheField name="Heart Rate Unit" numFmtId="0">
      <sharedItems containsNonDate="0" containsString="0" containsBlank="1"/>
    </cacheField>
    <cacheField name="Cadence Unit" numFmtId="0">
      <sharedItems containsNonDate="0" containsString="0" containsBlank="1"/>
    </cacheField>
    <cacheField name="Power Unit" numFmtId="0">
      <sharedItems containsNonDate="0" containsString="0" containsBlank="1"/>
    </cacheField>
    <cacheField name="WeightTable.lb" numFmtId="0">
      <sharedItems containsNonDate="0" containsString="0" containsBlank="1"/>
    </cacheField>
    <cacheField name="WeightTable.kg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51819638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Abelardo" refreshedDate="44676.90464803241" createdVersion="3" refreshedVersion="7" minRefreshableVersion="3" recordCount="1" xr:uid="{339D3E20-857A-4E3E-B27F-123992265B51}">
  <cacheSource type="worksheet">
    <worksheetSource ref="B11:E12" sheet="Weight"/>
  </cacheSource>
  <cacheFields count="4">
    <cacheField name="Date" numFmtId="184">
      <sharedItems containsNonDate="0" containsString="0" containsBlank="1" count="1">
        <m/>
      </sharedItems>
    </cacheField>
    <cacheField name="lb" numFmtId="166">
      <sharedItems containsNonDate="0" containsString="0" containsBlank="1"/>
    </cacheField>
    <cacheField name="kg" numFmtId="166">
      <sharedItems containsNonDate="0" containsString="0" containsBlank="1"/>
    </cacheField>
    <cacheField name="Wk" numFmtId="1">
      <sharedItems containsNonDate="0" containsString="0" containsBlank="1" containsNumber="1" containsInteger="1" minValue="1" maxValue="4" count="5">
        <m/>
        <n v="3" u="1"/>
        <n v="4" u="1"/>
        <n v="2" u="1"/>
        <n v="1" u="1"/>
      </sharedItems>
    </cacheField>
  </cacheFields>
  <extLst>
    <ext xmlns:x14="http://schemas.microsoft.com/office/spreadsheetml/2009/9/main" uri="{725AE2AE-9491-48be-B2B4-4EB974FC3084}">
      <x14:pivotCacheDefinition pivotCacheId="6610998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0D73A-AC11-435E-AF1D-D16F32722F6E}" name="PivotAnalytics4" cacheId="2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B3" firstHeaderRow="1" firstDataRow="1" firstDataCol="1"/>
  <pivotFields count="24">
    <pivotField axis="axisRow" numFmtId="168" showAll="0" defaultSubtotal="0">
      <items count="1">
        <item x="0"/>
      </items>
    </pivotField>
    <pivotField showAll="0" defaultSubtotal="0"/>
    <pivotField showAll="0" defaultSubtotal="0"/>
    <pivotField numFmtId="189"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Elev Gain" fld="5" baseField="0" baseItem="0" numFmtId="177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851859-C908-4653-B42A-16D63C4C8E6B}" name="PivotAnalytics" cacheId="1" applyNumberFormats="0" applyBorderFormats="0" applyFontFormats="0" applyPatternFormats="0" applyAlignmentFormats="0" applyWidthHeightFormats="1" dataCaption="Values" updatedVersion="7" minRefreshableVersion="5" showCalcMbrs="0" useAutoFormatting="1" colGrandTotals="0" itemPrintTitles="1" createdVersion="3" indent="0" outline="1" outlineData="1" multipleFieldFilters="0">
  <location ref="A1:H4" firstHeaderRow="1" firstDataRow="2" firstDataCol="1"/>
  <pivotFields count="24">
    <pivotField axis="axisRow" numFmtId="168" showAll="0" defaultSubtotal="0">
      <items count="425">
        <item m="1" x="226"/>
        <item m="1" x="9"/>
        <item m="1" x="234"/>
        <item m="1" x="38"/>
        <item m="1" x="272"/>
        <item m="1" x="286"/>
        <item m="1" x="265"/>
        <item m="1" x="80"/>
        <item m="1" x="136"/>
        <item m="1" x="86"/>
        <item m="1" x="327"/>
        <item m="1" x="65"/>
        <item m="1" x="305"/>
        <item m="1" x="120"/>
        <item m="1" x="75"/>
        <item m="1" x="316"/>
        <item m="1" x="129"/>
        <item m="1" x="374"/>
        <item m="1" x="347"/>
        <item m="1" x="403"/>
        <item m="1" x="323"/>
        <item m="1" x="149"/>
        <item m="1" x="6"/>
        <item m="1" x="181"/>
        <item m="1" x="419"/>
        <item m="1" x="380"/>
        <item m="1" x="221"/>
        <item m="1" x="27"/>
        <item m="1" x="34"/>
        <item m="1" x="263"/>
        <item m="1" x="78"/>
        <item m="1" x="20"/>
        <item m="1" x="248"/>
        <item m="1" x="57"/>
        <item m="1" x="296"/>
        <item m="1" x="30"/>
        <item m="1" x="70"/>
        <item m="1" x="313"/>
        <item m="1" x="288"/>
        <item m="1" x="102"/>
        <item m="1" x="344"/>
        <item m="1" x="60"/>
        <item m="1" x="298"/>
        <item m="1" x="112"/>
        <item m="1" x="357"/>
        <item m="1" x="274"/>
        <item m="1" x="97"/>
        <item m="1" x="154"/>
        <item m="1" x="395"/>
        <item m="1" x="130"/>
        <item m="1" x="375"/>
        <item m="1" x="187"/>
        <item m="1" x="107"/>
        <item m="1" x="349"/>
        <item m="1" x="163"/>
        <item m="1" x="404"/>
        <item m="1" x="207"/>
        <item m="1" x="361"/>
        <item m="1" x="174"/>
        <item m="1" x="413"/>
        <item m="1" x="213"/>
        <item m="1" x="152"/>
        <item m="1" x="392"/>
        <item m="1" x="199"/>
        <item m="1" x="159"/>
        <item m="1" x="399"/>
        <item m="1" x="203"/>
        <item m="1" x="10"/>
        <item m="1" x="237"/>
        <item m="1" x="16"/>
        <item m="1" x="243"/>
        <item m="1" x="50"/>
        <item m="1" x="285"/>
        <item m="1" x="229"/>
        <item m="1" x="35"/>
        <item m="1" x="264"/>
        <item m="1" x="79"/>
        <item m="1" x="240"/>
        <item m="1" x="44"/>
        <item m="1" x="279"/>
        <item m="1" x="94"/>
        <item m="1" x="336"/>
        <item m="1" x="259"/>
        <item m="1" x="72"/>
        <item m="1" x="128"/>
        <item m="1" x="267"/>
        <item m="1" x="82"/>
        <item m="1" x="320"/>
        <item m="1" x="137"/>
        <item m="1" x="62"/>
        <item m="1" x="300"/>
        <item m="1" x="113"/>
        <item m="1" x="358"/>
        <item m="1" x="172"/>
        <item m="1" x="309"/>
        <item m="1" x="123"/>
        <item m="1" x="366"/>
        <item m="1" x="179"/>
        <item m="1" x="100"/>
        <item m="1" x="340"/>
        <item m="1" x="156"/>
        <item m="1" x="396"/>
        <item m="1" x="132"/>
        <item m="1" x="377"/>
        <item m="1" x="188"/>
        <item m="1" x="142"/>
        <item m="1" x="385"/>
        <item m="1" x="194"/>
        <item m="1" x="3"/>
        <item m="1" x="364"/>
        <item m="1" x="177"/>
        <item m="1" x="415"/>
        <item m="1" x="214"/>
        <item m="1" x="371"/>
        <item m="1" x="184"/>
        <item m="1" x="422"/>
        <item m="1" x="218"/>
        <item m="1" x="23"/>
        <item m="1" x="223"/>
        <item m="1" x="29"/>
        <item m="1" x="257"/>
        <item m="1" x="69"/>
        <item m="1" x="17"/>
        <item m="1" x="244"/>
        <item m="1" x="51"/>
        <item m="1" x="287"/>
        <item m="1" x="24"/>
        <item m="1" x="253"/>
        <item m="1" x="64"/>
        <item m="1" x="304"/>
        <item m="1" x="119"/>
        <item m="1" x="45"/>
        <item m="1" x="280"/>
        <item m="1" x="95"/>
        <item m="1" x="337"/>
        <item m="1" x="54"/>
        <item m="1" x="291"/>
        <item m="1" x="104"/>
        <item m="1" x="345"/>
        <item m="1" x="270"/>
        <item m="1" x="84"/>
        <item m="1" x="322"/>
        <item m="1" x="139"/>
        <item m="1" x="90"/>
        <item m="1" x="331"/>
        <item m="1" x="147"/>
        <item m="1" x="389"/>
        <item m="1" x="202"/>
        <item m="1" x="353"/>
        <item m="1" x="167"/>
        <item m="1" x="407"/>
        <item m="1" x="208"/>
        <item m="1" x="144"/>
        <item m="1" x="387"/>
        <item m="1" x="196"/>
        <item m="1" x="4"/>
        <item m="1" x="227"/>
        <item m="1" x="393"/>
        <item m="1" x="200"/>
        <item m="1" x="7"/>
        <item m="1" x="232"/>
        <item m="1" x="13"/>
        <item m="1" x="239"/>
        <item m="1" x="43"/>
        <item m="1" x="278"/>
        <item m="1" x="224"/>
        <item m="1" x="31"/>
        <item m="1" x="258"/>
        <item m="1" x="71"/>
        <item m="1" x="314"/>
        <item m="1" x="250"/>
        <item m="1" x="59"/>
        <item m="1" x="40"/>
        <item m="1" x="328"/>
        <item m="1" x="47"/>
        <item m="1" x="116"/>
        <item m="1" x="360"/>
        <item m="1" x="173"/>
        <item m="1" x="412"/>
        <item m="1" x="333"/>
        <item m="1" x="150"/>
        <item m="1" x="390"/>
        <item m="1" x="198"/>
        <item m="1" x="342"/>
        <item m="1" x="158"/>
        <item m="1" x="398"/>
        <item m="1" x="308"/>
        <item m="1" x="122"/>
        <item m="1" x="365"/>
        <item m="1" x="283"/>
        <item m="1" x="99"/>
        <item m="1" x="339"/>
        <item m="1" x="155"/>
        <item m="1" x="294"/>
        <item m="1" x="108"/>
        <item m="1" x="350"/>
        <item m="1" x="164"/>
        <item m="1" x="405"/>
        <item m="1" x="325"/>
        <item m="1" x="141"/>
        <item m="1" x="384"/>
        <item m="1" x="193"/>
        <item m="1" x="117"/>
        <item m="1" x="362"/>
        <item m="1" x="175"/>
        <item m="1" x="414"/>
        <item m="1" x="127"/>
        <item m="1" x="370"/>
        <item m="1" x="183"/>
        <item m="1" x="421"/>
        <item m="1" x="217"/>
        <item m="1" x="161"/>
        <item m="1" x="401"/>
        <item m="1" x="205"/>
        <item m="1" x="11"/>
        <item m="1" x="170"/>
        <item m="1" x="410"/>
        <item m="1" x="211"/>
        <item m="1" x="21"/>
        <item m="1" x="249"/>
        <item m="1" x="58"/>
        <item m="1" x="297"/>
        <item m="1" x="235"/>
        <item m="1" x="39"/>
        <item m="1" x="273"/>
        <item m="1" x="87"/>
        <item m="1" x="246"/>
        <item m="1" x="53"/>
        <item m="1" x="290"/>
        <item m="1" x="103"/>
        <item m="1" x="37"/>
        <item m="1" x="269"/>
        <item m="1" x="83"/>
        <item m="1" x="321"/>
        <item m="1" x="138"/>
        <item m="1" x="276"/>
        <item m="1" x="89"/>
        <item m="1" x="330"/>
        <item m="1" x="146"/>
        <item m="1" x="68"/>
        <item m="1" x="367"/>
        <item m="1" x="77"/>
        <item m="1" x="318"/>
        <item m="1" x="133"/>
        <item m="1" x="378"/>
        <item m="1" x="189"/>
        <item m="1" x="110"/>
        <item m="1" x="352"/>
        <item m="1" x="166"/>
        <item m="1" x="406"/>
        <item m="1" x="326"/>
        <item m="1" x="143"/>
        <item m="1" x="386"/>
        <item m="1" x="195"/>
        <item m="1" x="335"/>
        <item m="1" x="153"/>
        <item m="1" x="373"/>
        <item m="1" x="186"/>
        <item m="1" x="424"/>
        <item m="1" x="219"/>
        <item m="1" x="382"/>
        <item m="1" x="192"/>
        <item m="1" x="2"/>
        <item m="1" x="222"/>
        <item m="1" x="28"/>
        <item m="1" x="230"/>
        <item m="1" x="36"/>
        <item m="1" x="266"/>
        <item m="1" x="81"/>
        <item m="1" x="22"/>
        <item m="1" x="251"/>
        <item m="1" x="61"/>
        <item m="1" x="299"/>
        <item m="1" x="32"/>
        <item m="1" x="260"/>
        <item m="1" x="73"/>
        <item m="1" x="315"/>
        <item m="1" x="247"/>
        <item m="1" x="55"/>
        <item m="1" x="292"/>
        <item m="1" x="105"/>
        <item m="1" x="346"/>
        <item m="1" x="302"/>
        <item m="1" x="115"/>
        <item m="1" x="359"/>
        <item m="1" x="277"/>
        <item m="1" x="91"/>
        <item m="1" x="332"/>
        <item m="1" x="148"/>
        <item m="1" x="284"/>
        <item m="1" x="101"/>
        <item m="1" x="341"/>
        <item m="1" x="157"/>
        <item m="1" x="397"/>
        <item m="1" x="319"/>
        <item m="1" x="134"/>
        <item m="1" x="379"/>
        <item m="1" x="190"/>
        <item m="1" x="111"/>
        <item m="1" x="354"/>
        <item m="1" x="168"/>
        <item m="1" x="408"/>
        <item m="1" x="209"/>
        <item m="1" x="416"/>
        <item m="1" x="215"/>
        <item m="1" x="162"/>
        <item m="1" x="402"/>
        <item m="1" x="206"/>
        <item m="1" x="12"/>
        <item m="1" x="238"/>
        <item m="1" x="18"/>
        <item m="1" x="245"/>
        <item m="1" x="52"/>
        <item m="1" x="289"/>
        <item m="1" x="231"/>
        <item m="1" x="268"/>
        <item m="1" x="26"/>
        <item m="1" x="255"/>
        <item m="1" x="66"/>
        <item m="1" x="307"/>
        <item m="1" x="121"/>
        <item m="1" x="49"/>
        <item m="1" x="282"/>
        <item m="1" x="98"/>
        <item m="1" x="338"/>
        <item m="1" x="56"/>
        <item m="1" x="293"/>
        <item m="1" x="106"/>
        <item m="1" x="348"/>
        <item m="1" x="271"/>
        <item m="1" x="85"/>
        <item m="1" x="324"/>
        <item m="1" x="140"/>
        <item m="1" x="383"/>
        <item m="1" x="92"/>
        <item m="1" x="334"/>
        <item m="1" x="151"/>
        <item m="1" x="391"/>
        <item m="1" x="312"/>
        <item m="1" x="126"/>
        <item m="1" x="369"/>
        <item m="1" x="182"/>
        <item m="1" x="420"/>
        <item m="1" x="343"/>
        <item m="1" x="160"/>
        <item m="1" x="400"/>
        <item m="1" x="204"/>
        <item m="1" x="355"/>
        <item m="1" x="169"/>
        <item m="1" x="409"/>
        <item m="1" x="210"/>
        <item m="1" x="145"/>
        <item m="1" x="388"/>
        <item m="1" x="197"/>
        <item m="1" x="5"/>
        <item m="1" x="228"/>
        <item m="1" x="394"/>
        <item m="1" x="201"/>
        <item m="1" x="8"/>
        <item m="1" x="233"/>
        <item m="1" x="14"/>
        <item m="1" x="241"/>
        <item m="1" x="46"/>
        <item m="1" x="225"/>
        <item m="1" x="33"/>
        <item m="1" x="261"/>
        <item m="1" x="74"/>
        <item m="1" x="236"/>
        <item m="1" x="41"/>
        <item m="1" x="275"/>
        <item m="1" x="88"/>
        <item m="1" x="329"/>
        <item m="1" x="256"/>
        <item m="1" x="67"/>
        <item m="1" x="310"/>
        <item m="1" x="124"/>
        <item m="1" x="262"/>
        <item m="1" x="76"/>
        <item m="1" x="317"/>
        <item m="1" x="131"/>
        <item m="1" x="376"/>
        <item m="1" x="295"/>
        <item m="1" x="109"/>
        <item m="1" x="351"/>
        <item m="1" x="165"/>
        <item m="1" x="303"/>
        <item m="1" x="118"/>
        <item m="1" x="363"/>
        <item m="1" x="176"/>
        <item m="1" x="93"/>
        <item m="1" x="372"/>
        <item m="1" x="185"/>
        <item m="1" x="423"/>
        <item m="1" x="135"/>
        <item m="1" x="381"/>
        <item m="1" x="191"/>
        <item m="1" x="1"/>
        <item m="1" x="356"/>
        <item m="1" x="171"/>
        <item m="1" x="411"/>
        <item m="1" x="212"/>
        <item m="1" x="15"/>
        <item m="1" x="178"/>
        <item m="1" x="417"/>
        <item m="1" x="216"/>
        <item m="1" x="19"/>
        <item m="1" x="220"/>
        <item m="1" x="25"/>
        <item m="1" x="254"/>
        <item m="1" x="306"/>
        <item m="1" x="242"/>
        <item m="1" x="48"/>
        <item m="1" x="281"/>
        <item m="1" x="96"/>
        <item m="1" x="252"/>
        <item m="1" x="63"/>
        <item m="1" x="301"/>
        <item m="1" x="418"/>
        <item m="1" x="180"/>
        <item m="1" x="368"/>
        <item m="1" x="125"/>
        <item m="1" x="311"/>
        <item m="1" x="114"/>
        <item m="1" x="42"/>
        <item x="0"/>
      </items>
    </pivotField>
    <pivotField dataField="1" showAll="0" defaultSubtotal="0"/>
    <pivotField dataField="1" showAll="0" defaultSubtotal="0"/>
    <pivotField dataField="1" numFmtId="189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 v="42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Count of Activities" fld="1" subtotal="count" baseField="0" baseItem="0" numFmtId="177"/>
    <dataField name="Sum of Activity Time" fld="3" baseField="0" baseItem="0" numFmtId="164"/>
    <dataField name="Sum of Activities" fld="1" baseField="0" baseItem="0" numFmtId="177"/>
    <dataField name="Sum of Distance" fld="2" baseField="0" baseItem="0" numFmtId="177"/>
    <dataField name="Average of Hrs/Activity" fld="12" subtotal="average" baseField="0" baseItem="0" numFmtId="164"/>
    <dataField name="Sum of Activity Calories" fld="4" baseField="0" baseItem="0" numFmtId="177"/>
    <dataField name="Sum of Elev Gain" fld="5" baseField="0" baseItem="0" numFmtId="177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7084B7-A003-4EE2-8E51-E8C909F54217}" name="PivotAnalytics1" cacheId="1" applyNumberFormats="0" applyBorderFormats="0" applyFontFormats="0" applyPatternFormats="0" applyAlignmentFormats="0" applyWidthHeightFormats="1" dataCaption="Values" updatedVersion="7" minRefreshableVersion="5" showCalcMbrs="0" useAutoFormatting="1" colGrandTotals="0" itemPrintTitles="1" createdVersion="3" indent="0" outline="1" outlineData="1" multipleFieldFilters="0" chartFormat="2">
  <location ref="A1:C4" firstHeaderRow="1" firstDataRow="2" firstDataCol="1"/>
  <pivotFields count="24">
    <pivotField axis="axisRow" numFmtId="168" showAll="0" defaultSubtotal="0">
      <items count="425">
        <item m="1" x="226"/>
        <item m="1" x="9"/>
        <item m="1" x="234"/>
        <item m="1" x="38"/>
        <item m="1" x="272"/>
        <item m="1" x="286"/>
        <item m="1" x="265"/>
        <item m="1" x="80"/>
        <item m="1" x="136"/>
        <item m="1" x="86"/>
        <item m="1" x="327"/>
        <item m="1" x="65"/>
        <item m="1" x="305"/>
        <item m="1" x="120"/>
        <item m="1" x="75"/>
        <item m="1" x="316"/>
        <item m="1" x="129"/>
        <item m="1" x="374"/>
        <item m="1" x="347"/>
        <item m="1" x="403"/>
        <item m="1" x="323"/>
        <item m="1" x="149"/>
        <item m="1" x="6"/>
        <item m="1" x="181"/>
        <item m="1" x="419"/>
        <item m="1" x="380"/>
        <item m="1" x="221"/>
        <item m="1" x="27"/>
        <item m="1" x="34"/>
        <item m="1" x="263"/>
        <item m="1" x="78"/>
        <item m="1" x="20"/>
        <item m="1" x="248"/>
        <item m="1" x="57"/>
        <item m="1" x="296"/>
        <item m="1" x="30"/>
        <item m="1" x="70"/>
        <item m="1" x="313"/>
        <item m="1" x="288"/>
        <item m="1" x="102"/>
        <item m="1" x="344"/>
        <item m="1" x="60"/>
        <item m="1" x="298"/>
        <item m="1" x="112"/>
        <item m="1" x="357"/>
        <item m="1" x="274"/>
        <item m="1" x="97"/>
        <item m="1" x="154"/>
        <item m="1" x="395"/>
        <item m="1" x="130"/>
        <item m="1" x="375"/>
        <item m="1" x="187"/>
        <item m="1" x="107"/>
        <item m="1" x="349"/>
        <item m="1" x="163"/>
        <item m="1" x="404"/>
        <item m="1" x="207"/>
        <item m="1" x="361"/>
        <item m="1" x="174"/>
        <item m="1" x="413"/>
        <item m="1" x="213"/>
        <item m="1" x="152"/>
        <item m="1" x="392"/>
        <item m="1" x="199"/>
        <item m="1" x="159"/>
        <item m="1" x="399"/>
        <item m="1" x="203"/>
        <item m="1" x="10"/>
        <item m="1" x="237"/>
        <item m="1" x="16"/>
        <item m="1" x="243"/>
        <item m="1" x="50"/>
        <item m="1" x="285"/>
        <item m="1" x="229"/>
        <item m="1" x="35"/>
        <item m="1" x="264"/>
        <item m="1" x="79"/>
        <item m="1" x="240"/>
        <item m="1" x="44"/>
        <item m="1" x="279"/>
        <item m="1" x="94"/>
        <item m="1" x="336"/>
        <item m="1" x="259"/>
        <item m="1" x="72"/>
        <item m="1" x="128"/>
        <item m="1" x="267"/>
        <item m="1" x="82"/>
        <item m="1" x="320"/>
        <item m="1" x="137"/>
        <item m="1" x="62"/>
        <item m="1" x="300"/>
        <item m="1" x="113"/>
        <item m="1" x="358"/>
        <item m="1" x="172"/>
        <item m="1" x="309"/>
        <item m="1" x="123"/>
        <item m="1" x="366"/>
        <item m="1" x="179"/>
        <item m="1" x="100"/>
        <item m="1" x="340"/>
        <item m="1" x="156"/>
        <item m="1" x="396"/>
        <item m="1" x="132"/>
        <item m="1" x="377"/>
        <item m="1" x="188"/>
        <item m="1" x="142"/>
        <item m="1" x="385"/>
        <item m="1" x="194"/>
        <item m="1" x="3"/>
        <item m="1" x="364"/>
        <item m="1" x="177"/>
        <item m="1" x="415"/>
        <item m="1" x="214"/>
        <item m="1" x="371"/>
        <item m="1" x="184"/>
        <item m="1" x="422"/>
        <item m="1" x="218"/>
        <item m="1" x="23"/>
        <item m="1" x="223"/>
        <item m="1" x="29"/>
        <item m="1" x="257"/>
        <item m="1" x="69"/>
        <item m="1" x="17"/>
        <item m="1" x="244"/>
        <item m="1" x="51"/>
        <item m="1" x="287"/>
        <item m="1" x="24"/>
        <item m="1" x="253"/>
        <item m="1" x="64"/>
        <item m="1" x="304"/>
        <item m="1" x="119"/>
        <item m="1" x="45"/>
        <item m="1" x="280"/>
        <item m="1" x="95"/>
        <item m="1" x="337"/>
        <item m="1" x="54"/>
        <item m="1" x="291"/>
        <item m="1" x="104"/>
        <item m="1" x="345"/>
        <item m="1" x="270"/>
        <item m="1" x="84"/>
        <item m="1" x="322"/>
        <item m="1" x="139"/>
        <item m="1" x="90"/>
        <item m="1" x="331"/>
        <item m="1" x="147"/>
        <item m="1" x="389"/>
        <item m="1" x="202"/>
        <item m="1" x="353"/>
        <item m="1" x="167"/>
        <item m="1" x="407"/>
        <item m="1" x="208"/>
        <item m="1" x="144"/>
        <item m="1" x="387"/>
        <item m="1" x="196"/>
        <item m="1" x="4"/>
        <item m="1" x="227"/>
        <item m="1" x="393"/>
        <item m="1" x="200"/>
        <item m="1" x="7"/>
        <item m="1" x="232"/>
        <item m="1" x="13"/>
        <item m="1" x="239"/>
        <item m="1" x="43"/>
        <item m="1" x="278"/>
        <item m="1" x="224"/>
        <item m="1" x="31"/>
        <item m="1" x="258"/>
        <item m="1" x="71"/>
        <item m="1" x="314"/>
        <item m="1" x="250"/>
        <item m="1" x="59"/>
        <item m="1" x="40"/>
        <item m="1" x="328"/>
        <item m="1" x="47"/>
        <item m="1" x="116"/>
        <item m="1" x="360"/>
        <item m="1" x="173"/>
        <item m="1" x="412"/>
        <item m="1" x="333"/>
        <item m="1" x="150"/>
        <item m="1" x="390"/>
        <item m="1" x="198"/>
        <item m="1" x="342"/>
        <item m="1" x="158"/>
        <item m="1" x="398"/>
        <item m="1" x="308"/>
        <item m="1" x="122"/>
        <item m="1" x="365"/>
        <item m="1" x="283"/>
        <item m="1" x="99"/>
        <item m="1" x="339"/>
        <item m="1" x="155"/>
        <item m="1" x="294"/>
        <item m="1" x="108"/>
        <item m="1" x="350"/>
        <item m="1" x="164"/>
        <item m="1" x="405"/>
        <item m="1" x="325"/>
        <item m="1" x="141"/>
        <item m="1" x="384"/>
        <item m="1" x="193"/>
        <item m="1" x="117"/>
        <item m="1" x="362"/>
        <item m="1" x="175"/>
        <item m="1" x="414"/>
        <item m="1" x="127"/>
        <item m="1" x="370"/>
        <item m="1" x="183"/>
        <item m="1" x="421"/>
        <item m="1" x="217"/>
        <item m="1" x="161"/>
        <item m="1" x="401"/>
        <item m="1" x="205"/>
        <item m="1" x="11"/>
        <item m="1" x="170"/>
        <item m="1" x="410"/>
        <item m="1" x="211"/>
        <item m="1" x="21"/>
        <item m="1" x="249"/>
        <item m="1" x="58"/>
        <item m="1" x="297"/>
        <item m="1" x="235"/>
        <item m="1" x="39"/>
        <item m="1" x="273"/>
        <item m="1" x="87"/>
        <item m="1" x="246"/>
        <item m="1" x="53"/>
        <item m="1" x="290"/>
        <item m="1" x="103"/>
        <item m="1" x="37"/>
        <item m="1" x="269"/>
        <item m="1" x="83"/>
        <item m="1" x="321"/>
        <item m="1" x="138"/>
        <item m="1" x="276"/>
        <item m="1" x="89"/>
        <item m="1" x="330"/>
        <item m="1" x="146"/>
        <item m="1" x="68"/>
        <item m="1" x="367"/>
        <item m="1" x="77"/>
        <item m="1" x="318"/>
        <item m="1" x="133"/>
        <item m="1" x="378"/>
        <item m="1" x="189"/>
        <item m="1" x="110"/>
        <item m="1" x="352"/>
        <item m="1" x="166"/>
        <item m="1" x="406"/>
        <item m="1" x="326"/>
        <item m="1" x="143"/>
        <item m="1" x="386"/>
        <item m="1" x="195"/>
        <item m="1" x="335"/>
        <item m="1" x="153"/>
        <item m="1" x="373"/>
        <item m="1" x="186"/>
        <item m="1" x="424"/>
        <item m="1" x="219"/>
        <item m="1" x="382"/>
        <item m="1" x="192"/>
        <item m="1" x="2"/>
        <item m="1" x="222"/>
        <item m="1" x="28"/>
        <item m="1" x="230"/>
        <item m="1" x="36"/>
        <item m="1" x="266"/>
        <item m="1" x="81"/>
        <item m="1" x="22"/>
        <item m="1" x="251"/>
        <item m="1" x="61"/>
        <item m="1" x="299"/>
        <item m="1" x="32"/>
        <item m="1" x="260"/>
        <item m="1" x="73"/>
        <item m="1" x="315"/>
        <item m="1" x="247"/>
        <item m="1" x="55"/>
        <item m="1" x="292"/>
        <item m="1" x="105"/>
        <item m="1" x="346"/>
        <item m="1" x="302"/>
        <item m="1" x="115"/>
        <item m="1" x="359"/>
        <item m="1" x="277"/>
        <item m="1" x="91"/>
        <item m="1" x="332"/>
        <item m="1" x="148"/>
        <item m="1" x="284"/>
        <item m="1" x="101"/>
        <item m="1" x="341"/>
        <item m="1" x="157"/>
        <item m="1" x="397"/>
        <item m="1" x="319"/>
        <item m="1" x="134"/>
        <item m="1" x="379"/>
        <item m="1" x="190"/>
        <item m="1" x="111"/>
        <item m="1" x="354"/>
        <item m="1" x="168"/>
        <item m="1" x="408"/>
        <item m="1" x="209"/>
        <item m="1" x="416"/>
        <item m="1" x="215"/>
        <item m="1" x="162"/>
        <item m="1" x="402"/>
        <item m="1" x="206"/>
        <item m="1" x="12"/>
        <item m="1" x="238"/>
        <item m="1" x="18"/>
        <item m="1" x="245"/>
        <item m="1" x="52"/>
        <item m="1" x="289"/>
        <item m="1" x="231"/>
        <item m="1" x="268"/>
        <item m="1" x="26"/>
        <item m="1" x="255"/>
        <item m="1" x="66"/>
        <item m="1" x="307"/>
        <item m="1" x="121"/>
        <item m="1" x="49"/>
        <item m="1" x="282"/>
        <item m="1" x="98"/>
        <item m="1" x="338"/>
        <item m="1" x="56"/>
        <item m="1" x="293"/>
        <item m="1" x="106"/>
        <item m="1" x="348"/>
        <item m="1" x="271"/>
        <item m="1" x="85"/>
        <item m="1" x="324"/>
        <item m="1" x="140"/>
        <item m="1" x="383"/>
        <item m="1" x="92"/>
        <item m="1" x="334"/>
        <item m="1" x="151"/>
        <item m="1" x="391"/>
        <item m="1" x="312"/>
        <item m="1" x="126"/>
        <item m="1" x="369"/>
        <item m="1" x="182"/>
        <item m="1" x="420"/>
        <item m="1" x="343"/>
        <item m="1" x="160"/>
        <item m="1" x="400"/>
        <item m="1" x="204"/>
        <item m="1" x="355"/>
        <item m="1" x="169"/>
        <item m="1" x="409"/>
        <item m="1" x="210"/>
        <item m="1" x="145"/>
        <item m="1" x="388"/>
        <item m="1" x="197"/>
        <item m="1" x="5"/>
        <item m="1" x="228"/>
        <item m="1" x="394"/>
        <item m="1" x="201"/>
        <item m="1" x="8"/>
        <item m="1" x="233"/>
        <item m="1" x="14"/>
        <item m="1" x="241"/>
        <item m="1" x="46"/>
        <item m="1" x="225"/>
        <item m="1" x="33"/>
        <item m="1" x="261"/>
        <item m="1" x="74"/>
        <item m="1" x="236"/>
        <item m="1" x="41"/>
        <item m="1" x="275"/>
        <item m="1" x="88"/>
        <item m="1" x="329"/>
        <item m="1" x="256"/>
        <item m="1" x="67"/>
        <item m="1" x="310"/>
        <item m="1" x="124"/>
        <item m="1" x="262"/>
        <item m="1" x="76"/>
        <item m="1" x="317"/>
        <item m="1" x="131"/>
        <item m="1" x="376"/>
        <item m="1" x="295"/>
        <item m="1" x="109"/>
        <item m="1" x="351"/>
        <item m="1" x="165"/>
        <item m="1" x="303"/>
        <item m="1" x="118"/>
        <item m="1" x="363"/>
        <item m="1" x="176"/>
        <item m="1" x="93"/>
        <item m="1" x="372"/>
        <item m="1" x="185"/>
        <item m="1" x="423"/>
        <item m="1" x="135"/>
        <item m="1" x="381"/>
        <item m="1" x="191"/>
        <item m="1" x="1"/>
        <item m="1" x="356"/>
        <item m="1" x="171"/>
        <item m="1" x="411"/>
        <item m="1" x="212"/>
        <item m="1" x="15"/>
        <item m="1" x="178"/>
        <item m="1" x="417"/>
        <item m="1" x="216"/>
        <item m="1" x="19"/>
        <item m="1" x="220"/>
        <item m="1" x="25"/>
        <item m="1" x="254"/>
        <item m="1" x="306"/>
        <item m="1" x="242"/>
        <item m="1" x="48"/>
        <item m="1" x="281"/>
        <item m="1" x="96"/>
        <item m="1" x="252"/>
        <item m="1" x="63"/>
        <item m="1" x="301"/>
        <item m="1" x="418"/>
        <item m="1" x="180"/>
        <item m="1" x="368"/>
        <item m="1" x="125"/>
        <item m="1" x="311"/>
        <item m="1" x="114"/>
        <item m="1" x="42"/>
        <item x="0"/>
      </items>
    </pivotField>
    <pivotField showAll="0" defaultSubtotal="0"/>
    <pivotField showAll="0" defaultSubtotal="0"/>
    <pivotField numFmtId="189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 v="42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ctivity Calories" fld="4" baseField="0" baseItem="0" numFmtId="177"/>
    <dataField name="Average of Cal/hour" fld="11" subtotal="average" baseField="0" baseItem="0" numFmtId="1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1324D6-5C9F-4152-AECC-8653B6265042}" name="PivotAnalytics2" cacheId="1" applyNumberFormats="0" applyBorderFormats="0" applyFontFormats="0" applyPatternFormats="0" applyAlignmentFormats="0" applyWidthHeightFormats="1" dataCaption="Values" updatedVersion="7" minRefreshableVersion="5" showCalcMbrs="0" useAutoFormatting="1" colGrandTotals="0" itemPrintTitles="1" createdVersion="3" indent="0" outline="1" outlineData="1" multipleFieldFilters="0" chartFormat="2">
  <location ref="A1:C4" firstHeaderRow="1" firstDataRow="2" firstDataCol="1"/>
  <pivotFields count="24">
    <pivotField axis="axisRow" numFmtId="168" showAll="0" defaultSubtotal="0">
      <items count="425">
        <item m="1" x="226"/>
        <item m="1" x="9"/>
        <item m="1" x="234"/>
        <item m="1" x="38"/>
        <item m="1" x="272"/>
        <item m="1" x="286"/>
        <item m="1" x="265"/>
        <item m="1" x="80"/>
        <item m="1" x="136"/>
        <item m="1" x="86"/>
        <item m="1" x="327"/>
        <item m="1" x="65"/>
        <item m="1" x="305"/>
        <item m="1" x="120"/>
        <item m="1" x="75"/>
        <item m="1" x="316"/>
        <item m="1" x="129"/>
        <item m="1" x="374"/>
        <item m="1" x="347"/>
        <item m="1" x="403"/>
        <item m="1" x="323"/>
        <item m="1" x="149"/>
        <item m="1" x="6"/>
        <item m="1" x="181"/>
        <item m="1" x="419"/>
        <item m="1" x="380"/>
        <item m="1" x="221"/>
        <item m="1" x="27"/>
        <item m="1" x="34"/>
        <item m="1" x="263"/>
        <item m="1" x="78"/>
        <item m="1" x="20"/>
        <item m="1" x="248"/>
        <item m="1" x="57"/>
        <item m="1" x="296"/>
        <item m="1" x="30"/>
        <item m="1" x="70"/>
        <item m="1" x="313"/>
        <item m="1" x="288"/>
        <item m="1" x="102"/>
        <item m="1" x="344"/>
        <item m="1" x="60"/>
        <item m="1" x="298"/>
        <item m="1" x="112"/>
        <item m="1" x="357"/>
        <item m="1" x="274"/>
        <item m="1" x="97"/>
        <item m="1" x="154"/>
        <item m="1" x="395"/>
        <item m="1" x="130"/>
        <item m="1" x="375"/>
        <item m="1" x="187"/>
        <item m="1" x="107"/>
        <item m="1" x="349"/>
        <item m="1" x="163"/>
        <item m="1" x="404"/>
        <item m="1" x="207"/>
        <item m="1" x="361"/>
        <item m="1" x="174"/>
        <item m="1" x="413"/>
        <item m="1" x="213"/>
        <item m="1" x="152"/>
        <item m="1" x="392"/>
        <item m="1" x="199"/>
        <item m="1" x="159"/>
        <item m="1" x="399"/>
        <item m="1" x="203"/>
        <item m="1" x="10"/>
        <item m="1" x="237"/>
        <item m="1" x="16"/>
        <item m="1" x="243"/>
        <item m="1" x="50"/>
        <item m="1" x="285"/>
        <item m="1" x="229"/>
        <item m="1" x="35"/>
        <item m="1" x="264"/>
        <item m="1" x="79"/>
        <item m="1" x="240"/>
        <item m="1" x="44"/>
        <item m="1" x="279"/>
        <item m="1" x="94"/>
        <item m="1" x="336"/>
        <item m="1" x="259"/>
        <item m="1" x="72"/>
        <item m="1" x="128"/>
        <item m="1" x="267"/>
        <item m="1" x="82"/>
        <item m="1" x="320"/>
        <item m="1" x="137"/>
        <item m="1" x="62"/>
        <item m="1" x="300"/>
        <item m="1" x="113"/>
        <item m="1" x="358"/>
        <item m="1" x="172"/>
        <item m="1" x="309"/>
        <item m="1" x="123"/>
        <item m="1" x="366"/>
        <item m="1" x="179"/>
        <item m="1" x="100"/>
        <item m="1" x="340"/>
        <item m="1" x="156"/>
        <item m="1" x="396"/>
        <item m="1" x="132"/>
        <item m="1" x="377"/>
        <item m="1" x="188"/>
        <item m="1" x="142"/>
        <item m="1" x="385"/>
        <item m="1" x="194"/>
        <item m="1" x="3"/>
        <item m="1" x="364"/>
        <item m="1" x="177"/>
        <item m="1" x="415"/>
        <item m="1" x="214"/>
        <item m="1" x="371"/>
        <item m="1" x="184"/>
        <item m="1" x="422"/>
        <item m="1" x="218"/>
        <item m="1" x="23"/>
        <item m="1" x="223"/>
        <item m="1" x="29"/>
        <item m="1" x="257"/>
        <item m="1" x="69"/>
        <item m="1" x="17"/>
        <item m="1" x="244"/>
        <item m="1" x="51"/>
        <item m="1" x="287"/>
        <item m="1" x="24"/>
        <item m="1" x="253"/>
        <item m="1" x="64"/>
        <item m="1" x="304"/>
        <item m="1" x="119"/>
        <item m="1" x="45"/>
        <item m="1" x="280"/>
        <item m="1" x="95"/>
        <item m="1" x="337"/>
        <item m="1" x="54"/>
        <item m="1" x="291"/>
        <item m="1" x="104"/>
        <item m="1" x="345"/>
        <item m="1" x="270"/>
        <item m="1" x="84"/>
        <item m="1" x="322"/>
        <item m="1" x="139"/>
        <item m="1" x="90"/>
        <item m="1" x="331"/>
        <item m="1" x="147"/>
        <item m="1" x="389"/>
        <item m="1" x="202"/>
        <item m="1" x="353"/>
        <item m="1" x="167"/>
        <item m="1" x="407"/>
        <item m="1" x="208"/>
        <item m="1" x="144"/>
        <item m="1" x="387"/>
        <item m="1" x="196"/>
        <item m="1" x="4"/>
        <item m="1" x="227"/>
        <item m="1" x="393"/>
        <item m="1" x="200"/>
        <item m="1" x="7"/>
        <item m="1" x="232"/>
        <item m="1" x="13"/>
        <item m="1" x="239"/>
        <item m="1" x="43"/>
        <item m="1" x="278"/>
        <item m="1" x="224"/>
        <item m="1" x="31"/>
        <item m="1" x="258"/>
        <item m="1" x="71"/>
        <item m="1" x="314"/>
        <item m="1" x="250"/>
        <item m="1" x="59"/>
        <item m="1" x="40"/>
        <item m="1" x="328"/>
        <item m="1" x="47"/>
        <item m="1" x="116"/>
        <item m="1" x="360"/>
        <item m="1" x="173"/>
        <item m="1" x="412"/>
        <item m="1" x="333"/>
        <item m="1" x="150"/>
        <item m="1" x="390"/>
        <item m="1" x="198"/>
        <item m="1" x="342"/>
        <item m="1" x="158"/>
        <item m="1" x="398"/>
        <item m="1" x="308"/>
        <item m="1" x="122"/>
        <item m="1" x="365"/>
        <item m="1" x="283"/>
        <item m="1" x="99"/>
        <item m="1" x="339"/>
        <item m="1" x="155"/>
        <item m="1" x="294"/>
        <item m="1" x="108"/>
        <item m="1" x="350"/>
        <item m="1" x="164"/>
        <item m="1" x="405"/>
        <item m="1" x="325"/>
        <item m="1" x="141"/>
        <item m="1" x="384"/>
        <item m="1" x="193"/>
        <item m="1" x="117"/>
        <item m="1" x="362"/>
        <item m="1" x="175"/>
        <item m="1" x="414"/>
        <item m="1" x="127"/>
        <item m="1" x="370"/>
        <item m="1" x="183"/>
        <item m="1" x="421"/>
        <item m="1" x="217"/>
        <item m="1" x="161"/>
        <item m="1" x="401"/>
        <item m="1" x="205"/>
        <item m="1" x="11"/>
        <item m="1" x="170"/>
        <item m="1" x="410"/>
        <item m="1" x="211"/>
        <item m="1" x="21"/>
        <item m="1" x="249"/>
        <item m="1" x="58"/>
        <item m="1" x="297"/>
        <item m="1" x="235"/>
        <item m="1" x="39"/>
        <item m="1" x="273"/>
        <item m="1" x="87"/>
        <item m="1" x="246"/>
        <item m="1" x="53"/>
        <item m="1" x="290"/>
        <item m="1" x="103"/>
        <item m="1" x="37"/>
        <item m="1" x="269"/>
        <item m="1" x="83"/>
        <item m="1" x="321"/>
        <item m="1" x="138"/>
        <item m="1" x="276"/>
        <item m="1" x="89"/>
        <item m="1" x="330"/>
        <item m="1" x="146"/>
        <item m="1" x="68"/>
        <item m="1" x="367"/>
        <item m="1" x="77"/>
        <item m="1" x="318"/>
        <item m="1" x="133"/>
        <item m="1" x="378"/>
        <item m="1" x="189"/>
        <item m="1" x="110"/>
        <item m="1" x="352"/>
        <item m="1" x="166"/>
        <item m="1" x="406"/>
        <item m="1" x="326"/>
        <item m="1" x="143"/>
        <item m="1" x="386"/>
        <item m="1" x="195"/>
        <item m="1" x="335"/>
        <item m="1" x="153"/>
        <item m="1" x="373"/>
        <item m="1" x="186"/>
        <item m="1" x="424"/>
        <item m="1" x="219"/>
        <item m="1" x="382"/>
        <item m="1" x="192"/>
        <item m="1" x="2"/>
        <item m="1" x="222"/>
        <item m="1" x="28"/>
        <item m="1" x="230"/>
        <item m="1" x="36"/>
        <item m="1" x="266"/>
        <item m="1" x="81"/>
        <item m="1" x="22"/>
        <item m="1" x="251"/>
        <item m="1" x="61"/>
        <item m="1" x="299"/>
        <item m="1" x="32"/>
        <item m="1" x="260"/>
        <item m="1" x="73"/>
        <item m="1" x="315"/>
        <item m="1" x="247"/>
        <item m="1" x="55"/>
        <item m="1" x="292"/>
        <item m="1" x="105"/>
        <item m="1" x="346"/>
        <item m="1" x="302"/>
        <item m="1" x="115"/>
        <item m="1" x="359"/>
        <item m="1" x="277"/>
        <item m="1" x="91"/>
        <item m="1" x="332"/>
        <item m="1" x="148"/>
        <item m="1" x="284"/>
        <item m="1" x="101"/>
        <item m="1" x="341"/>
        <item m="1" x="157"/>
        <item m="1" x="397"/>
        <item m="1" x="319"/>
        <item m="1" x="134"/>
        <item m="1" x="379"/>
        <item m="1" x="190"/>
        <item m="1" x="111"/>
        <item m="1" x="354"/>
        <item m="1" x="168"/>
        <item m="1" x="408"/>
        <item m="1" x="209"/>
        <item m="1" x="416"/>
        <item m="1" x="215"/>
        <item m="1" x="162"/>
        <item m="1" x="402"/>
        <item m="1" x="206"/>
        <item m="1" x="12"/>
        <item m="1" x="238"/>
        <item m="1" x="18"/>
        <item m="1" x="245"/>
        <item m="1" x="52"/>
        <item m="1" x="289"/>
        <item m="1" x="231"/>
        <item m="1" x="268"/>
        <item m="1" x="26"/>
        <item m="1" x="255"/>
        <item m="1" x="66"/>
        <item m="1" x="307"/>
        <item m="1" x="121"/>
        <item m="1" x="49"/>
        <item m="1" x="282"/>
        <item m="1" x="98"/>
        <item m="1" x="338"/>
        <item m="1" x="56"/>
        <item m="1" x="293"/>
        <item m="1" x="106"/>
        <item m="1" x="348"/>
        <item m="1" x="271"/>
        <item m="1" x="85"/>
        <item m="1" x="324"/>
        <item m="1" x="140"/>
        <item m="1" x="383"/>
        <item m="1" x="92"/>
        <item m="1" x="334"/>
        <item m="1" x="151"/>
        <item m="1" x="391"/>
        <item m="1" x="312"/>
        <item m="1" x="126"/>
        <item m="1" x="369"/>
        <item m="1" x="182"/>
        <item m="1" x="420"/>
        <item m="1" x="343"/>
        <item m="1" x="160"/>
        <item m="1" x="400"/>
        <item m="1" x="204"/>
        <item m="1" x="355"/>
        <item m="1" x="169"/>
        <item m="1" x="409"/>
        <item m="1" x="210"/>
        <item m="1" x="145"/>
        <item m="1" x="388"/>
        <item m="1" x="197"/>
        <item m="1" x="5"/>
        <item m="1" x="228"/>
        <item m="1" x="394"/>
        <item m="1" x="201"/>
        <item m="1" x="8"/>
        <item m="1" x="233"/>
        <item m="1" x="14"/>
        <item m="1" x="241"/>
        <item m="1" x="46"/>
        <item m="1" x="225"/>
        <item m="1" x="33"/>
        <item m="1" x="261"/>
        <item m="1" x="74"/>
        <item m="1" x="236"/>
        <item m="1" x="41"/>
        <item m="1" x="275"/>
        <item m="1" x="88"/>
        <item m="1" x="329"/>
        <item m="1" x="256"/>
        <item m="1" x="67"/>
        <item m="1" x="310"/>
        <item m="1" x="124"/>
        <item m="1" x="262"/>
        <item m="1" x="76"/>
        <item m="1" x="317"/>
        <item m="1" x="131"/>
        <item m="1" x="376"/>
        <item m="1" x="295"/>
        <item m="1" x="109"/>
        <item m="1" x="351"/>
        <item m="1" x="165"/>
        <item m="1" x="303"/>
        <item m="1" x="118"/>
        <item m="1" x="363"/>
        <item m="1" x="176"/>
        <item m="1" x="93"/>
        <item m="1" x="372"/>
        <item m="1" x="185"/>
        <item m="1" x="423"/>
        <item m="1" x="135"/>
        <item m="1" x="381"/>
        <item m="1" x="191"/>
        <item m="1" x="1"/>
        <item m="1" x="356"/>
        <item m="1" x="171"/>
        <item m="1" x="411"/>
        <item m="1" x="212"/>
        <item m="1" x="15"/>
        <item m="1" x="178"/>
        <item m="1" x="417"/>
        <item m="1" x="216"/>
        <item m="1" x="19"/>
        <item m="1" x="220"/>
        <item m="1" x="25"/>
        <item m="1" x="254"/>
        <item m="1" x="306"/>
        <item m="1" x="242"/>
        <item m="1" x="48"/>
        <item m="1" x="281"/>
        <item m="1" x="96"/>
        <item m="1" x="252"/>
        <item m="1" x="63"/>
        <item m="1" x="301"/>
        <item m="1" x="418"/>
        <item m="1" x="180"/>
        <item m="1" x="368"/>
        <item m="1" x="125"/>
        <item m="1" x="311"/>
        <item m="1" x="114"/>
        <item m="1" x="42"/>
        <item x="0"/>
      </items>
    </pivotField>
    <pivotField showAll="0" defaultSubtotal="0"/>
    <pivotField showAll="0" defaultSubtotal="0"/>
    <pivotField numFmtId="189"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 v="424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Speed" fld="6" subtotal="average" baseField="0" baseItem="0" numFmtId="166"/>
    <dataField name="Average of Cal/hour" fld="11" subtotal="average" baseField="0" baseItem="0" numFmtId="1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3270DA-906D-4FCA-B137-C06E9F69F37A}" name="PivotAnalytics3" cacheId="1" applyNumberFormats="0" applyBorderFormats="0" applyFontFormats="0" applyPatternFormats="0" applyAlignmentFormats="0" applyWidthHeightFormats="1" dataCaption="Values" updatedVersion="7" minRefreshableVersion="5" showCalcMbrs="0" useAutoFormatting="1" colGrandTotals="0" itemPrintTitles="1" createdVersion="3" indent="0" outline="1" outlineData="1" multipleFieldFilters="0" chartFormat="1">
  <location ref="A1:C4" firstHeaderRow="1" firstDataRow="2" firstDataCol="1"/>
  <pivotFields count="24">
    <pivotField axis="axisRow" numFmtId="168" showAll="0" defaultSubtotal="0">
      <items count="425">
        <item m="1" x="226"/>
        <item m="1" x="9"/>
        <item m="1" x="234"/>
        <item m="1" x="38"/>
        <item m="1" x="272"/>
        <item m="1" x="286"/>
        <item m="1" x="265"/>
        <item m="1" x="80"/>
        <item m="1" x="136"/>
        <item m="1" x="86"/>
        <item m="1" x="327"/>
        <item m="1" x="65"/>
        <item m="1" x="305"/>
        <item m="1" x="120"/>
        <item m="1" x="75"/>
        <item m="1" x="316"/>
        <item m="1" x="129"/>
        <item m="1" x="374"/>
        <item m="1" x="347"/>
        <item m="1" x="403"/>
        <item m="1" x="323"/>
        <item m="1" x="149"/>
        <item m="1" x="6"/>
        <item m="1" x="181"/>
        <item m="1" x="419"/>
        <item m="1" x="380"/>
        <item m="1" x="221"/>
        <item m="1" x="27"/>
        <item m="1" x="34"/>
        <item m="1" x="263"/>
        <item m="1" x="78"/>
        <item m="1" x="20"/>
        <item m="1" x="248"/>
        <item m="1" x="57"/>
        <item m="1" x="296"/>
        <item m="1" x="30"/>
        <item m="1" x="70"/>
        <item m="1" x="313"/>
        <item m="1" x="288"/>
        <item m="1" x="102"/>
        <item m="1" x="344"/>
        <item m="1" x="60"/>
        <item m="1" x="298"/>
        <item m="1" x="112"/>
        <item m="1" x="357"/>
        <item m="1" x="274"/>
        <item m="1" x="97"/>
        <item m="1" x="154"/>
        <item m="1" x="395"/>
        <item m="1" x="130"/>
        <item m="1" x="375"/>
        <item m="1" x="187"/>
        <item m="1" x="107"/>
        <item m="1" x="349"/>
        <item m="1" x="163"/>
        <item m="1" x="404"/>
        <item m="1" x="207"/>
        <item m="1" x="361"/>
        <item m="1" x="174"/>
        <item m="1" x="413"/>
        <item m="1" x="213"/>
        <item m="1" x="152"/>
        <item m="1" x="392"/>
        <item m="1" x="199"/>
        <item m="1" x="159"/>
        <item m="1" x="399"/>
        <item m="1" x="203"/>
        <item m="1" x="10"/>
        <item m="1" x="237"/>
        <item m="1" x="16"/>
        <item m="1" x="243"/>
        <item m="1" x="50"/>
        <item m="1" x="285"/>
        <item m="1" x="229"/>
        <item m="1" x="35"/>
        <item m="1" x="264"/>
        <item m="1" x="79"/>
        <item m="1" x="240"/>
        <item m="1" x="44"/>
        <item m="1" x="279"/>
        <item m="1" x="94"/>
        <item m="1" x="336"/>
        <item m="1" x="259"/>
        <item m="1" x="72"/>
        <item m="1" x="128"/>
        <item m="1" x="267"/>
        <item m="1" x="82"/>
        <item m="1" x="320"/>
        <item m="1" x="137"/>
        <item m="1" x="62"/>
        <item m="1" x="300"/>
        <item m="1" x="113"/>
        <item m="1" x="358"/>
        <item m="1" x="172"/>
        <item m="1" x="309"/>
        <item m="1" x="123"/>
        <item m="1" x="366"/>
        <item m="1" x="179"/>
        <item m="1" x="100"/>
        <item m="1" x="340"/>
        <item m="1" x="156"/>
        <item m="1" x="396"/>
        <item m="1" x="132"/>
        <item m="1" x="377"/>
        <item m="1" x="188"/>
        <item m="1" x="142"/>
        <item m="1" x="385"/>
        <item m="1" x="194"/>
        <item m="1" x="3"/>
        <item m="1" x="364"/>
        <item m="1" x="177"/>
        <item m="1" x="415"/>
        <item m="1" x="214"/>
        <item m="1" x="371"/>
        <item m="1" x="184"/>
        <item m="1" x="422"/>
        <item m="1" x="218"/>
        <item m="1" x="23"/>
        <item m="1" x="223"/>
        <item m="1" x="29"/>
        <item m="1" x="257"/>
        <item m="1" x="69"/>
        <item m="1" x="17"/>
        <item m="1" x="244"/>
        <item m="1" x="51"/>
        <item m="1" x="287"/>
        <item m="1" x="24"/>
        <item m="1" x="253"/>
        <item m="1" x="64"/>
        <item m="1" x="304"/>
        <item m="1" x="119"/>
        <item m="1" x="45"/>
        <item m="1" x="280"/>
        <item m="1" x="95"/>
        <item m="1" x="337"/>
        <item m="1" x="54"/>
        <item m="1" x="291"/>
        <item m="1" x="104"/>
        <item m="1" x="345"/>
        <item m="1" x="270"/>
        <item m="1" x="84"/>
        <item m="1" x="322"/>
        <item m="1" x="139"/>
        <item m="1" x="90"/>
        <item m="1" x="331"/>
        <item m="1" x="147"/>
        <item m="1" x="389"/>
        <item m="1" x="202"/>
        <item m="1" x="353"/>
        <item m="1" x="167"/>
        <item m="1" x="407"/>
        <item m="1" x="208"/>
        <item m="1" x="144"/>
        <item m="1" x="387"/>
        <item m="1" x="196"/>
        <item m="1" x="4"/>
        <item m="1" x="227"/>
        <item m="1" x="393"/>
        <item m="1" x="200"/>
        <item m="1" x="7"/>
        <item m="1" x="232"/>
        <item m="1" x="13"/>
        <item m="1" x="239"/>
        <item m="1" x="43"/>
        <item m="1" x="278"/>
        <item m="1" x="224"/>
        <item m="1" x="31"/>
        <item m="1" x="258"/>
        <item m="1" x="71"/>
        <item m="1" x="314"/>
        <item m="1" x="250"/>
        <item m="1" x="59"/>
        <item m="1" x="40"/>
        <item m="1" x="328"/>
        <item m="1" x="47"/>
        <item m="1" x="116"/>
        <item m="1" x="360"/>
        <item m="1" x="173"/>
        <item m="1" x="412"/>
        <item m="1" x="333"/>
        <item m="1" x="150"/>
        <item m="1" x="390"/>
        <item m="1" x="198"/>
        <item m="1" x="342"/>
        <item m="1" x="158"/>
        <item m="1" x="398"/>
        <item m="1" x="308"/>
        <item m="1" x="122"/>
        <item m="1" x="365"/>
        <item m="1" x="283"/>
        <item m="1" x="99"/>
        <item m="1" x="339"/>
        <item m="1" x="155"/>
        <item m="1" x="294"/>
        <item m="1" x="108"/>
        <item m="1" x="350"/>
        <item m="1" x="164"/>
        <item m="1" x="405"/>
        <item m="1" x="325"/>
        <item m="1" x="141"/>
        <item m="1" x="384"/>
        <item m="1" x="193"/>
        <item m="1" x="117"/>
        <item m="1" x="362"/>
        <item m="1" x="175"/>
        <item m="1" x="414"/>
        <item m="1" x="127"/>
        <item m="1" x="370"/>
        <item m="1" x="183"/>
        <item m="1" x="421"/>
        <item m="1" x="217"/>
        <item m="1" x="161"/>
        <item m="1" x="401"/>
        <item m="1" x="205"/>
        <item m="1" x="11"/>
        <item m="1" x="170"/>
        <item m="1" x="410"/>
        <item m="1" x="211"/>
        <item m="1" x="21"/>
        <item m="1" x="249"/>
        <item m="1" x="58"/>
        <item m="1" x="297"/>
        <item m="1" x="235"/>
        <item m="1" x="39"/>
        <item m="1" x="273"/>
        <item m="1" x="87"/>
        <item m="1" x="246"/>
        <item m="1" x="53"/>
        <item m="1" x="290"/>
        <item m="1" x="103"/>
        <item m="1" x="37"/>
        <item m="1" x="269"/>
        <item m="1" x="83"/>
        <item m="1" x="321"/>
        <item m="1" x="138"/>
        <item m="1" x="276"/>
        <item m="1" x="89"/>
        <item m="1" x="330"/>
        <item m="1" x="146"/>
        <item m="1" x="68"/>
        <item m="1" x="367"/>
        <item m="1" x="77"/>
        <item m="1" x="318"/>
        <item m="1" x="133"/>
        <item m="1" x="378"/>
        <item m="1" x="189"/>
        <item m="1" x="110"/>
        <item m="1" x="352"/>
        <item m="1" x="166"/>
        <item m="1" x="406"/>
        <item m="1" x="326"/>
        <item m="1" x="143"/>
        <item m="1" x="386"/>
        <item m="1" x="195"/>
        <item m="1" x="335"/>
        <item m="1" x="153"/>
        <item m="1" x="373"/>
        <item m="1" x="186"/>
        <item m="1" x="424"/>
        <item m="1" x="219"/>
        <item m="1" x="382"/>
        <item m="1" x="192"/>
        <item m="1" x="2"/>
        <item m="1" x="222"/>
        <item m="1" x="28"/>
        <item m="1" x="230"/>
        <item m="1" x="36"/>
        <item m="1" x="266"/>
        <item m="1" x="81"/>
        <item m="1" x="22"/>
        <item m="1" x="251"/>
        <item m="1" x="61"/>
        <item m="1" x="299"/>
        <item m="1" x="32"/>
        <item m="1" x="260"/>
        <item m="1" x="73"/>
        <item m="1" x="315"/>
        <item m="1" x="247"/>
        <item m="1" x="55"/>
        <item m="1" x="292"/>
        <item m="1" x="105"/>
        <item m="1" x="346"/>
        <item m="1" x="302"/>
        <item m="1" x="115"/>
        <item m="1" x="359"/>
        <item m="1" x="277"/>
        <item m="1" x="91"/>
        <item m="1" x="332"/>
        <item m="1" x="148"/>
        <item m="1" x="284"/>
        <item m="1" x="101"/>
        <item m="1" x="341"/>
        <item m="1" x="157"/>
        <item m="1" x="397"/>
        <item m="1" x="319"/>
        <item m="1" x="134"/>
        <item m="1" x="379"/>
        <item m="1" x="190"/>
        <item m="1" x="111"/>
        <item m="1" x="354"/>
        <item m="1" x="168"/>
        <item m="1" x="408"/>
        <item m="1" x="209"/>
        <item m="1" x="416"/>
        <item m="1" x="215"/>
        <item m="1" x="162"/>
        <item m="1" x="402"/>
        <item m="1" x="206"/>
        <item m="1" x="12"/>
        <item m="1" x="238"/>
        <item m="1" x="18"/>
        <item m="1" x="245"/>
        <item m="1" x="52"/>
        <item m="1" x="289"/>
        <item m="1" x="231"/>
        <item m="1" x="268"/>
        <item m="1" x="26"/>
        <item m="1" x="255"/>
        <item m="1" x="66"/>
        <item m="1" x="307"/>
        <item m="1" x="121"/>
        <item m="1" x="49"/>
        <item m="1" x="282"/>
        <item m="1" x="98"/>
        <item m="1" x="338"/>
        <item m="1" x="56"/>
        <item m="1" x="293"/>
        <item m="1" x="106"/>
        <item m="1" x="348"/>
        <item m="1" x="271"/>
        <item m="1" x="85"/>
        <item m="1" x="324"/>
        <item m="1" x="140"/>
        <item m="1" x="383"/>
        <item m="1" x="92"/>
        <item m="1" x="334"/>
        <item m="1" x="151"/>
        <item m="1" x="391"/>
        <item m="1" x="312"/>
        <item m="1" x="126"/>
        <item m="1" x="369"/>
        <item m="1" x="182"/>
        <item m="1" x="420"/>
        <item m="1" x="343"/>
        <item m="1" x="160"/>
        <item m="1" x="400"/>
        <item m="1" x="204"/>
        <item m="1" x="355"/>
        <item m="1" x="169"/>
        <item m="1" x="409"/>
        <item m="1" x="210"/>
        <item m="1" x="145"/>
        <item m="1" x="388"/>
        <item m="1" x="197"/>
        <item m="1" x="5"/>
        <item m="1" x="228"/>
        <item m="1" x="394"/>
        <item m="1" x="201"/>
        <item m="1" x="8"/>
        <item m="1" x="233"/>
        <item m="1" x="14"/>
        <item m="1" x="241"/>
        <item m="1" x="46"/>
        <item m="1" x="225"/>
        <item m="1" x="33"/>
        <item m="1" x="261"/>
        <item m="1" x="74"/>
        <item m="1" x="236"/>
        <item m="1" x="41"/>
        <item m="1" x="275"/>
        <item m="1" x="88"/>
        <item m="1" x="329"/>
        <item m="1" x="256"/>
        <item m="1" x="67"/>
        <item m="1" x="310"/>
        <item m="1" x="124"/>
        <item m="1" x="262"/>
        <item m="1" x="76"/>
        <item m="1" x="317"/>
        <item m="1" x="131"/>
        <item m="1" x="376"/>
        <item m="1" x="295"/>
        <item m="1" x="109"/>
        <item m="1" x="351"/>
        <item m="1" x="165"/>
        <item m="1" x="303"/>
        <item m="1" x="118"/>
        <item m="1" x="363"/>
        <item m="1" x="176"/>
        <item m="1" x="93"/>
        <item m="1" x="372"/>
        <item m="1" x="185"/>
        <item m="1" x="423"/>
        <item m="1" x="135"/>
        <item m="1" x="381"/>
        <item m="1" x="191"/>
        <item m="1" x="1"/>
        <item m="1" x="356"/>
        <item m="1" x="171"/>
        <item m="1" x="411"/>
        <item m="1" x="212"/>
        <item m="1" x="15"/>
        <item m="1" x="178"/>
        <item m="1" x="417"/>
        <item m="1" x="216"/>
        <item m="1" x="19"/>
        <item m="1" x="220"/>
        <item m="1" x="25"/>
        <item m="1" x="254"/>
        <item m="1" x="306"/>
        <item m="1" x="242"/>
        <item m="1" x="48"/>
        <item m="1" x="281"/>
        <item m="1" x="96"/>
        <item m="1" x="252"/>
        <item m="1" x="63"/>
        <item m="1" x="301"/>
        <item m="1" x="418"/>
        <item m="1" x="180"/>
        <item m="1" x="368"/>
        <item m="1" x="125"/>
        <item m="1" x="311"/>
        <item m="1" x="114"/>
        <item m="1" x="42"/>
        <item x="0"/>
      </items>
    </pivotField>
    <pivotField showAll="0" defaultSubtotal="0"/>
    <pivotField showAll="0" defaultSubtotal="0"/>
    <pivotField numFmtId="189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 v="424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Hrs/Activity" fld="12" subtotal="average" baseField="0" baseItem="0" numFmtId="164"/>
    <dataField name="Average of Cal/hour" fld="11" subtotal="average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3B0D86-646D-486F-A569-C83F27B5C602}" name="PivotPlan" cacheId="0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0">
  <location ref="A1:D6" firstHeaderRow="1" firstDataRow="3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>
      <items count="1">
        <item x="0"/>
      </items>
    </pivotField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1">
        <item x="0"/>
      </items>
    </pivotField>
    <pivotField dataField="1"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66" showAll="0" defaultSubtotal="0">
      <items count="1">
        <item x="0"/>
      </items>
    </pivotField>
    <pivotField numFmtId="166" showAll="0" defaultSubtotal="0"/>
    <pivotField dataField="1" showAll="0" defaultSubtotal="0">
      <items count="1">
        <item x="0"/>
      </items>
    </pivotField>
  </pivotFields>
  <rowFields count="2">
    <field x="2"/>
    <field x="1"/>
  </rowFields>
  <rowItems count="3">
    <i>
      <x v="8"/>
    </i>
    <i r="1">
      <x v="44"/>
    </i>
    <i t="grand">
      <x/>
    </i>
  </rowItems>
  <colFields count="2">
    <field x="-2"/>
    <field x="22"/>
  </colFields>
  <colItems count="3">
    <i>
      <x/>
      <x/>
    </i>
    <i i="1">
      <x v="1"/>
      <x/>
    </i>
    <i i="2">
      <x v="2"/>
      <x/>
    </i>
  </colItems>
  <dataFields count="3">
    <dataField name="Sum of Today Week" fld="34" baseField="0" baseItem="0" numFmtId="188"/>
    <dataField name="Sum of Actual Hrs2" fld="36" baseField="0" baseItem="0" numFmtId="188"/>
    <dataField name="Sum of Plan. Hrs Chart" fld="23" baseField="0" baseItem="0" numFmtId="188"/>
  </dataFields>
  <chartFormats count="13">
    <chartFormat chart="9" format="21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9" format="22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0"/>
          </reference>
        </references>
      </pivotArea>
    </chartFormat>
    <chartFormat chart="9" format="23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4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5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6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7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8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9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30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31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32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33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B7A5F-35F4-48D1-9AD9-7200EE8DE96A}" name="PivotCal" cacheId="0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4">
  <location ref="A1:D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dataField="1" showAll="0" defaultSubtotal="0">
      <items count="1">
        <item x="0"/>
      </items>
    </pivotField>
    <pivotField showAll="0" defaultSubtotal="0">
      <items count="1"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83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al." fld="14" baseField="0" baseItem="0" numFmtId="177"/>
    <dataField name="Sum of Cal. Goal Chart" fld="24" baseField="0" baseItem="0" numFmtId="177"/>
    <dataField name="Sum of Cal/hour" fld="33" baseField="0" baseItem="0" numFmtId="185"/>
  </dataField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63787F-A7A1-4307-B7DA-644F5CB2B0C0}" name="PivotSpeed" cacheId="0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showAll="0" defaultSubtotal="0"/>
    <pivotField showAll="0" defaultSubtotal="0"/>
    <pivotField dataField="1" showAll="0" defaultSubtotal="0">
      <items count="1">
        <item x="0"/>
      </items>
    </pivotField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peed" fld="29" baseField="0" baseItem="0" numFmtId="166"/>
    <dataField name="Sum of Climber Index" fld="32" baseField="0" baseItem="0" numFmtId="17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22DDB8-9057-4C88-B197-04D56EF54C9E}" name="PivotWeight" cacheId="0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showAll="0" defaultSubtotal="0"/>
    <pivotField dataField="1" showAll="0" defaultSubtotal="0">
      <items count="1">
        <item x="0"/>
      </items>
    </pivotField>
    <pivotField showAll="0" defaultSubtotal="0"/>
    <pivotField showAll="0" defaultSubtotal="0"/>
    <pivotField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Weight" fld="18" baseField="0" baseItem="0" numFmtId="166"/>
    <dataField name="Sum of HR" fld="20" baseField="0" baseItem="0" numFmtId="17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4D4A22-5B98-456D-8B87-73B934A01C1B}" name="PivotAddWeight" cacheId="3" applyNumberFormats="0" applyBorderFormats="0" applyFontFormats="0" applyPatternFormats="0" applyAlignmentFormats="0" applyWidthHeightFormats="1" dataCaption="Values" updatedVersion="7" minRefreshableVersion="3" showCalcMbrs="0" rowGrandTotals="0" colGrandTotals="0" itemPrintTitles="1" createdVersion="3" indent="0" outline="1" outlineData="1" multipleFieldFilters="0" chartFormat="1">
  <location ref="A1:B3" firstHeaderRow="1" firstDataRow="1" firstDataCol="1"/>
  <pivotFields count="4">
    <pivotField axis="axisRow" numFmtId="184" showAll="0" sortType="ascending" defaultSubtotal="0">
      <items count="1">
        <item x="0"/>
      </items>
    </pivotField>
    <pivotField dataField="1" numFmtId="166" showAll="0" defaultSubtotal="0"/>
    <pivotField numFmtId="166" showAll="0" defaultSubtotal="0"/>
    <pivotField axis="axisRow" numFmtId="1" showAll="0" defaultSubtotal="0">
      <items count="5">
        <item m="1" x="4"/>
        <item m="1" x="3"/>
        <item m="1" x="1"/>
        <item m="1" x="2"/>
        <item x="0"/>
      </items>
    </pivotField>
  </pivotFields>
  <rowFields count="2">
    <field x="0"/>
    <field x="3"/>
  </rowFields>
  <rowItems count="2">
    <i>
      <x/>
    </i>
    <i r="1">
      <x v="4"/>
    </i>
  </rowItems>
  <colItems count="1">
    <i/>
  </colItems>
  <dataFields count="1">
    <dataField name="Average of lb" fld="1" subtotal="average" baseField="0" baseItem="0" numFmtId="185"/>
  </dataFields>
  <chartFormats count="1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AD2F46-5474-4A12-9B64-FD2BFC52E65F}" name="PivotWeightTarget" cacheId="0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dataField="1" showAll="0" defaultSubtotal="0">
      <items count="1">
        <item x="0"/>
      </items>
    </pivotField>
    <pivotField showAll="0" defaultSubtotal="0"/>
    <pivotField showAll="0" defaultSubtotal="0"/>
    <pivotField showAll="0" defaultSubtotal="0"/>
    <pivotField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Weight" fld="18" baseField="0" baseItem="0" numFmtId="166"/>
    <dataField name="Sum of Weight Goal" fld="19" baseField="0" baseItem="0" numFmtId="16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2A486A-CFFE-4F84-8984-5A598C469EBE}" name="PivotCalTarget" cacheId="0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dataField="1" showAll="0" defaultSubtotal="0">
      <items count="1">
        <item x="0"/>
      </items>
    </pivotField>
    <pivotField showAll="0" defaultSubtotal="0">
      <items count="1"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83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Cal." fld="14" baseField="0" baseItem="0" numFmtId="177"/>
    <dataField name="Sum of Cal. Goal Chart" fld="24" baseField="0" baseItem="0" numFmtId="17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17A9E9-AC9A-46F5-8018-1AE007433287}" name="PivotHRTarget" cacheId="0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dataField="1" showAll="0" defaultSubtotal="0">
      <items count="1">
        <item x="0"/>
      </items>
    </pivotField>
    <pivotField showAll="0" defaultSubtotal="0"/>
    <pivotField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HR" fld="20" baseField="0" baseItem="0" numFmtId="177"/>
    <dataField name="Sum of HR Goal" fld="21" baseField="0" baseItem="0" numFmtId="17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9AF09B-0A25-4169-8D40-EDC23D801BCD}" name="PivotPowerTarget" cacheId="0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dataField="1" showAll="0" defaultSubtotal="0">
      <items count="1"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ower" fld="16" baseField="0" baseItem="0" numFmtId="177"/>
    <dataField name="Sum of Power Goal" fld="17" baseField="0" baseItem="0" numFmtId="17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adjustColumnWidth="0" connectionId="1" xr16:uid="{00000000-0016-0000-0000-000000000000}" autoFormatId="16" applyNumberFormats="0" applyBorderFormats="0" applyFontFormats="0" applyPatternFormats="0" applyAlignmentFormats="0" applyWidthHeightFormats="0">
  <queryTableRefresh nextId="22">
    <queryTableFields count="8">
      <queryTableField id="18" name="Date" tableColumnId="10"/>
      <queryTableField id="19" name="Event" tableColumnId="11"/>
      <queryTableField id="12" name="City / Venue" tableColumnId="4"/>
      <queryTableField id="13" name="State" tableColumnId="5"/>
      <queryTableField id="14" name="Country" tableColumnId="6"/>
      <queryTableField id="15" name="Category" tableColumnId="7"/>
      <queryTableField id="16" name="Class" tableColumnId="8"/>
      <queryTableField id="17" name="Website" tableColumnId="9"/>
    </queryTableFields>
    <queryTableDeletedFields count="2">
      <deletedField name="Date"/>
      <deletedField name="Event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adjustColumnWidth="0" connectionId="5" xr16:uid="{00000000-0016-0000-0100-000001000000}" autoFormatId="16" applyNumberFormats="0" applyBorderFormats="0" applyFontFormats="0" applyPatternFormats="0" applyAlignmentFormats="0" applyWidthHeightFormats="0">
  <queryTableRefresh nextId="6">
    <queryTableFields count="4">
      <queryTableField id="1" name="Date" tableColumnId="1"/>
      <queryTableField id="2" name="Event" tableColumnId="2"/>
      <queryTableField id="3" name="City / Venue" tableColumnId="3"/>
      <queryTableField id="4" name="Stat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growShrinkType="insertClear" adjustColumnWidth="0" connectionId="9" xr16:uid="{00000000-0016-0000-0500-000002000000}" autoFormatId="16" applyNumberFormats="0" applyBorderFormats="0" applyFontFormats="0" applyPatternFormats="0" applyAlignmentFormats="0" applyWidthHeightFormats="0">
  <queryTableRefresh nextId="51">
    <queryTableFields count="24">
      <queryTableField id="47" name="Time Period" tableColumnId="1"/>
      <queryTableField id="2" name="Activities" tableColumnId="2"/>
      <queryTableField id="29" name="Distance" tableColumnId="3"/>
      <queryTableField id="30" name="Activity Time" tableColumnId="4"/>
      <queryTableField id="5" name="Activity Calories" tableColumnId="5"/>
      <queryTableField id="31" name="Elev Gain" tableColumnId="6"/>
      <queryTableField id="32" name="Speed" tableColumnId="7"/>
      <queryTableField id="33" name="Heart Rate" tableColumnId="8"/>
      <queryTableField id="34" name="Bike Cadence" tableColumnId="9"/>
      <queryTableField id="35" name="Power" tableColumnId="10"/>
      <queryTableField id="11" name="Climber Index" tableColumnId="11"/>
      <queryTableField id="45" name="Cal/hour" tableColumnId="12"/>
      <queryTableField id="36" name="Hrs/Activity" tableColumnId="21"/>
      <queryTableField id="49" name="Speed/HR" tableColumnId="22"/>
      <queryTableField id="13" name="Distance Unit" tableColumnId="13"/>
      <queryTableField id="14" name="Time Unit" tableColumnId="14"/>
      <queryTableField id="15" name="Calories Unit" tableColumnId="15"/>
      <queryTableField id="16" name="Elevation Unit" tableColumnId="16"/>
      <queryTableField id="17" name="Speed Unit" tableColumnId="17"/>
      <queryTableField id="18" name="Heart Rate Unit" tableColumnId="18"/>
      <queryTableField id="19" name="Cadence Unit" tableColumnId="19"/>
      <queryTableField id="20" name="Power Unit" tableColumnId="20"/>
      <queryTableField id="25" name="WeightTable.lb" tableColumnId="23"/>
      <queryTableField id="26" name="WeightTable.kg" tableColumnId="24"/>
    </queryTableFields>
    <queryTableDeletedFields count="1">
      <deletedField name="Time Period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growShrinkType="overwriteClear" adjustColumnWidth="0" connectionId="4" xr16:uid="{00000000-0016-0000-0600-000003000000}" autoFormatId="16" applyNumberFormats="0" applyBorderFormats="0" applyFontFormats="0" applyPatternFormats="0" applyAlignmentFormats="0" applyWidthHeightFormats="0">
  <queryTableRefresh headersInLastRefresh="0" nextId="3">
    <queryTableFields count="2">
      <queryTableField id="1" name="Event Date" tableColumnId="1"/>
      <queryTableField id="2" name="Event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D82C26-C14E-4929-B24F-F5FEAB675A04}" name="EventsTable" displayName="EventsTable" ref="B4:I14" totalsRowShown="0" headerRowDxfId="203" dataDxfId="202" dataCellStyle="Normal">
  <autoFilter ref="B4:I14" xr:uid="{9358D935-89AC-4CA9-BA98-E8B8D1CC32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B5:I14">
    <sortCondition ref="B5:B14"/>
  </sortState>
  <tableColumns count="8">
    <tableColumn id="1" xr3:uid="{2349FE83-2AFF-4F09-820D-79F3EB73FF1E}" name="Date" dataDxfId="201" dataCellStyle="Normal"/>
    <tableColumn id="2" xr3:uid="{9EEFF63C-4CCF-4DB7-BE0F-7E17E12D4725}" name="Event" dataDxfId="200" dataCellStyle="Normal"/>
    <tableColumn id="3" xr3:uid="{F718BA24-D06E-4B8F-8AA7-F19FF7F47699}" name="City / Venue" dataDxfId="199" dataCellStyle="Normal"/>
    <tableColumn id="6" xr3:uid="{DA76ECE6-4BBD-4ABE-AE8C-519A1F514119}" name="State" dataDxfId="198" dataCellStyle="Normal"/>
    <tableColumn id="7" xr3:uid="{CBEB11DF-DAF5-4D5E-950D-C4CD077B6672}" name="Country" dataDxfId="197" dataCellStyle="Normal"/>
    <tableColumn id="4" xr3:uid="{CC70D4C2-8830-4559-B5E5-D3919C155908}" name="Category" dataDxfId="196" dataCellStyle="Normal"/>
    <tableColumn id="5" xr3:uid="{AD3F93EF-0EE8-41FE-B007-1587C6769881}" name="Class" dataDxfId="195" dataCellStyle="Normal"/>
    <tableColumn id="8" xr3:uid="{DBEBA898-5B0D-4155-86D3-97966108BCF3}" name="Website" dataDxfId="194" dataCellStyle="Hyperlink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EC15246-30C8-4634-A7D2-53419E8EDD9E}" name="APIQuery" displayName="APIQuery" ref="B19:I89" tableType="queryTable" totalsRowShown="0" headerRowDxfId="193" dataDxfId="192">
  <autoFilter ref="B19:I89" xr:uid="{2179FD9E-0ACC-45B4-B1B5-B8E7B9A365A0}"/>
  <tableColumns count="8">
    <tableColumn id="10" xr3:uid="{D556A4EA-EF86-4741-8893-7939CDC28AF2}" uniqueName="10" name="Date" queryTableFieldId="18" dataDxfId="191"/>
    <tableColumn id="11" xr3:uid="{8F46952B-8E02-43ED-962E-7D03F1DCB990}" uniqueName="11" name="Event" queryTableFieldId="19" dataDxfId="190"/>
    <tableColumn id="4" xr3:uid="{5AD4C946-1848-427B-98B8-31AC189ADBC8}" uniqueName="4" name="City / Venue" queryTableFieldId="12" dataDxfId="189"/>
    <tableColumn id="5" xr3:uid="{B698FDF9-F26F-4072-989D-BE4704E7B1C4}" uniqueName="5" name="State" queryTableFieldId="13" dataDxfId="188"/>
    <tableColumn id="6" xr3:uid="{C7480869-D16E-4749-B3FE-E2D855EF98A9}" uniqueName="6" name="Country" queryTableFieldId="14" dataDxfId="187"/>
    <tableColumn id="7" xr3:uid="{93CFEFB9-B53A-4D02-B4DE-866BC225518D}" uniqueName="7" name="Category" queryTableFieldId="15" dataDxfId="186"/>
    <tableColumn id="8" xr3:uid="{8FF73A55-B1C9-4C20-BBC1-88013818471F}" uniqueName="8" name="Class" queryTableFieldId="16" dataDxfId="185"/>
    <tableColumn id="9" xr3:uid="{BCCF489F-3C43-4031-85BF-2766386DA151}" uniqueName="9" name="Website" queryTableFieldId="17" dataDxfId="184" dataCellStyle="Hyperlink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2BE080-269F-4CD3-ABE2-1BFAE1473D1E}" name="Number_of_Weeks" displayName="Number_of_Weeks" ref="B15:G23" totalsRowShown="0" headerRowDxfId="183" dataDxfId="182" tableBorderDxfId="181">
  <autoFilter ref="B15:G23" xr:uid="{075E650D-201B-4FDB-8550-9BCD56BD58B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ACD52A0-0510-4C1C-A4B1-6503D43A481C}" name="Period" dataDxfId="180"/>
    <tableColumn id="2" xr3:uid="{DF496C7B-34DA-4E35-B43C-6F6775F5D0F4}" name="Max" dataDxfId="179"/>
    <tableColumn id="3" xr3:uid="{509F0D67-4B4F-4221-B65B-933E512F4220}" name="B1" dataDxfId="178">
      <calculatedColumnFormula>IF(Number_of_Weeks[[#This Row],[Max]]&lt;Number_of_Weeks[[#This Row],[Min]],0,1)</calculatedColumnFormula>
    </tableColumn>
    <tableColumn id="4" xr3:uid="{97BC7F30-990B-45E0-9543-75524FE43CD6}" name="Min" dataDxfId="177"/>
    <tableColumn id="5" xr3:uid="{A247870F-0F97-409E-A878-DC8A02D7B83A}" name="B2" dataDxfId="176">
      <calculatedColumnFormula>IF(Number_of_Weeks[[#This Row],[Max]]&lt;Number_of_Weeks[[#This Row],[Min]],0,1)</calculatedColumnFormula>
    </tableColumn>
    <tableColumn id="6" xr3:uid="{E7A12764-FAFB-407E-BD09-5755B8826B85}" name="Plan" dataDxfId="175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B124408-A52A-410F-BD38-401B7C469145}" name="FavEventsQuery" displayName="FavEventsQuery" ref="J4:M11" tableType="queryTable" totalsRowShown="0" headerRowDxfId="174" dataDxfId="173" tableBorderDxfId="172">
  <autoFilter ref="J4:M11" xr:uid="{E127C20F-48BB-435D-AFD1-48C3636A315E}">
    <filterColumn colId="0" hiddenButton="1"/>
    <filterColumn colId="1" hiddenButton="1"/>
    <filterColumn colId="2" hiddenButton="1"/>
    <filterColumn colId="3" hiddenButton="1"/>
  </autoFilter>
  <tableColumns count="4">
    <tableColumn id="1" xr3:uid="{7E75C445-2020-4E44-ADDB-2059BBE5C807}" uniqueName="1" name="Date" queryTableFieldId="1" dataDxfId="171"/>
    <tableColumn id="2" xr3:uid="{3AE78A51-8C9E-4EF1-B37C-5C1A33719275}" uniqueName="2" name="Event" queryTableFieldId="2" dataDxfId="170"/>
    <tableColumn id="3" xr3:uid="{4295A73F-AB34-4673-90A3-F7B1C908ED51}" uniqueName="3" name="City / Venue" queryTableFieldId="3" dataDxfId="169"/>
    <tableColumn id="4" xr3:uid="{55C72425-5134-475C-9935-047DFFD7993D}" uniqueName="4" name="State" queryTableFieldId="4" dataDxfId="168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174F61-3107-4A85-AD6D-04D4E5530F8F}" name="Calendar" displayName="Calendar" ref="B15:AL36" insertRowShift="1" totalsRowShown="0" headerRowDxfId="1" dataDxfId="0">
  <autoFilter ref="B15:AL36" xr:uid="{B6B85CB9-0279-420A-B108-F47C88D394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xr3:uid="{5AA81DB8-A2B4-458A-B540-41407FEFE0DD}" name="Wk" dataDxfId="38"/>
    <tableColumn id="2" xr3:uid="{02B52B6E-D999-4EC4-A7F5-E165CFD79772}" name="Date" dataDxfId="37"/>
    <tableColumn id="3" xr3:uid="{73F0466E-1FA6-499A-82DA-3EA01D9F5C9D}" name="Period" dataDxfId="36"/>
    <tableColumn id="4" xr3:uid="{81DB87DA-16DD-4437-A434-1DD3D85B9BDA}" name="Event" dataDxfId="35"/>
    <tableColumn id="5" xr3:uid="{456AB2E3-5553-423B-87C9-6E1A74F7A633}" name="Event Date" dataDxfId="34"/>
    <tableColumn id="6" xr3:uid="{355CE1A0-27E0-4479-9294-A014F4F40AB4}" name="Plan. Hrs" dataDxfId="33"/>
    <tableColumn id="7" xr3:uid="{781B7779-101B-4F08-B275-4CC17CE79406}" name="Mon" dataDxfId="32"/>
    <tableColumn id="8" xr3:uid="{1A87EE8B-A1D6-4DF9-8877-38E60AECFB16}" name="Tue" dataDxfId="31"/>
    <tableColumn id="9" xr3:uid="{4C3E2176-D9B3-4033-A970-A0C32D92E17C}" name="Wed" dataDxfId="30"/>
    <tableColumn id="10" xr3:uid="{F05BB757-D766-404B-92E4-1D30B14AD658}" name="Thu" dataDxfId="29"/>
    <tableColumn id="11" xr3:uid="{07A2E170-BD34-4C61-9BE6-BB364C8971E8}" name="Fri" dataDxfId="28"/>
    <tableColumn id="12" xr3:uid="{83080F90-7D9F-4869-BEF4-B96BA118746A}" name="Sat" dataDxfId="27"/>
    <tableColumn id="13" xr3:uid="{4846C1D9-3A9F-45E7-AAE8-7D2902BCC397}" name="Sun" dataDxfId="26"/>
    <tableColumn id="14" xr3:uid="{28A96189-F656-452C-9193-18898DDAB52E}" name="Actual Hrs" dataDxfId="25"/>
    <tableColumn id="15" xr3:uid="{CD5414C9-5222-4727-9A04-67A089CBC02E}" name="Cal." dataDxfId="24"/>
    <tableColumn id="16" xr3:uid="{DE24A38B-2A49-4FFA-94F1-6C4A4B8B3979}" name="Cal. Goal" dataDxfId="23"/>
    <tableColumn id="17" xr3:uid="{A88BBC8B-F714-4D38-B26E-5EDB4F05FE17}" name="Power" dataDxfId="22"/>
    <tableColumn id="18" xr3:uid="{AAC438D0-C73B-459A-888E-3FA16427FEC3}" name="Power Goal" dataDxfId="21"/>
    <tableColumn id="19" xr3:uid="{5DEE37BC-C7A2-4F6C-AC01-F56A7F9172C5}" name="Weight" dataDxfId="20">
      <calculatedColumnFormula>IF(ISBLANK(VLOOKUP(Calendar[[#This Row],[Date]],WeightTable[],2,FALSE))=TRUE,NA(),VLOOKUP(Calendar[[#This Row],[Date]],WeightTable[],IF(WeightUnit="lb",2,3),FALSE))</calculatedColumnFormula>
    </tableColumn>
    <tableColumn id="20" xr3:uid="{6A72690E-D2E8-45AE-81D4-BBC79E758E44}" name="Weight Goal" dataDxfId="19">
      <calculatedColumnFormula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calculatedColumnFormula>
    </tableColumn>
    <tableColumn id="21" xr3:uid="{17D4E4FC-EA68-44BF-9826-CCE6A6CB2828}" name="HR" dataDxfId="18">
      <calculatedColumnFormula>IF(ISBLANK(VLOOKUP(Calendar[[#This Row],[Date]],UploadQuery[],MATCH("Heart Rate",UploadQuery[#Headers],0),FALSE))=TRUE,NA(),VLOOKUP(Calendar[[#This Row],[Date]],UploadQuery[],MATCH("Heart Rate",UploadQuery[#Headers],0),FALSE))</calculatedColumnFormula>
    </tableColumn>
    <tableColumn id="22" xr3:uid="{0147215C-B6A4-42CF-8756-BADBD52992F4}" name="HR Goal" dataDxfId="17">
      <calculatedColumnFormula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calculatedColumnFormula>
    </tableColumn>
    <tableColumn id="23" xr3:uid="{4F7488DB-8318-49A4-9050-B0DB44A3A855}" name="Period2" dataDxfId="16">
      <calculatedColumnFormula>Calendar[[#This Row],[Period]]</calculatedColumnFormula>
    </tableColumn>
    <tableColumn id="24" xr3:uid="{C8FC92D6-2C06-4AF7-AFE4-689FC7002F1C}" name="Plan. Hrs Chart" dataDxfId="15">
      <calculatedColumnFormula>IFERROR(IF(Calendar[[#This Row],[Plan. Hrs]]&lt;Calendar[[#This Row],[Actual Hrs]],0,Calendar[[#This Row],[Plan. Hrs]]-Calendar[[#This Row],[Actual Hrs]]),Calendar[[#This Row],[Plan. Hrs]])</calculatedColumnFormula>
    </tableColumn>
    <tableColumn id="25" xr3:uid="{99C4F3BE-BABE-4712-98B7-DC87BE84AB03}" name="Cal. Goal Chart" dataDxfId="14">
      <calculatedColumnFormula>IFERROR(IF(Calendar[[#This Row],[Cal. Goal]]&lt;Calendar[[#This Row],[Cal.]],0,Calendar[[#This Row],[Cal. Goal]]-Calendar[[#This Row],[Cal.]]),Calendar[[#This Row],[Cal. Goal]])</calculatedColumnFormula>
    </tableColumn>
    <tableColumn id="26" xr3:uid="{E912F090-37E0-4EE0-8313-72B7519B73F7}" name="HR Goal Chart" dataDxfId="13"/>
    <tableColumn id="27" xr3:uid="{64A9074C-0CC2-431E-80C1-C5CD38540B78}" name="Weight Goal Chart" dataDxfId="12"/>
    <tableColumn id="28" xr3:uid="{4292A201-2D6E-43C1-8B07-8775A0AB998F}" name="Power Goal Chart" dataDxfId="11"/>
    <tableColumn id="29" xr3:uid="{1CC17BC8-313D-4FEB-932E-21BED4260AE0}" name="BMI" dataDxfId="10">
      <calculatedColumnFormula>BMIf(Calendar[[#This Row],[Weight]],ActualHeight)</calculatedColumnFormula>
    </tableColumn>
    <tableColumn id="30" xr3:uid="{1D902CBF-A14F-46A3-8093-5A526D79EE61}" name="Speed" dataDxfId="9">
      <calculatedColumnFormula>VLOOKUP(Calendar[[#This Row],[Date]],UploadQuery[],MATCH("Speed",UploadQuery[#Headers],0),FALSE)</calculatedColumnFormula>
    </tableColumn>
    <tableColumn id="31" xr3:uid="{BF4BD567-AF21-4911-972D-21598A77ABA1}" name="Elevation" dataDxfId="8">
      <calculatedColumnFormula>VLOOKUP(Calendar[[#This Row],[Date]],UploadQuery[],MATCH("Elev Gain",UploadQuery[#Headers],0),FALSE)</calculatedColumnFormula>
    </tableColumn>
    <tableColumn id="32" xr3:uid="{F5A377C3-6DF0-468D-AC23-9416B0D8773D}" name="Distance" dataDxfId="7">
      <calculatedColumnFormula>VLOOKUP(Calendar[[#This Row],[Date]],UploadQuery[],MATCH("Distance",UploadQuery[#Headers],0),FALSE)</calculatedColumnFormula>
    </tableColumn>
    <tableColumn id="33" xr3:uid="{F948A0CA-2D4F-4836-ACF5-69106DA890DC}" name="Climber Index" dataDxfId="6">
      <calculatedColumnFormula>VLOOKUP(Calendar[[#This Row],[Date]],UploadQuery[],MATCH("Climber Index",UploadQuery[#Headers],0),FALSE)</calculatedColumnFormula>
    </tableColumn>
    <tableColumn id="34" xr3:uid="{122747FF-A911-429C-84F8-8FFC7F467425}" name="Cal/hour" dataDxfId="5">
      <calculatedColumnFormula>VLOOKUP(Calendar[[#This Row],[Date]],UploadQuery[],MATCH("Cal/hour",UploadQuery[#Headers],0),FALSE)</calculatedColumnFormula>
    </tableColumn>
    <tableColumn id="35" xr3:uid="{45F27D1B-19CE-4FF6-9E5B-453BF1F53A73}" name="Today Week" dataDxfId="4">
      <calculatedColumnFormula>IF(YEAR(Calendar[[#This Row],[Date]])=YEAR(TodayDate),IF(WEEKNUM(Calendar[[#This Row],[Date]],21)=WEEKNUM(TodayDate,21),IFERROR(MAX(Calendar[[#This Row],[Actual Hrs]],Calendar[[#This Row],[Plan. Hrs]])+(2/24),Calendar[[#This Row],[Plan. Hrs]]+(2/24)),-1),-1)</calculatedColumnFormula>
    </tableColumn>
    <tableColumn id="36" xr3:uid="{FAF7B223-179E-40BD-BC3B-F47FE40B3BEB}" name="Plan. Hrs2" dataDxfId="3">
      <calculatedColumnFormula>SUM(Calendar[[#This Row],[Mon]:[Sun]])</calculatedColumnFormula>
    </tableColumn>
    <tableColumn id="37" xr3:uid="{A5B1E111-5272-43EB-8A1E-827B2B3A8E92}" name="Actual Hrs2" dataDxfId="2">
      <calculatedColumnFormula>VLOOKUP(Calendar[[#This Row],[Date]],UploadQuery[],MATCH("Activity Time",UploadQuery[#Headers],0),FALSE)</calculatedColumnFormula>
    </tableColumn>
  </tableColumns>
  <tableStyleInfo name="TableStyleMedium4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86F7A59-0BA2-4ED5-B189-54938D68B258}" name="TargetsTable" displayName="TargetsTable" ref="B3:H24" totalsRowShown="0" headerRowDxfId="159" dataDxfId="158">
  <autoFilter ref="B3:H24" xr:uid="{35CD3504-1C87-477A-82FF-66F4367B82C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21F08BDA-CC0D-495B-90B9-9F042F9A093D}" name="Wk" dataDxfId="157"/>
    <tableColumn id="2" xr3:uid="{BBF8E7E5-4FED-4B8A-B3AD-360902D88A7A}" name="Date" dataDxfId="156"/>
    <tableColumn id="3" xr3:uid="{61C004B7-3102-407A-9894-8AA477A472DC}" name="Period" dataDxfId="155"/>
    <tableColumn id="4" xr3:uid="{1D24CC1B-8ACA-4769-B50A-ED1900CE11DD}" name="Cal. Goal" dataDxfId="154"/>
    <tableColumn id="5" xr3:uid="{0ED0EFF3-3252-4BA7-B721-9425738A89FF}" name="Weight Goal" dataDxfId="153"/>
    <tableColumn id="6" xr3:uid="{9DD0A5F8-3CF7-49FA-B711-E4EB54E972B3}" name="HR Goal" dataDxfId="152"/>
    <tableColumn id="7" xr3:uid="{4BF27D1D-74FD-4FED-A7FB-B2DAA7360DDE}" name="Power Goal" dataDxfId="151"/>
  </tableColumns>
  <tableStyleInfo name="TableStyleMedium4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3072743-C2AF-41BD-B195-767D08A335D2}" name="WeightTable" displayName="WeightTable" ref="B11:E12" insertRow="1" totalsRowShown="0" headerRowDxfId="150" dataDxfId="149">
  <autoFilter ref="B11:E12" xr:uid="{A674C371-BC2E-4444-8482-FCF086B70A43}"/>
  <sortState xmlns:xlrd2="http://schemas.microsoft.com/office/spreadsheetml/2017/richdata2" ref="B12:E12">
    <sortCondition descending="1" ref="B11:B12"/>
  </sortState>
  <tableColumns count="4">
    <tableColumn id="1" xr3:uid="{F4E745D9-F4C3-4FD4-B474-DBAC37CF0885}" name="Date" dataDxfId="148"/>
    <tableColumn id="2" xr3:uid="{4C82A703-3599-4EF0-B349-0723E2A5DB17}" name="lb" dataDxfId="147"/>
    <tableColumn id="3" xr3:uid="{C3F49792-5FA9-41D1-BB1B-BEE323AB55CF}" name="kg" dataDxfId="146"/>
    <tableColumn id="4" xr3:uid="{E779D87C-7BDD-4C92-8335-CE5121370E12}" name="Wk" dataDxfId="145"/>
  </tableColumns>
  <tableStyleInfo name="TableStyleMedium6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D4C20D-D08E-4D0A-9B70-4251FA634314}" name="UploadQuery" displayName="UploadQuery" ref="B5:Y6" tableType="queryTable" insertRow="1" totalsRowShown="0" headerRowDxfId="144" dataDxfId="143">
  <autoFilter ref="B5:Y6" xr:uid="{E856BC0F-AA1C-4A6A-AA08-4E5809D82883}"/>
  <sortState xmlns:xlrd2="http://schemas.microsoft.com/office/spreadsheetml/2017/richdata2" ref="B6:Y6">
    <sortCondition descending="1" ref="B5:B6"/>
  </sortState>
  <tableColumns count="24">
    <tableColumn id="1" xr3:uid="{55B800F4-8D5F-45EC-A19A-037D85625A1C}" uniqueName="1" name="Time Period" queryTableFieldId="47" dataDxfId="142" dataCellStyle="Normal 3"/>
    <tableColumn id="2" xr3:uid="{683A3F31-78A4-4138-A7E8-46070FC74D2F}" uniqueName="2" name="Activities" queryTableFieldId="2" dataDxfId="141"/>
    <tableColumn id="3" xr3:uid="{3BF8B41C-7433-4C1C-A1B0-82E9521680E1}" uniqueName="3" name="Distance" queryTableFieldId="29" dataDxfId="140"/>
    <tableColumn id="4" xr3:uid="{76834863-5725-4D72-B0E0-A652074544FC}" uniqueName="4" name="Activity Time" queryTableFieldId="30" dataDxfId="139"/>
    <tableColumn id="5" xr3:uid="{E1133BB5-CA7A-4035-8D25-5858E45BC34C}" uniqueName="5" name="Activity Calories" queryTableFieldId="5" dataDxfId="138"/>
    <tableColumn id="6" xr3:uid="{434C625D-D7FE-4FE8-B2C8-6CB1701982B0}" uniqueName="6" name="Elev Gain" queryTableFieldId="31" dataDxfId="137"/>
    <tableColumn id="7" xr3:uid="{3C1E71E2-2B88-4BA1-83AC-104E2539FCBF}" uniqueName="7" name="Speed" queryTableFieldId="32" dataDxfId="136"/>
    <tableColumn id="8" xr3:uid="{D13FDDF9-8764-41F1-862B-AC3C10A572D7}" uniqueName="8" name="Heart Rate" queryTableFieldId="33" dataDxfId="135"/>
    <tableColumn id="9" xr3:uid="{F14B962C-6A2E-43FF-9263-023BB17BB2EA}" uniqueName="9" name="Bike Cadence" queryTableFieldId="34" dataDxfId="134"/>
    <tableColumn id="10" xr3:uid="{539260CB-2082-421D-AF65-0F86581E1C1E}" uniqueName="10" name="Power" queryTableFieldId="35" dataDxfId="133"/>
    <tableColumn id="11" xr3:uid="{2E836713-6F0D-499C-86C3-C0BA3EAE9E52}" uniqueName="11" name="Climber Index" queryTableFieldId="11" dataDxfId="132"/>
    <tableColumn id="12" xr3:uid="{338B04CB-9E8F-4F75-91C2-54FA094DAE72}" uniqueName="12" name="Cal/hour" queryTableFieldId="45" dataDxfId="131"/>
    <tableColumn id="21" xr3:uid="{9629B20C-4802-4B41-B788-C999D9867E19}" uniqueName="21" name="Hrs/Activity" queryTableFieldId="36" dataDxfId="130"/>
    <tableColumn id="22" xr3:uid="{368F507C-A12D-403B-BEB7-A99241A022B9}" uniqueName="22" name="Speed/HR" queryTableFieldId="49"/>
    <tableColumn id="13" xr3:uid="{B8021CEF-3FED-4603-9F19-D2DFAD155FA6}" uniqueName="13" name="Distance Unit" queryTableFieldId="13" dataDxfId="129"/>
    <tableColumn id="14" xr3:uid="{6975E067-DF77-4899-BFCC-3A78EFAABB32}" uniqueName="14" name="Time Unit" queryTableFieldId="14" dataDxfId="128"/>
    <tableColumn id="15" xr3:uid="{9C6D916B-81D6-475D-B9AC-1C6B882EC91C}" uniqueName="15" name="Calories Unit" queryTableFieldId="15" dataDxfId="127"/>
    <tableColumn id="16" xr3:uid="{C868FADD-5234-49D6-9160-AC035B6BAF77}" uniqueName="16" name="Elevation Unit" queryTableFieldId="16" dataDxfId="126"/>
    <tableColumn id="17" xr3:uid="{0CFA5F1D-5BED-46FB-8996-105BC0C10638}" uniqueName="17" name="Speed Unit" queryTableFieldId="17" dataDxfId="125"/>
    <tableColumn id="18" xr3:uid="{52B79F7C-0823-48B1-BA97-DC6F2D0AC108}" uniqueName="18" name="Heart Rate Unit" queryTableFieldId="18" dataDxfId="124"/>
    <tableColumn id="19" xr3:uid="{09EC6D65-CF7E-4783-BEF9-8D5A850AEC12}" uniqueName="19" name="Cadence Unit" queryTableFieldId="19" dataDxfId="123" dataCellStyle="Normal 3"/>
    <tableColumn id="20" xr3:uid="{3B8B0CF4-368F-4DEC-898C-262C67A199DF}" uniqueName="20" name="Power Unit" queryTableFieldId="20" dataDxfId="122" dataCellStyle="Normal 3"/>
    <tableColumn id="23" xr3:uid="{BBFF7634-8EDC-432F-9762-50C1DC87B49C}" uniqueName="23" name="WeightTable.lb" queryTableFieldId="25" dataDxfId="121"/>
    <tableColumn id="24" xr3:uid="{BFBEBDC7-5165-465E-B360-DEC20AB06352}" uniqueName="24" name="WeightTable.kg" queryTableFieldId="26" dataDxfId="120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18E37B7-E53C-465F-9F62-B3FB9A616BA2}" name="Events" displayName="Events" ref="B16:C16" tableType="queryTable" headerRowCount="0" insertRow="1" totalsRowShown="0" headerRowDxfId="119" dataDxfId="118" tableBorderDxfId="117">
  <tableColumns count="2">
    <tableColumn id="1" xr3:uid="{6463FE6C-750A-4573-B272-760301546C80}" uniqueName="1" name="Event Date" queryTableFieldId="1" headerRowDxfId="116" dataDxfId="115"/>
    <tableColumn id="2" xr3:uid="{B6698135-07A2-4CD9-A133-5B2857ADBFDE}" uniqueName="2" name="Event" queryTableFieldId="2" headerRowDxfId="114" dataDxfId="11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0064BF-AC45-4BDD-9C5D-732509F1F0A3}" name="Colors" displayName="Colors" ref="AQ3:AT43" totalsRowShown="0" headerRowDxfId="112" dataDxfId="111">
  <tableColumns count="4">
    <tableColumn id="1" xr3:uid="{2084291A-4C98-462A-8C75-DAB11D195D61}" name="Period" dataDxfId="110">
      <calculatedColumnFormula>INDEX(Setup!$B$16:$B$23,ROW()-1)</calculatedColumnFormula>
    </tableColumn>
    <tableColumn id="2" xr3:uid="{C511A99B-87DA-4FEA-80D9-F64634B75666}" name="Rcode" dataDxfId="109"/>
    <tableColumn id="3" xr3:uid="{F1CBF0FA-44A0-488E-9993-414D71E4015D}" name="Gcode" dataDxfId="108"/>
    <tableColumn id="4" xr3:uid="{31893BBB-0483-4F0B-B3D5-0AC9ACE1777C}" name="Bcode" dataDxfId="107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F40C9E8-E934-4CCD-9432-F9A88F1105AF}" name="ChartTypes" displayName="ChartTypes" ref="AV3:AX76" totalsRowShown="0" headerRowDxfId="106" dataDxfId="105">
  <autoFilter ref="AV3:AX76" xr:uid="{FEC306AD-4838-4E08-B4BE-72FF0E375AD2}">
    <filterColumn colId="0" hiddenButton="1"/>
    <filterColumn colId="1" hiddenButton="1"/>
    <filterColumn colId="2" hiddenButton="1"/>
  </autoFilter>
  <tableColumns count="3">
    <tableColumn id="1" xr3:uid="{9147914F-7C1E-485E-9A31-DDE394479A30}" name="Value" dataDxfId="104"/>
    <tableColumn id="2" xr3:uid="{BBE3EA02-F1A3-4BA7-B73F-53D8C2CC1569}" name="Name" dataDxfId="103"/>
    <tableColumn id="4" xr3:uid="{3AC6EA57-8347-483A-8FCB-164BF892B6A9}" name="Description" dataDxfId="102"/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AE66308-B647-4794-B447-E18605B934D0}" name="StateTable" displayName="StateTable" ref="AZ3:BB62" totalsRowShown="0" headerRowDxfId="101" dataDxfId="100" tableBorderDxfId="99">
  <tableColumns count="3">
    <tableColumn id="1" xr3:uid="{BE066384-29C2-473C-A4B3-5EF7DDF3A652}" name="State" dataDxfId="98"/>
    <tableColumn id="2" xr3:uid="{72EE4BE9-F97A-4725-B7B9-17805CAFB4B0}" name="Abbreviation" dataDxfId="97"/>
    <tableColumn id="3" xr3:uid="{D3909B53-D2A2-4BCE-9BFD-8AD6C12C4AC2}" name="Country" dataDxfId="9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983B171-3F29-4A0B-85AF-1CF2BDB5E19A}" name="APITable" displayName="APITable" ref="BD3:BS6" totalsRowShown="0" headerRowDxfId="95" dataDxfId="94" tableBorderDxfId="93">
  <autoFilter ref="BD3:BS6" xr:uid="{1C892AC5-A684-497D-89A7-A5FD6BFE2E7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01156468-1DC7-4BFC-A1BF-34C155A3C0AB}" name="Database" dataDxfId="92"/>
    <tableColumn id="2" xr3:uid="{2EEDE853-56C5-4269-93BF-7A93C2527A34}" name="URL" dataDxfId="91"/>
    <tableColumn id="3" xr3:uid="{C093AD68-9F4D-434B-88B5-B2448CC6B4A2}" name="Method" dataDxfId="90"/>
    <tableColumn id="4" xr3:uid="{8955E16B-65F1-4B0B-821E-F112792CE18E}" name="Header Type" dataDxfId="89"/>
    <tableColumn id="5" xr3:uid="{1685E388-2DBB-4359-8D74-354768F7445B}" name="Header Value" dataDxfId="88"/>
    <tableColumn id="8" xr3:uid="{493F8799-FB8E-4F70-BD56-CA818188FB64}" name="Event Type" dataDxfId="87">
      <calculatedColumnFormula>VLOOKUP(EventType,EventTypeTable[],MATCH(APITable[[#This Row],[Database]],EventTypeTable[#Headers],0),FALSE)</calculatedColumnFormula>
    </tableColumn>
    <tableColumn id="9" xr3:uid="{47E48702-EF80-4A3D-A275-4B6F15A5502D}" name="Parameter1" dataDxfId="86"/>
    <tableColumn id="10" xr3:uid="{2D014FD6-CA64-48E3-A7DC-48605A551AE6}" name="Parameter2" dataDxfId="85"/>
    <tableColumn id="11" xr3:uid="{C66DD853-9E21-49F8-92C1-F424E83E5BB5}" name="Parameter3" dataDxfId="84"/>
    <tableColumn id="12" xr3:uid="{471B6683-74AC-48F5-BCF7-A14A3237A3F7}" name="Parameter4" dataDxfId="83"/>
    <tableColumn id="15" xr3:uid="{8ACA53A2-D7AB-4BAE-A01F-9E7B8860EB8E}" name="Parameter5" dataDxfId="82"/>
    <tableColumn id="13" xr3:uid="{9E4D2514-138F-4A0F-A4B7-567F7DA2D77A}" name="Date" dataDxfId="81">
      <calculatedColumnFormula>IF(APITable[[#This Row],[Parameter4]]="year",SeasonSearch,"11%2F1%2F"&amp;SeasonSearch-1)</calculatedColumnFormula>
    </tableColumn>
    <tableColumn id="16" xr3:uid="{AC2B9031-7862-4FBA-9D22-615D76533428}" name="EndDate" dataDxfId="80">
      <calculatedColumnFormula>"10%2F31%2F"&amp;SeasonSearch</calculatedColumnFormula>
    </tableColumn>
    <tableColumn id="7" xr3:uid="{844F31EE-ECDD-4265-A1E1-1300C64D19A0}" name="Query" dataDxfId="79">
      <calculatedColumnFormula>IF(APITable[[#This Row],[Database]]="UCI",APITable[[#This Row],[Parameter1]]&amp;"?"&amp;APITable[[#This Row],[Parameter2]]&amp;"="&amp;APITable[[#This Row],[Event Type]]&amp;"&amp;"&amp;APITable[[#This Row],[Parameter4]]&amp;"="&amp;APITable[[#This Row],[Date]],IF(APITable[[#This Row],[Database]]="BikeReg",APITable[[#This Row],[Parameter1]]&amp;APITable[[#This Row],[Parameter2]]&amp;"="&amp;StateAbbreviation&amp;"&amp;"&amp;APITable[[#This Row],[Parameter3]]&amp;"="&amp;APITable[[#This Row],[Event Type]]&amp;"&amp;"&amp;APITable[[#This Row],[Parameter4]]&amp;"="&amp;APITable[[#This Row],[Date]],APITable[[#This Row],[Parameter1]]&amp;APITable[[#This Row],[Event Type]]&amp;"&amp;"&amp;APITable[[#This Row],[Parameter2]]&amp;APITable[[#This Row],[Date]]&amp;"&amp;"&amp;APITable[[#This Row],[Parameter3]]&amp;APITable[[#This Row],[EndDate]]&amp;"&amp;"&amp;APITable[[#This Row],[Parameter4]]&amp;StateAbbreviation))</calculatedColumnFormula>
    </tableColumn>
    <tableColumn id="6" xr3:uid="{E6C48139-0167-469A-9600-C699C308C157}" name="Source" dataDxfId="78">
      <calculatedColumnFormula>APITable[[#This Row],[URL]]&amp;APITable[[#This Row],[Query]]</calculatedColumnFormula>
    </tableColumn>
    <tableColumn id="14" xr3:uid="{178C1BE5-4922-48B5-9DC5-C2A9D4B369F8}" name="QueryName" dataDxfId="7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20CA8E0-E7C4-4F90-AC30-FEBB92A3C15E}" name="UnitsTable" displayName="UnitsTable" ref="CC3:CF30" totalsRowShown="0" headerRowDxfId="76" dataDxfId="74" headerRowBorderDxfId="75" tableBorderDxfId="73" totalsRowBorderDxfId="72">
  <autoFilter ref="CC3:CF30" xr:uid="{5EC6D5A6-3EB9-4140-A787-07B618A5998D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CC4:CF32">
    <sortCondition ref="CC3"/>
  </sortState>
  <tableColumns count="4">
    <tableColumn id="1" xr3:uid="{ADF1C018-E89E-4039-9994-883488BA4580}" name="Field" dataDxfId="71"/>
    <tableColumn id="2" xr3:uid="{8D87BBA0-52F7-4409-B2A8-DD16A3EDF243}" name="Unit" dataDxfId="70"/>
    <tableColumn id="3" xr3:uid="{89F6B812-AED8-40E6-A388-910E22B37DCD}" name="Legend" dataDxfId="69"/>
    <tableColumn id="4" xr3:uid="{62AB38FA-A022-4F23-82E5-AD9774FB8E2B}" name="Format" dataDxfId="6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8FF5F21-FECC-444B-8F1B-EA9A3D7E4860}" name="EventTypeTable" displayName="EventTypeTable" ref="BU3:BY7" totalsRowShown="0" headerRowDxfId="67" dataDxfId="66">
  <tableColumns count="5">
    <tableColumn id="1" xr3:uid="{49422474-B8EF-49C3-A755-1921E48AD516}" name="Type" dataDxfId="65">
      <calculatedColumnFormula>VLOOKUP(APISearch,APITable[],2,FALSE)&amp;"?states="&amp;StateAbbreviation</calculatedColumnFormula>
    </tableColumn>
    <tableColumn id="3" xr3:uid="{D575DD8D-6E05-4AAF-8237-1E92A017A95D}" name="BikeReg" dataDxfId="64"/>
    <tableColumn id="2" xr3:uid="{D86D0208-6CBA-4C62-8074-2023F5A22C9B}" name="UCI" dataDxfId="63"/>
    <tableColumn id="5" xr3:uid="{AC287007-6F51-405B-91B2-007C889F265D}" name="OLD-UCI" dataDxfId="62"/>
    <tableColumn id="4" xr3:uid="{507F6AC7-A5A7-45A2-A085-BBB0A3078830}" name="USA Cycling" dataDxfId="6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EAC62B93-76D1-463F-B24C-31254089E6D9}" name="BoxStatusTable" displayName="BoxStatusTable" ref="CH3:CI8" totalsRowShown="0" headerRowDxfId="60" dataDxfId="58" headerRowBorderDxfId="59" tableBorderDxfId="57" totalsRowBorderDxfId="56">
  <tableColumns count="2">
    <tableColumn id="1" xr3:uid="{34F62711-D4FD-4136-AD4F-085CDDF071E0}" name="Box Name" dataDxfId="55"/>
    <tableColumn id="2" xr3:uid="{A4E35323-26A6-42DB-AB12-AA129E9B668B}" name="Value" dataDxfId="54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A05C441-C9CE-42D3-9C12-8B444BD047E8}" name="PathsTable" displayName="PathsTable" ref="CK3:CK4" totalsRowShown="0" headerRowDxfId="53" dataDxfId="52">
  <tableColumns count="1">
    <tableColumn id="1" xr3:uid="{5F82D069-B284-4BC3-B1DE-0C093E8C9058}" name="Path" dataDxfId="5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1ABF374-08D6-4761-8380-548E4EC7EFF1}" name="WeightUnitsTable" displayName="WeightUnitsTable" ref="CM3:CM5" totalsRowShown="0" headerRowDxfId="50" dataDxfId="49" tableBorderDxfId="48">
  <tableColumns count="1">
    <tableColumn id="1" xr3:uid="{78380F96-8AA5-4CDB-AF94-C1D6427AB774}" name="Weight Units" dataDxfId="4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15F0FF4-0968-45D1-8DFA-CF4771D989BC}" name="UploadURL" displayName="UploadURL" ref="DF3:DF4" totalsRowShown="0" headerRowDxfId="46" dataDxfId="45" headerRowCellStyle="Normal 3" dataCellStyle="Normal 3">
  <tableColumns count="1">
    <tableColumn id="1" xr3:uid="{98DB97A4-F89D-4E98-9A3A-94D41FAB75F6}" name="Value" dataDxfId="44" dataCellStyle="Normal 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3C7ED9-8BE4-4FD3-BA20-DA4EA0B8629C}" name="AnalyticsChartTable" displayName="AnalyticsChartTable" ref="CX3:CZ15" totalsRowShown="0" headerRowDxfId="43" dataDxfId="42">
  <autoFilter ref="CX3:CZ15" xr:uid="{D9AB1B66-45BC-4F14-8117-D00C3974496D}">
    <filterColumn colId="0" hiddenButton="1"/>
    <filterColumn colId="1" hiddenButton="1"/>
    <filterColumn colId="2" hiddenButton="1"/>
  </autoFilter>
  <tableColumns count="3">
    <tableColumn id="1" xr3:uid="{2C81723F-1269-4459-B844-78E2B020B820}" name="Field" dataDxfId="41"/>
    <tableColumn id="2" xr3:uid="{D1A9C32E-C33F-4BD5-AD86-287009FD5964}" name="Calculation" dataDxfId="40"/>
    <tableColumn id="3" xr3:uid="{2F7C18DB-3295-487F-8D77-02C175DD899A}" name="ChartType" dataDxfId="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emafor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92D050"/>
      </a:accent1>
      <a:accent2>
        <a:srgbClr val="FF0000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PeriodSlicerPivotAnalyticsCache" xr10:uid="{FA370DB0-AAEF-47D8-9CA6-DF13BD13770C}" sourceName="Time Period">
  <pivotTables>
    <pivotTable tabId="43" name="PivotAnalytics"/>
    <pivotTable tabId="39" name="PivotAnalytics1"/>
    <pivotTable tabId="40" name="PivotAnalytics2"/>
    <pivotTable tabId="41" name="PivotAnalytics3"/>
  </pivotTables>
  <state minimalRefreshVersion="6" lastRefreshVersion="6" pivotCacheId="1329276321" filterType="unknown">
    <bounds startDate="201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TimePeriodSlicerPivotAnalytics" xr10:uid="{BA512035-C2EA-4C07-B653-CB8A47B36A48}" cache="TimePeriodSlicerPivotAnalyticsCache" caption="Time Period" showHorizontalScrollbar="0" level="2" selectionLevel="2" scrollPosition="2022-03-03T00:00:00"/>
</timelines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bikereg.com/53343" TargetMode="External"/><Relationship Id="rId21" Type="http://schemas.openxmlformats.org/officeDocument/2006/relationships/hyperlink" Target="http://www.bikereg.com/55109" TargetMode="External"/><Relationship Id="rId42" Type="http://schemas.openxmlformats.org/officeDocument/2006/relationships/hyperlink" Target="http://www.bikereg.com/55227" TargetMode="External"/><Relationship Id="rId47" Type="http://schemas.openxmlformats.org/officeDocument/2006/relationships/hyperlink" Target="http://www.bikereg.com/55274" TargetMode="External"/><Relationship Id="rId63" Type="http://schemas.openxmlformats.org/officeDocument/2006/relationships/vmlDrawing" Target="../drawings/vmlDrawing1.vml"/><Relationship Id="rId68" Type="http://schemas.openxmlformats.org/officeDocument/2006/relationships/control" Target="../activeX/activeX3.xml"/><Relationship Id="rId16" Type="http://schemas.openxmlformats.org/officeDocument/2006/relationships/hyperlink" Target="http://www.bikereg.com/54638" TargetMode="External"/><Relationship Id="rId11" Type="http://schemas.openxmlformats.org/officeDocument/2006/relationships/hyperlink" Target="http://www.bikereg.com/54738" TargetMode="External"/><Relationship Id="rId24" Type="http://schemas.openxmlformats.org/officeDocument/2006/relationships/hyperlink" Target="http://www.bikereg.com/54154" TargetMode="External"/><Relationship Id="rId32" Type="http://schemas.openxmlformats.org/officeDocument/2006/relationships/hyperlink" Target="http://www.bikereg.com/55234" TargetMode="External"/><Relationship Id="rId37" Type="http://schemas.openxmlformats.org/officeDocument/2006/relationships/hyperlink" Target="http://www.bikereg.com/53870" TargetMode="External"/><Relationship Id="rId40" Type="http://schemas.openxmlformats.org/officeDocument/2006/relationships/hyperlink" Target="http://www.bikereg.com/54788" TargetMode="External"/><Relationship Id="rId45" Type="http://schemas.openxmlformats.org/officeDocument/2006/relationships/hyperlink" Target="http://www.bikereg.com/55273" TargetMode="External"/><Relationship Id="rId53" Type="http://schemas.openxmlformats.org/officeDocument/2006/relationships/hyperlink" Target="http://www.bikereg.com/54360" TargetMode="External"/><Relationship Id="rId58" Type="http://schemas.openxmlformats.org/officeDocument/2006/relationships/hyperlink" Target="http://www.bikereg.com/54379" TargetMode="External"/><Relationship Id="rId66" Type="http://schemas.openxmlformats.org/officeDocument/2006/relationships/control" Target="../activeX/activeX2.xml"/><Relationship Id="rId74" Type="http://schemas.openxmlformats.org/officeDocument/2006/relationships/ctrlProp" Target="../ctrlProps/ctrlProp3.xml"/><Relationship Id="rId5" Type="http://schemas.openxmlformats.org/officeDocument/2006/relationships/hyperlink" Target="http://www.bikereg.com/54495" TargetMode="External"/><Relationship Id="rId61" Type="http://schemas.openxmlformats.org/officeDocument/2006/relationships/printerSettings" Target="../printerSettings/printerSettings1.bin"/><Relationship Id="rId19" Type="http://schemas.openxmlformats.org/officeDocument/2006/relationships/hyperlink" Target="http://www.bikereg.com/54741" TargetMode="External"/><Relationship Id="rId14" Type="http://schemas.openxmlformats.org/officeDocument/2006/relationships/hyperlink" Target="http://www.bikereg.com/53159" TargetMode="External"/><Relationship Id="rId22" Type="http://schemas.openxmlformats.org/officeDocument/2006/relationships/hyperlink" Target="http://www.bikereg.com/53165" TargetMode="External"/><Relationship Id="rId27" Type="http://schemas.openxmlformats.org/officeDocument/2006/relationships/hyperlink" Target="http://www.bikereg.com/54122" TargetMode="External"/><Relationship Id="rId30" Type="http://schemas.openxmlformats.org/officeDocument/2006/relationships/hyperlink" Target="http://www.bikereg.com/52319" TargetMode="External"/><Relationship Id="rId35" Type="http://schemas.openxmlformats.org/officeDocument/2006/relationships/hyperlink" Target="http://www.bikereg.com/54349" TargetMode="External"/><Relationship Id="rId43" Type="http://schemas.openxmlformats.org/officeDocument/2006/relationships/hyperlink" Target="http://www.bikereg.com/55546" TargetMode="External"/><Relationship Id="rId48" Type="http://schemas.openxmlformats.org/officeDocument/2006/relationships/hyperlink" Target="http://www.bikereg.com/54373" TargetMode="External"/><Relationship Id="rId56" Type="http://schemas.openxmlformats.org/officeDocument/2006/relationships/hyperlink" Target="http://www.bikereg.com/53035" TargetMode="External"/><Relationship Id="rId64" Type="http://schemas.openxmlformats.org/officeDocument/2006/relationships/control" Target="../activeX/activeX1.xml"/><Relationship Id="rId69" Type="http://schemas.openxmlformats.org/officeDocument/2006/relationships/image" Target="../media/image3.emf"/><Relationship Id="rId77" Type="http://schemas.openxmlformats.org/officeDocument/2006/relationships/table" Target="../tables/table2.xml"/><Relationship Id="rId8" Type="http://schemas.openxmlformats.org/officeDocument/2006/relationships/hyperlink" Target="http://www.bikereg.com/54708" TargetMode="External"/><Relationship Id="rId51" Type="http://schemas.openxmlformats.org/officeDocument/2006/relationships/hyperlink" Target="http://www.bikereg.com/55387" TargetMode="External"/><Relationship Id="rId72" Type="http://schemas.openxmlformats.org/officeDocument/2006/relationships/ctrlProp" Target="../ctrlProps/ctrlProp1.xml"/><Relationship Id="rId3" Type="http://schemas.openxmlformats.org/officeDocument/2006/relationships/hyperlink" Target="http://www.bikereg.com/54353" TargetMode="External"/><Relationship Id="rId12" Type="http://schemas.openxmlformats.org/officeDocument/2006/relationships/hyperlink" Target="http://www.bikereg.com/54364" TargetMode="External"/><Relationship Id="rId17" Type="http://schemas.openxmlformats.org/officeDocument/2006/relationships/hyperlink" Target="http://www.bikereg.com/53953" TargetMode="External"/><Relationship Id="rId25" Type="http://schemas.openxmlformats.org/officeDocument/2006/relationships/hyperlink" Target="http://www.bikereg.com/54712" TargetMode="External"/><Relationship Id="rId33" Type="http://schemas.openxmlformats.org/officeDocument/2006/relationships/hyperlink" Target="http://www.bikereg.com/53065" TargetMode="External"/><Relationship Id="rId38" Type="http://schemas.openxmlformats.org/officeDocument/2006/relationships/hyperlink" Target="http://www.bikereg.com/55555" TargetMode="External"/><Relationship Id="rId46" Type="http://schemas.openxmlformats.org/officeDocument/2006/relationships/hyperlink" Target="http://www.bikereg.com/55228" TargetMode="External"/><Relationship Id="rId59" Type="http://schemas.openxmlformats.org/officeDocument/2006/relationships/hyperlink" Target="http://www.bikereg.com/54363" TargetMode="External"/><Relationship Id="rId67" Type="http://schemas.openxmlformats.org/officeDocument/2006/relationships/image" Target="../media/image2.emf"/><Relationship Id="rId20" Type="http://schemas.openxmlformats.org/officeDocument/2006/relationships/hyperlink" Target="http://www.bikereg.com/54357" TargetMode="External"/><Relationship Id="rId41" Type="http://schemas.openxmlformats.org/officeDocument/2006/relationships/hyperlink" Target="http://www.bikereg.com/55231" TargetMode="External"/><Relationship Id="rId54" Type="http://schemas.openxmlformats.org/officeDocument/2006/relationships/hyperlink" Target="http://www.bikereg.com/53932" TargetMode="External"/><Relationship Id="rId62" Type="http://schemas.openxmlformats.org/officeDocument/2006/relationships/drawing" Target="../drawings/drawing1.xml"/><Relationship Id="rId70" Type="http://schemas.openxmlformats.org/officeDocument/2006/relationships/control" Target="../activeX/activeX4.xml"/><Relationship Id="rId75" Type="http://schemas.openxmlformats.org/officeDocument/2006/relationships/ctrlProp" Target="../ctrlProps/ctrlProp4.xml"/><Relationship Id="rId1" Type="http://schemas.openxmlformats.org/officeDocument/2006/relationships/hyperlink" Target="http://www.bikereg.com/52644" TargetMode="External"/><Relationship Id="rId6" Type="http://schemas.openxmlformats.org/officeDocument/2006/relationships/hyperlink" Target="http://www.bikereg.com/54371" TargetMode="External"/><Relationship Id="rId15" Type="http://schemas.openxmlformats.org/officeDocument/2006/relationships/hyperlink" Target="http://www.bikereg.com/54356" TargetMode="External"/><Relationship Id="rId23" Type="http://schemas.openxmlformats.org/officeDocument/2006/relationships/hyperlink" Target="http://www.bikereg.com/55110" TargetMode="External"/><Relationship Id="rId28" Type="http://schemas.openxmlformats.org/officeDocument/2006/relationships/hyperlink" Target="http://www.bikereg.com/55299" TargetMode="External"/><Relationship Id="rId36" Type="http://schemas.openxmlformats.org/officeDocument/2006/relationships/hyperlink" Target="http://www.bikereg.com/55217" TargetMode="External"/><Relationship Id="rId49" Type="http://schemas.openxmlformats.org/officeDocument/2006/relationships/hyperlink" Target="http://www.bikereg.com/53135" TargetMode="External"/><Relationship Id="rId57" Type="http://schemas.openxmlformats.org/officeDocument/2006/relationships/hyperlink" Target="http://www.bikereg.com/54362" TargetMode="External"/><Relationship Id="rId10" Type="http://schemas.openxmlformats.org/officeDocument/2006/relationships/hyperlink" Target="http://www.bikereg.com/54143" TargetMode="External"/><Relationship Id="rId31" Type="http://schemas.openxmlformats.org/officeDocument/2006/relationships/hyperlink" Target="http://www.bikereg.com/54194" TargetMode="External"/><Relationship Id="rId44" Type="http://schemas.openxmlformats.org/officeDocument/2006/relationships/hyperlink" Target="http://www.bikereg.com/54365" TargetMode="External"/><Relationship Id="rId52" Type="http://schemas.openxmlformats.org/officeDocument/2006/relationships/hyperlink" Target="http://www.bikereg.com/54370" TargetMode="External"/><Relationship Id="rId60" Type="http://schemas.openxmlformats.org/officeDocument/2006/relationships/hyperlink" Target="http://www.bikereg.com/53972" TargetMode="External"/><Relationship Id="rId65" Type="http://schemas.openxmlformats.org/officeDocument/2006/relationships/image" Target="../media/image1.emf"/><Relationship Id="rId73" Type="http://schemas.openxmlformats.org/officeDocument/2006/relationships/ctrlProp" Target="../ctrlProps/ctrlProp2.xml"/><Relationship Id="rId4" Type="http://schemas.openxmlformats.org/officeDocument/2006/relationships/hyperlink" Target="http://www.bikereg.com/54042" TargetMode="External"/><Relationship Id="rId9" Type="http://schemas.openxmlformats.org/officeDocument/2006/relationships/hyperlink" Target="http://www.bikereg.com/54045" TargetMode="External"/><Relationship Id="rId13" Type="http://schemas.openxmlformats.org/officeDocument/2006/relationships/hyperlink" Target="http://www.bikereg.com/54736" TargetMode="External"/><Relationship Id="rId18" Type="http://schemas.openxmlformats.org/officeDocument/2006/relationships/hyperlink" Target="http://www.bikereg.com/54636" TargetMode="External"/><Relationship Id="rId39" Type="http://schemas.openxmlformats.org/officeDocument/2006/relationships/hyperlink" Target="http://www.bikereg.com/53930" TargetMode="External"/><Relationship Id="rId34" Type="http://schemas.openxmlformats.org/officeDocument/2006/relationships/hyperlink" Target="http://www.bikereg.com/54359" TargetMode="External"/><Relationship Id="rId50" Type="http://schemas.openxmlformats.org/officeDocument/2006/relationships/hyperlink" Target="http://www.bikereg.com/55229" TargetMode="External"/><Relationship Id="rId55" Type="http://schemas.openxmlformats.org/officeDocument/2006/relationships/hyperlink" Target="http://www.bikereg.com/54361" TargetMode="External"/><Relationship Id="rId76" Type="http://schemas.openxmlformats.org/officeDocument/2006/relationships/table" Target="../tables/table1.xml"/><Relationship Id="rId7" Type="http://schemas.openxmlformats.org/officeDocument/2006/relationships/hyperlink" Target="http://www.bikereg.com/54043" TargetMode="External"/><Relationship Id="rId71" Type="http://schemas.openxmlformats.org/officeDocument/2006/relationships/image" Target="../media/image4.emf"/><Relationship Id="rId2" Type="http://schemas.openxmlformats.org/officeDocument/2006/relationships/hyperlink" Target="http://www.bikereg.com/53755" TargetMode="External"/><Relationship Id="rId29" Type="http://schemas.openxmlformats.org/officeDocument/2006/relationships/hyperlink" Target="http://www.bikereg.com/54358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cdc.gov/healthyweight/assessing/bmi/adult_bmi/index.html" TargetMode="External"/><Relationship Id="rId6" Type="http://schemas.openxmlformats.org/officeDocument/2006/relationships/image" Target="../media/image5.emf"/><Relationship Id="rId11" Type="http://schemas.openxmlformats.org/officeDocument/2006/relationships/table" Target="../tables/table4.xml"/><Relationship Id="rId5" Type="http://schemas.openxmlformats.org/officeDocument/2006/relationships/control" Target="../activeX/activeX5.xml"/><Relationship Id="rId10" Type="http://schemas.openxmlformats.org/officeDocument/2006/relationships/table" Target="../tables/table3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1.emf"/><Relationship Id="rId18" Type="http://schemas.openxmlformats.org/officeDocument/2006/relationships/ctrlProp" Target="../ctrlProps/ctrlProp1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3.xml"/><Relationship Id="rId7" Type="http://schemas.openxmlformats.org/officeDocument/2006/relationships/image" Target="../media/image8.emf"/><Relationship Id="rId12" Type="http://schemas.openxmlformats.org/officeDocument/2006/relationships/control" Target="../activeX/activeX10.xml"/><Relationship Id="rId17" Type="http://schemas.openxmlformats.org/officeDocument/2006/relationships/image" Target="../media/image13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12.xml"/><Relationship Id="rId20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7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microsoft.com/office/2011/relationships/timeline" Target="../timelines/timeline1.xml"/><Relationship Id="rId10" Type="http://schemas.openxmlformats.org/officeDocument/2006/relationships/control" Target="../activeX/activeX9.xml"/><Relationship Id="rId19" Type="http://schemas.openxmlformats.org/officeDocument/2006/relationships/ctrlProp" Target="../ctrlProps/ctrlProp11.xml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Relationship Id="rId14" Type="http://schemas.openxmlformats.org/officeDocument/2006/relationships/control" Target="../activeX/activeX11.xml"/><Relationship Id="rId22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12" Type="http://schemas.openxmlformats.org/officeDocument/2006/relationships/table" Target="../tables/table20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1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1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BCCED-2875-4481-A8C3-4E620A018EB7}">
  <sheetPr codeName="Sheet7"/>
  <dimension ref="A1:T1723"/>
  <sheetViews>
    <sheetView showGridLines="0" showRowColHeaders="0" tabSelected="1" zoomScaleNormal="100" workbookViewId="0">
      <pane ySplit="19" topLeftCell="A48" activePane="bottomLeft" state="frozen"/>
      <selection pane="bottomLeft" activeCell="B48" sqref="B48"/>
    </sheetView>
  </sheetViews>
  <sheetFormatPr defaultColWidth="9.140625" defaultRowHeight="12.75"/>
  <cols>
    <col min="1" max="1" width="1.7109375" style="65" customWidth="1"/>
    <col min="2" max="2" width="16" style="65" bestFit="1" customWidth="1"/>
    <col min="3" max="3" width="60.7109375" style="65" customWidth="1"/>
    <col min="4" max="4" width="14.28515625" style="65" customWidth="1"/>
    <col min="5" max="5" width="7.85546875" style="65" bestFit="1" customWidth="1"/>
    <col min="6" max="6" width="30.7109375" style="65" customWidth="1"/>
    <col min="7" max="7" width="11.42578125" style="65" bestFit="1" customWidth="1"/>
    <col min="8" max="8" width="8.140625" style="65" bestFit="1" customWidth="1"/>
    <col min="9" max="9" width="28.5703125" style="65" customWidth="1"/>
    <col min="10" max="16384" width="9.140625" style="65"/>
  </cols>
  <sheetData>
    <row r="1" spans="1:20" ht="20.25">
      <c r="A1" s="109"/>
      <c r="B1" s="249" t="s">
        <v>550</v>
      </c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</row>
    <row r="4" spans="1:20">
      <c r="B4" s="65" t="s">
        <v>18</v>
      </c>
      <c r="C4" s="65" t="s">
        <v>10</v>
      </c>
      <c r="D4" s="66" t="s">
        <v>354</v>
      </c>
      <c r="E4" s="65" t="s">
        <v>209</v>
      </c>
      <c r="F4" s="65" t="s">
        <v>353</v>
      </c>
      <c r="G4" s="65" t="s">
        <v>355</v>
      </c>
      <c r="H4" s="65" t="s">
        <v>356</v>
      </c>
      <c r="I4" s="65" t="s">
        <v>208</v>
      </c>
    </row>
    <row r="5" spans="1:20" ht="16.5" customHeight="1">
      <c r="B5" s="84"/>
      <c r="C5" s="84"/>
      <c r="D5" s="84"/>
      <c r="E5" s="84"/>
      <c r="F5" s="84"/>
      <c r="G5" s="84"/>
      <c r="H5" s="240"/>
      <c r="I5" s="110"/>
      <c r="J5" s="65" t="s">
        <v>331</v>
      </c>
    </row>
    <row r="6" spans="1:20" ht="15" customHeight="1">
      <c r="B6" s="84"/>
      <c r="C6" s="84"/>
      <c r="D6" s="84"/>
      <c r="E6" s="84"/>
      <c r="F6" s="84"/>
      <c r="G6" s="84"/>
      <c r="H6" s="240"/>
      <c r="I6" s="110"/>
      <c r="J6" s="65" t="s">
        <v>331</v>
      </c>
    </row>
    <row r="7" spans="1:20" ht="15" customHeight="1">
      <c r="B7" s="84"/>
      <c r="C7" s="84"/>
      <c r="D7" s="84"/>
      <c r="E7" s="84"/>
      <c r="F7" s="71"/>
      <c r="G7" s="84"/>
      <c r="H7" s="240"/>
      <c r="I7" s="110"/>
      <c r="J7" s="65" t="s">
        <v>331</v>
      </c>
    </row>
    <row r="8" spans="1:20" ht="12.75" customHeight="1">
      <c r="B8" s="84"/>
      <c r="C8" s="84"/>
      <c r="D8" s="84"/>
      <c r="E8" s="84"/>
      <c r="F8" s="71"/>
      <c r="G8" s="84"/>
      <c r="H8" s="240"/>
      <c r="I8" s="110"/>
      <c r="J8" s="65" t="s">
        <v>331</v>
      </c>
    </row>
    <row r="9" spans="1:20" ht="12.75" customHeight="1">
      <c r="B9" s="84"/>
      <c r="C9" s="84"/>
      <c r="D9" s="84"/>
      <c r="E9" s="84"/>
      <c r="F9" s="71"/>
      <c r="G9" s="84"/>
      <c r="H9" s="240"/>
      <c r="I9" s="110"/>
      <c r="J9" s="65" t="s">
        <v>331</v>
      </c>
    </row>
    <row r="10" spans="1:20" ht="12.75" customHeight="1">
      <c r="B10" s="84"/>
      <c r="C10" s="84"/>
      <c r="D10" s="84"/>
      <c r="E10" s="84"/>
      <c r="F10" s="84"/>
      <c r="G10" s="84"/>
      <c r="H10" s="84"/>
      <c r="I10" s="110"/>
      <c r="J10" s="65" t="s">
        <v>331</v>
      </c>
    </row>
    <row r="11" spans="1:20" ht="12.75" customHeight="1">
      <c r="B11" s="84"/>
      <c r="C11" s="84"/>
      <c r="D11" s="84"/>
      <c r="E11" s="84"/>
      <c r="F11" s="71"/>
      <c r="G11" s="84"/>
      <c r="H11" s="240"/>
      <c r="I11" s="110"/>
      <c r="J11" s="65" t="s">
        <v>331</v>
      </c>
    </row>
    <row r="12" spans="1:20" ht="12.75" customHeight="1">
      <c r="B12" s="84"/>
      <c r="C12" s="388"/>
      <c r="D12" s="84"/>
      <c r="E12" s="84"/>
      <c r="F12" s="71"/>
      <c r="G12" s="84"/>
      <c r="H12" s="240"/>
      <c r="I12" s="110"/>
      <c r="J12" s="65" t="s">
        <v>331</v>
      </c>
    </row>
    <row r="13" spans="1:20" ht="12.75" customHeight="1">
      <c r="B13" s="84"/>
      <c r="C13" s="84"/>
      <c r="D13" s="84"/>
      <c r="E13" s="84"/>
      <c r="F13" s="71"/>
      <c r="G13" s="84"/>
      <c r="H13" s="240"/>
      <c r="I13" s="110"/>
      <c r="J13" s="65" t="s">
        <v>331</v>
      </c>
    </row>
    <row r="14" spans="1:20" ht="12.75" customHeight="1">
      <c r="B14" s="84"/>
      <c r="C14" s="388"/>
      <c r="D14" s="84"/>
      <c r="E14" s="84"/>
      <c r="F14" s="71"/>
      <c r="G14" s="84"/>
      <c r="H14" s="240"/>
      <c r="I14" s="110"/>
      <c r="J14" s="65" t="s">
        <v>331</v>
      </c>
    </row>
    <row r="15" spans="1:20">
      <c r="B15" s="67"/>
    </row>
    <row r="16" spans="1:20">
      <c r="B16" s="135"/>
      <c r="C16" s="135"/>
    </row>
    <row r="17" spans="2:10">
      <c r="B17" s="135"/>
      <c r="C17" s="135"/>
      <c r="D17" s="135"/>
      <c r="E17" s="135"/>
      <c r="F17" s="135"/>
    </row>
    <row r="19" spans="2:10">
      <c r="B19" s="65" t="s">
        <v>18</v>
      </c>
      <c r="C19" s="65" t="s">
        <v>10</v>
      </c>
      <c r="D19" s="65" t="s">
        <v>354</v>
      </c>
      <c r="E19" s="65" t="s">
        <v>209</v>
      </c>
      <c r="F19" s="65" t="s">
        <v>353</v>
      </c>
      <c r="G19" s="65" t="s">
        <v>355</v>
      </c>
      <c r="H19" s="65" t="s">
        <v>356</v>
      </c>
      <c r="I19" s="65" t="s">
        <v>208</v>
      </c>
    </row>
    <row r="20" spans="2:10" ht="15">
      <c r="B20" s="396">
        <v>44513</v>
      </c>
      <c r="C20" s="71" t="s">
        <v>652</v>
      </c>
      <c r="D20" s="71" t="s">
        <v>566</v>
      </c>
      <c r="E20" s="65" t="s">
        <v>274</v>
      </c>
      <c r="F20" s="71" t="s">
        <v>385</v>
      </c>
      <c r="G20" s="71" t="s">
        <v>558</v>
      </c>
      <c r="H20" s="71" t="s">
        <v>558</v>
      </c>
      <c r="I20" s="73" t="s">
        <v>558</v>
      </c>
      <c r="J20" s="65" t="s">
        <v>331</v>
      </c>
    </row>
    <row r="21" spans="2:10" ht="15">
      <c r="B21" s="396">
        <v>44513</v>
      </c>
      <c r="C21" s="71" t="s">
        <v>653</v>
      </c>
      <c r="D21" s="71" t="s">
        <v>566</v>
      </c>
      <c r="E21" s="65" t="s">
        <v>274</v>
      </c>
      <c r="F21" s="71" t="s">
        <v>385</v>
      </c>
      <c r="G21" s="71" t="s">
        <v>558</v>
      </c>
      <c r="H21" s="71" t="s">
        <v>558</v>
      </c>
      <c r="I21" s="73" t="s">
        <v>654</v>
      </c>
      <c r="J21" s="65" t="s">
        <v>331</v>
      </c>
    </row>
    <row r="22" spans="2:10" ht="15">
      <c r="B22" s="396">
        <v>44625</v>
      </c>
      <c r="C22" s="71" t="s">
        <v>588</v>
      </c>
      <c r="D22" s="71" t="s">
        <v>570</v>
      </c>
      <c r="E22" s="65" t="s">
        <v>274</v>
      </c>
      <c r="F22" s="71" t="s">
        <v>385</v>
      </c>
      <c r="G22" s="71" t="s">
        <v>558</v>
      </c>
      <c r="H22" s="71" t="s">
        <v>558</v>
      </c>
      <c r="I22" s="73" t="s">
        <v>655</v>
      </c>
      <c r="J22" s="65" t="s">
        <v>331</v>
      </c>
    </row>
    <row r="23" spans="2:10" ht="15">
      <c r="B23" s="396">
        <v>44626</v>
      </c>
      <c r="C23" s="71" t="s">
        <v>589</v>
      </c>
      <c r="D23" s="71" t="s">
        <v>590</v>
      </c>
      <c r="E23" s="65" t="s">
        <v>274</v>
      </c>
      <c r="F23" s="71" t="s">
        <v>385</v>
      </c>
      <c r="G23" s="71" t="s">
        <v>558</v>
      </c>
      <c r="H23" s="71" t="s">
        <v>558</v>
      </c>
      <c r="I23" s="73" t="s">
        <v>656</v>
      </c>
      <c r="J23" s="65" t="s">
        <v>331</v>
      </c>
    </row>
    <row r="24" spans="2:10" ht="15">
      <c r="B24" s="396">
        <v>44632</v>
      </c>
      <c r="C24" s="71" t="s">
        <v>591</v>
      </c>
      <c r="D24" s="71" t="s">
        <v>570</v>
      </c>
      <c r="E24" s="65" t="s">
        <v>274</v>
      </c>
      <c r="F24" s="71" t="s">
        <v>385</v>
      </c>
      <c r="G24" s="71" t="s">
        <v>558</v>
      </c>
      <c r="H24" s="71" t="s">
        <v>558</v>
      </c>
      <c r="I24" s="73" t="s">
        <v>657</v>
      </c>
      <c r="J24" s="65" t="s">
        <v>331</v>
      </c>
    </row>
    <row r="25" spans="2:10" ht="15">
      <c r="B25" s="396">
        <v>44633</v>
      </c>
      <c r="C25" s="71" t="s">
        <v>567</v>
      </c>
      <c r="D25" s="71" t="s">
        <v>566</v>
      </c>
      <c r="E25" s="65" t="s">
        <v>274</v>
      </c>
      <c r="F25" s="71" t="s">
        <v>385</v>
      </c>
      <c r="G25" s="71" t="s">
        <v>558</v>
      </c>
      <c r="H25" s="71" t="s">
        <v>558</v>
      </c>
      <c r="I25" s="73" t="s">
        <v>658</v>
      </c>
      <c r="J25" s="65" t="s">
        <v>331</v>
      </c>
    </row>
    <row r="26" spans="2:10" ht="15">
      <c r="B26" s="396">
        <v>44639</v>
      </c>
      <c r="C26" s="71" t="s">
        <v>659</v>
      </c>
      <c r="D26" s="71" t="s">
        <v>570</v>
      </c>
      <c r="E26" s="65" t="s">
        <v>274</v>
      </c>
      <c r="F26" s="71" t="s">
        <v>385</v>
      </c>
      <c r="G26" s="71" t="s">
        <v>558</v>
      </c>
      <c r="H26" s="71" t="s">
        <v>558</v>
      </c>
      <c r="I26" s="73" t="s">
        <v>558</v>
      </c>
      <c r="J26" s="65" t="s">
        <v>331</v>
      </c>
    </row>
    <row r="27" spans="2:10" ht="15">
      <c r="B27" s="396">
        <v>44639</v>
      </c>
      <c r="C27" s="71" t="s">
        <v>594</v>
      </c>
      <c r="D27" s="71" t="s">
        <v>570</v>
      </c>
      <c r="E27" s="65" t="s">
        <v>274</v>
      </c>
      <c r="F27" s="71" t="s">
        <v>385</v>
      </c>
      <c r="G27" s="71" t="s">
        <v>558</v>
      </c>
      <c r="H27" s="71" t="s">
        <v>558</v>
      </c>
      <c r="I27" s="73" t="s">
        <v>660</v>
      </c>
      <c r="J27" s="65" t="s">
        <v>331</v>
      </c>
    </row>
    <row r="28" spans="2:10" ht="15">
      <c r="B28" s="396">
        <v>44640</v>
      </c>
      <c r="C28" s="71" t="s">
        <v>595</v>
      </c>
      <c r="D28" s="71" t="s">
        <v>570</v>
      </c>
      <c r="E28" s="65" t="s">
        <v>274</v>
      </c>
      <c r="F28" s="71" t="s">
        <v>385</v>
      </c>
      <c r="G28" s="71" t="s">
        <v>558</v>
      </c>
      <c r="H28" s="71" t="s">
        <v>558</v>
      </c>
      <c r="I28" s="73" t="s">
        <v>661</v>
      </c>
      <c r="J28" s="65" t="s">
        <v>331</v>
      </c>
    </row>
    <row r="29" spans="2:10" ht="15">
      <c r="B29" s="396">
        <v>44640</v>
      </c>
      <c r="C29" s="71" t="s">
        <v>596</v>
      </c>
      <c r="D29" s="71" t="s">
        <v>570</v>
      </c>
      <c r="E29" s="65" t="s">
        <v>274</v>
      </c>
      <c r="F29" s="71" t="s">
        <v>385</v>
      </c>
      <c r="G29" s="71" t="s">
        <v>558</v>
      </c>
      <c r="H29" s="71" t="s">
        <v>558</v>
      </c>
      <c r="I29" s="73" t="s">
        <v>662</v>
      </c>
      <c r="J29" s="65" t="s">
        <v>331</v>
      </c>
    </row>
    <row r="30" spans="2:10" ht="15">
      <c r="B30" s="396">
        <v>44646</v>
      </c>
      <c r="C30" s="71" t="s">
        <v>597</v>
      </c>
      <c r="D30" s="71" t="s">
        <v>570</v>
      </c>
      <c r="E30" s="65" t="s">
        <v>274</v>
      </c>
      <c r="F30" s="71" t="s">
        <v>385</v>
      </c>
      <c r="G30" s="71" t="s">
        <v>558</v>
      </c>
      <c r="H30" s="71" t="s">
        <v>558</v>
      </c>
      <c r="I30" s="73" t="s">
        <v>663</v>
      </c>
      <c r="J30" s="65" t="s">
        <v>331</v>
      </c>
    </row>
    <row r="31" spans="2:10" ht="15">
      <c r="B31" s="396">
        <v>44647</v>
      </c>
      <c r="C31" s="71" t="s">
        <v>592</v>
      </c>
      <c r="D31" s="71" t="s">
        <v>593</v>
      </c>
      <c r="E31" s="65" t="s">
        <v>274</v>
      </c>
      <c r="F31" s="71" t="s">
        <v>385</v>
      </c>
      <c r="G31" s="71" t="s">
        <v>558</v>
      </c>
      <c r="H31" s="71" t="s">
        <v>558</v>
      </c>
      <c r="I31" s="73" t="s">
        <v>664</v>
      </c>
      <c r="J31" s="65" t="s">
        <v>331</v>
      </c>
    </row>
    <row r="32" spans="2:10" ht="15">
      <c r="B32" s="396">
        <v>44647</v>
      </c>
      <c r="C32" s="71" t="s">
        <v>574</v>
      </c>
      <c r="D32" s="71" t="s">
        <v>566</v>
      </c>
      <c r="E32" s="65" t="s">
        <v>274</v>
      </c>
      <c r="F32" s="71" t="s">
        <v>385</v>
      </c>
      <c r="G32" s="71" t="s">
        <v>558</v>
      </c>
      <c r="H32" s="71" t="s">
        <v>558</v>
      </c>
      <c r="I32" s="73" t="s">
        <v>665</v>
      </c>
      <c r="J32" s="65" t="s">
        <v>331</v>
      </c>
    </row>
    <row r="33" spans="2:10" ht="15">
      <c r="B33" s="396">
        <v>44653</v>
      </c>
      <c r="C33" s="71" t="s">
        <v>598</v>
      </c>
      <c r="D33" s="71" t="s">
        <v>570</v>
      </c>
      <c r="E33" s="65" t="s">
        <v>274</v>
      </c>
      <c r="F33" s="71" t="s">
        <v>385</v>
      </c>
      <c r="G33" s="71" t="s">
        <v>558</v>
      </c>
      <c r="H33" s="71" t="s">
        <v>558</v>
      </c>
      <c r="I33" s="73" t="s">
        <v>666</v>
      </c>
      <c r="J33" s="65" t="s">
        <v>331</v>
      </c>
    </row>
    <row r="34" spans="2:10" ht="15">
      <c r="B34" s="396">
        <v>44654</v>
      </c>
      <c r="C34" s="71" t="s">
        <v>667</v>
      </c>
      <c r="D34" s="71" t="s">
        <v>570</v>
      </c>
      <c r="E34" s="65" t="s">
        <v>274</v>
      </c>
      <c r="F34" s="71" t="s">
        <v>385</v>
      </c>
      <c r="G34" s="71" t="s">
        <v>558</v>
      </c>
      <c r="H34" s="71" t="s">
        <v>558</v>
      </c>
      <c r="I34" s="73" t="s">
        <v>558</v>
      </c>
      <c r="J34" s="65" t="s">
        <v>331</v>
      </c>
    </row>
    <row r="35" spans="2:10" ht="15">
      <c r="B35" s="396">
        <v>44654</v>
      </c>
      <c r="C35" s="71" t="s">
        <v>601</v>
      </c>
      <c r="D35" s="71" t="s">
        <v>566</v>
      </c>
      <c r="E35" s="65" t="s">
        <v>274</v>
      </c>
      <c r="F35" s="71" t="s">
        <v>385</v>
      </c>
      <c r="G35" s="71" t="s">
        <v>558</v>
      </c>
      <c r="H35" s="71" t="s">
        <v>558</v>
      </c>
      <c r="I35" s="73" t="s">
        <v>669</v>
      </c>
      <c r="J35" s="65" t="s">
        <v>331</v>
      </c>
    </row>
    <row r="36" spans="2:10" ht="15">
      <c r="B36" s="396">
        <v>44654</v>
      </c>
      <c r="C36" s="71" t="s">
        <v>599</v>
      </c>
      <c r="D36" s="71" t="s">
        <v>600</v>
      </c>
      <c r="E36" s="65" t="s">
        <v>274</v>
      </c>
      <c r="F36" s="71" t="s">
        <v>385</v>
      </c>
      <c r="G36" s="71" t="s">
        <v>558</v>
      </c>
      <c r="H36" s="71" t="s">
        <v>558</v>
      </c>
      <c r="I36" s="73" t="s">
        <v>668</v>
      </c>
      <c r="J36" s="65" t="s">
        <v>331</v>
      </c>
    </row>
    <row r="37" spans="2:10" ht="15">
      <c r="B37" s="396">
        <v>44660</v>
      </c>
      <c r="C37" s="71" t="s">
        <v>670</v>
      </c>
      <c r="D37" s="71" t="s">
        <v>566</v>
      </c>
      <c r="E37" s="65" t="s">
        <v>274</v>
      </c>
      <c r="F37" s="71" t="s">
        <v>385</v>
      </c>
      <c r="G37" s="71" t="s">
        <v>558</v>
      </c>
      <c r="H37" s="71" t="s">
        <v>558</v>
      </c>
      <c r="I37" s="73" t="s">
        <v>558</v>
      </c>
      <c r="J37" s="65" t="s">
        <v>331</v>
      </c>
    </row>
    <row r="38" spans="2:10" ht="15">
      <c r="B38" s="396">
        <v>44660</v>
      </c>
      <c r="C38" s="71" t="s">
        <v>605</v>
      </c>
      <c r="D38" s="71" t="s">
        <v>590</v>
      </c>
      <c r="E38" s="65" t="s">
        <v>274</v>
      </c>
      <c r="F38" s="71" t="s">
        <v>385</v>
      </c>
      <c r="G38" s="71" t="s">
        <v>558</v>
      </c>
      <c r="H38" s="71" t="s">
        <v>558</v>
      </c>
      <c r="I38" s="73" t="s">
        <v>671</v>
      </c>
      <c r="J38" s="65" t="s">
        <v>331</v>
      </c>
    </row>
    <row r="39" spans="2:10" ht="15">
      <c r="B39" s="396">
        <v>44660</v>
      </c>
      <c r="C39" s="71" t="s">
        <v>604</v>
      </c>
      <c r="D39" s="71" t="s">
        <v>603</v>
      </c>
      <c r="E39" s="65" t="s">
        <v>274</v>
      </c>
      <c r="F39" s="71" t="s">
        <v>385</v>
      </c>
      <c r="G39" s="71" t="s">
        <v>558</v>
      </c>
      <c r="H39" s="71" t="s">
        <v>558</v>
      </c>
      <c r="I39" s="73" t="s">
        <v>672</v>
      </c>
      <c r="J39" s="65" t="s">
        <v>331</v>
      </c>
    </row>
    <row r="40" spans="2:10" ht="15">
      <c r="B40" s="396">
        <v>44660</v>
      </c>
      <c r="C40" s="71" t="s">
        <v>608</v>
      </c>
      <c r="D40" s="71" t="s">
        <v>566</v>
      </c>
      <c r="E40" s="65" t="s">
        <v>274</v>
      </c>
      <c r="F40" s="71" t="s">
        <v>385</v>
      </c>
      <c r="G40" s="71" t="s">
        <v>558</v>
      </c>
      <c r="H40" s="71" t="s">
        <v>558</v>
      </c>
      <c r="I40" s="73" t="s">
        <v>673</v>
      </c>
      <c r="J40" s="65" t="s">
        <v>331</v>
      </c>
    </row>
    <row r="41" spans="2:10" ht="15">
      <c r="B41" s="396">
        <v>44661</v>
      </c>
      <c r="C41" s="71" t="s">
        <v>602</v>
      </c>
      <c r="D41" s="71" t="s">
        <v>603</v>
      </c>
      <c r="E41" s="65" t="s">
        <v>274</v>
      </c>
      <c r="F41" s="71" t="s">
        <v>385</v>
      </c>
      <c r="G41" s="71" t="s">
        <v>558</v>
      </c>
      <c r="H41" s="71" t="s">
        <v>558</v>
      </c>
      <c r="I41" s="73" t="s">
        <v>677</v>
      </c>
      <c r="J41" s="65" t="s">
        <v>331</v>
      </c>
    </row>
    <row r="42" spans="2:10" ht="15">
      <c r="B42" s="396">
        <v>44661</v>
      </c>
      <c r="C42" s="71" t="s">
        <v>675</v>
      </c>
      <c r="D42" s="71" t="s">
        <v>676</v>
      </c>
      <c r="E42" s="65" t="s">
        <v>274</v>
      </c>
      <c r="F42" s="71" t="s">
        <v>385</v>
      </c>
      <c r="G42" s="71" t="s">
        <v>558</v>
      </c>
      <c r="H42" s="71" t="s">
        <v>558</v>
      </c>
      <c r="I42" s="73" t="s">
        <v>558</v>
      </c>
      <c r="J42" s="65" t="s">
        <v>331</v>
      </c>
    </row>
    <row r="43" spans="2:10" ht="15">
      <c r="B43" s="396">
        <v>44661</v>
      </c>
      <c r="C43" s="71" t="s">
        <v>609</v>
      </c>
      <c r="D43" s="71" t="s">
        <v>566</v>
      </c>
      <c r="E43" s="65" t="s">
        <v>274</v>
      </c>
      <c r="F43" s="71" t="s">
        <v>385</v>
      </c>
      <c r="G43" s="71" t="s">
        <v>558</v>
      </c>
      <c r="H43" s="71" t="s">
        <v>558</v>
      </c>
      <c r="I43" s="73" t="s">
        <v>674</v>
      </c>
      <c r="J43" s="65" t="s">
        <v>331</v>
      </c>
    </row>
    <row r="44" spans="2:10" ht="15">
      <c r="B44" s="396">
        <v>44667</v>
      </c>
      <c r="C44" s="71" t="s">
        <v>610</v>
      </c>
      <c r="D44" s="71" t="s">
        <v>590</v>
      </c>
      <c r="E44" s="65" t="s">
        <v>274</v>
      </c>
      <c r="F44" s="71" t="s">
        <v>385</v>
      </c>
      <c r="G44" s="71" t="s">
        <v>558</v>
      </c>
      <c r="H44" s="71" t="s">
        <v>558</v>
      </c>
      <c r="I44" s="73" t="s">
        <v>678</v>
      </c>
      <c r="J44" s="65" t="s">
        <v>331</v>
      </c>
    </row>
    <row r="45" spans="2:10" ht="15">
      <c r="B45" s="396">
        <v>44668</v>
      </c>
      <c r="C45" s="71" t="s">
        <v>611</v>
      </c>
      <c r="D45" s="71" t="s">
        <v>566</v>
      </c>
      <c r="E45" s="65" t="s">
        <v>274</v>
      </c>
      <c r="F45" s="71" t="s">
        <v>385</v>
      </c>
      <c r="G45" s="71" t="s">
        <v>558</v>
      </c>
      <c r="H45" s="71" t="s">
        <v>558</v>
      </c>
      <c r="I45" s="73" t="s">
        <v>679</v>
      </c>
      <c r="J45" s="65" t="s">
        <v>331</v>
      </c>
    </row>
    <row r="46" spans="2:10" ht="15">
      <c r="B46" s="396">
        <v>44674</v>
      </c>
      <c r="C46" s="71" t="s">
        <v>606</v>
      </c>
      <c r="D46" s="71" t="s">
        <v>607</v>
      </c>
      <c r="E46" s="65" t="s">
        <v>274</v>
      </c>
      <c r="F46" s="71" t="s">
        <v>385</v>
      </c>
      <c r="G46" s="71" t="s">
        <v>558</v>
      </c>
      <c r="H46" s="71" t="s">
        <v>558</v>
      </c>
      <c r="I46" s="73" t="s">
        <v>680</v>
      </c>
      <c r="J46" s="65" t="s">
        <v>331</v>
      </c>
    </row>
    <row r="47" spans="2:10" ht="15">
      <c r="B47" s="396">
        <v>44674</v>
      </c>
      <c r="C47" s="71" t="s">
        <v>606</v>
      </c>
      <c r="D47" s="71" t="s">
        <v>607</v>
      </c>
      <c r="E47" s="65" t="s">
        <v>274</v>
      </c>
      <c r="F47" s="71" t="s">
        <v>385</v>
      </c>
      <c r="G47" s="71" t="s">
        <v>558</v>
      </c>
      <c r="H47" s="71" t="s">
        <v>558</v>
      </c>
      <c r="I47" s="73" t="s">
        <v>558</v>
      </c>
      <c r="J47" s="65" t="s">
        <v>331</v>
      </c>
    </row>
    <row r="48" spans="2:10" ht="15">
      <c r="B48" s="396">
        <v>44681</v>
      </c>
      <c r="C48" s="71" t="s">
        <v>612</v>
      </c>
      <c r="D48" s="71" t="s">
        <v>566</v>
      </c>
      <c r="E48" s="65" t="s">
        <v>274</v>
      </c>
      <c r="F48" s="71" t="s">
        <v>385</v>
      </c>
      <c r="G48" s="71" t="s">
        <v>558</v>
      </c>
      <c r="H48" s="71" t="s">
        <v>558</v>
      </c>
      <c r="I48" s="73" t="s">
        <v>681</v>
      </c>
      <c r="J48" s="65" t="s">
        <v>331</v>
      </c>
    </row>
    <row r="49" spans="2:10" ht="15">
      <c r="B49" s="396">
        <v>44682</v>
      </c>
      <c r="C49" s="71" t="s">
        <v>615</v>
      </c>
      <c r="D49" s="71" t="s">
        <v>616</v>
      </c>
      <c r="E49" s="65" t="s">
        <v>274</v>
      </c>
      <c r="F49" s="71" t="s">
        <v>385</v>
      </c>
      <c r="G49" s="71" t="s">
        <v>558</v>
      </c>
      <c r="H49" s="71" t="s">
        <v>558</v>
      </c>
      <c r="I49" s="73" t="s">
        <v>558</v>
      </c>
      <c r="J49" s="65" t="s">
        <v>331</v>
      </c>
    </row>
    <row r="50" spans="2:10" ht="15">
      <c r="B50" s="396">
        <v>44682</v>
      </c>
      <c r="C50" s="71" t="s">
        <v>613</v>
      </c>
      <c r="D50" s="71" t="s">
        <v>614</v>
      </c>
      <c r="E50" s="65" t="s">
        <v>274</v>
      </c>
      <c r="F50" s="71" t="s">
        <v>385</v>
      </c>
      <c r="G50" s="71" t="s">
        <v>558</v>
      </c>
      <c r="H50" s="71" t="s">
        <v>558</v>
      </c>
      <c r="I50" s="73" t="s">
        <v>683</v>
      </c>
      <c r="J50" s="65" t="s">
        <v>331</v>
      </c>
    </row>
    <row r="51" spans="2:10" ht="15">
      <c r="B51" s="396">
        <v>44682</v>
      </c>
      <c r="C51" s="71" t="s">
        <v>615</v>
      </c>
      <c r="D51" s="71" t="s">
        <v>616</v>
      </c>
      <c r="E51" s="65" t="s">
        <v>274</v>
      </c>
      <c r="F51" s="71" t="s">
        <v>385</v>
      </c>
      <c r="G51" s="71" t="s">
        <v>558</v>
      </c>
      <c r="H51" s="71" t="s">
        <v>558</v>
      </c>
      <c r="I51" s="73" t="s">
        <v>682</v>
      </c>
      <c r="J51" s="65" t="s">
        <v>331</v>
      </c>
    </row>
    <row r="52" spans="2:10" ht="15">
      <c r="B52" s="396">
        <v>44688</v>
      </c>
      <c r="C52" s="71" t="s">
        <v>617</v>
      </c>
      <c r="D52" s="71" t="s">
        <v>618</v>
      </c>
      <c r="E52" s="65" t="s">
        <v>274</v>
      </c>
      <c r="F52" s="71" t="s">
        <v>385</v>
      </c>
      <c r="G52" s="71" t="s">
        <v>558</v>
      </c>
      <c r="H52" s="71" t="s">
        <v>558</v>
      </c>
      <c r="I52" s="73" t="s">
        <v>684</v>
      </c>
      <c r="J52" s="65" t="s">
        <v>331</v>
      </c>
    </row>
    <row r="53" spans="2:10" ht="15">
      <c r="B53" s="396">
        <v>44688</v>
      </c>
      <c r="C53" s="71" t="s">
        <v>620</v>
      </c>
      <c r="D53" s="71" t="s">
        <v>603</v>
      </c>
      <c r="E53" s="65" t="s">
        <v>274</v>
      </c>
      <c r="F53" s="71" t="s">
        <v>385</v>
      </c>
      <c r="G53" s="71" t="s">
        <v>558</v>
      </c>
      <c r="H53" s="71" t="s">
        <v>558</v>
      </c>
      <c r="I53" s="73" t="s">
        <v>685</v>
      </c>
      <c r="J53" s="65" t="s">
        <v>331</v>
      </c>
    </row>
    <row r="54" spans="2:10" ht="15">
      <c r="B54" s="396">
        <v>44688</v>
      </c>
      <c r="C54" s="71" t="s">
        <v>619</v>
      </c>
      <c r="D54" s="71" t="s">
        <v>590</v>
      </c>
      <c r="E54" s="65" t="s">
        <v>274</v>
      </c>
      <c r="F54" s="71" t="s">
        <v>385</v>
      </c>
      <c r="G54" s="71" t="s">
        <v>558</v>
      </c>
      <c r="H54" s="71" t="s">
        <v>558</v>
      </c>
      <c r="I54" s="73" t="s">
        <v>686</v>
      </c>
      <c r="J54" s="65" t="s">
        <v>331</v>
      </c>
    </row>
    <row r="55" spans="2:10" ht="15">
      <c r="B55" s="396">
        <v>44695</v>
      </c>
      <c r="C55" s="71" t="s">
        <v>621</v>
      </c>
      <c r="D55" s="71" t="s">
        <v>590</v>
      </c>
      <c r="E55" s="65" t="s">
        <v>274</v>
      </c>
      <c r="F55" s="71" t="s">
        <v>385</v>
      </c>
      <c r="G55" s="71" t="s">
        <v>558</v>
      </c>
      <c r="H55" s="71" t="s">
        <v>558</v>
      </c>
      <c r="I55" s="73" t="s">
        <v>687</v>
      </c>
      <c r="J55" s="65" t="s">
        <v>331</v>
      </c>
    </row>
    <row r="56" spans="2:10" ht="15">
      <c r="B56" s="396">
        <v>44696</v>
      </c>
      <c r="C56" s="71" t="s">
        <v>622</v>
      </c>
      <c r="D56" s="71" t="s">
        <v>600</v>
      </c>
      <c r="E56" s="65" t="s">
        <v>274</v>
      </c>
      <c r="F56" s="71" t="s">
        <v>385</v>
      </c>
      <c r="G56" s="71" t="s">
        <v>558</v>
      </c>
      <c r="H56" s="71" t="s">
        <v>558</v>
      </c>
      <c r="I56" s="73" t="s">
        <v>688</v>
      </c>
      <c r="J56" s="65" t="s">
        <v>331</v>
      </c>
    </row>
    <row r="57" spans="2:10" ht="15">
      <c r="B57" s="396">
        <v>44702</v>
      </c>
      <c r="C57" s="71" t="s">
        <v>625</v>
      </c>
      <c r="D57" s="71" t="s">
        <v>626</v>
      </c>
      <c r="E57" s="65" t="s">
        <v>274</v>
      </c>
      <c r="F57" s="71" t="s">
        <v>385</v>
      </c>
      <c r="G57" s="71" t="s">
        <v>558</v>
      </c>
      <c r="H57" s="71" t="s">
        <v>558</v>
      </c>
      <c r="I57" s="73" t="s">
        <v>689</v>
      </c>
      <c r="J57" s="65" t="s">
        <v>331</v>
      </c>
    </row>
    <row r="58" spans="2:10" ht="15">
      <c r="B58" s="396">
        <v>44702</v>
      </c>
      <c r="C58" s="71" t="s">
        <v>623</v>
      </c>
      <c r="D58" s="71" t="s">
        <v>624</v>
      </c>
      <c r="E58" s="65" t="s">
        <v>274</v>
      </c>
      <c r="F58" s="71" t="s">
        <v>385</v>
      </c>
      <c r="G58" s="71" t="s">
        <v>558</v>
      </c>
      <c r="H58" s="71" t="s">
        <v>558</v>
      </c>
      <c r="I58" s="73" t="s">
        <v>690</v>
      </c>
      <c r="J58" s="65" t="s">
        <v>331</v>
      </c>
    </row>
    <row r="59" spans="2:10" ht="15">
      <c r="B59" s="396">
        <v>44703</v>
      </c>
      <c r="C59" s="71" t="s">
        <v>627</v>
      </c>
      <c r="D59" s="71" t="s">
        <v>628</v>
      </c>
      <c r="E59" s="65" t="s">
        <v>274</v>
      </c>
      <c r="F59" s="71" t="s">
        <v>385</v>
      </c>
      <c r="G59" s="71" t="s">
        <v>558</v>
      </c>
      <c r="H59" s="71" t="s">
        <v>558</v>
      </c>
      <c r="I59" s="73" t="s">
        <v>691</v>
      </c>
      <c r="J59" s="65" t="s">
        <v>331</v>
      </c>
    </row>
    <row r="60" spans="2:10" ht="15">
      <c r="B60" s="396">
        <v>44703</v>
      </c>
      <c r="C60" s="71" t="s">
        <v>598</v>
      </c>
      <c r="D60" s="71" t="s">
        <v>590</v>
      </c>
      <c r="E60" s="65" t="s">
        <v>274</v>
      </c>
      <c r="F60" s="71" t="s">
        <v>385</v>
      </c>
      <c r="G60" s="71" t="s">
        <v>558</v>
      </c>
      <c r="H60" s="71" t="s">
        <v>558</v>
      </c>
      <c r="I60" s="73" t="s">
        <v>692</v>
      </c>
      <c r="J60" s="65" t="s">
        <v>331</v>
      </c>
    </row>
    <row r="61" spans="2:10" ht="15">
      <c r="B61" s="396">
        <v>44711</v>
      </c>
      <c r="C61" s="71" t="s">
        <v>629</v>
      </c>
      <c r="D61" s="71" t="s">
        <v>630</v>
      </c>
      <c r="E61" s="65" t="s">
        <v>274</v>
      </c>
      <c r="F61" s="71" t="s">
        <v>385</v>
      </c>
      <c r="G61" s="71" t="s">
        <v>558</v>
      </c>
      <c r="H61" s="71" t="s">
        <v>558</v>
      </c>
      <c r="I61" s="73" t="s">
        <v>693</v>
      </c>
      <c r="J61" s="65" t="s">
        <v>331</v>
      </c>
    </row>
    <row r="62" spans="2:10" ht="15">
      <c r="B62" s="396">
        <v>44713</v>
      </c>
      <c r="C62" s="71" t="s">
        <v>694</v>
      </c>
      <c r="D62" s="71" t="s">
        <v>695</v>
      </c>
      <c r="E62" s="65" t="s">
        <v>274</v>
      </c>
      <c r="F62" s="71" t="s">
        <v>385</v>
      </c>
      <c r="G62" s="71" t="s">
        <v>558</v>
      </c>
      <c r="H62" s="71" t="s">
        <v>558</v>
      </c>
      <c r="I62" s="73" t="s">
        <v>696</v>
      </c>
      <c r="J62" s="65" t="s">
        <v>331</v>
      </c>
    </row>
    <row r="63" spans="2:10" ht="15">
      <c r="B63" s="396">
        <v>44716</v>
      </c>
      <c r="C63" s="71" t="s">
        <v>633</v>
      </c>
      <c r="D63" s="71" t="s">
        <v>634</v>
      </c>
      <c r="E63" s="65" t="s">
        <v>274</v>
      </c>
      <c r="F63" s="71" t="s">
        <v>385</v>
      </c>
      <c r="G63" s="71" t="s">
        <v>558</v>
      </c>
      <c r="H63" s="71" t="s">
        <v>558</v>
      </c>
      <c r="I63" s="73" t="s">
        <v>698</v>
      </c>
      <c r="J63" s="65" t="s">
        <v>331</v>
      </c>
    </row>
    <row r="64" spans="2:10" ht="15">
      <c r="B64" s="396">
        <v>44716</v>
      </c>
      <c r="C64" s="71" t="s">
        <v>728</v>
      </c>
      <c r="D64" s="71" t="s">
        <v>570</v>
      </c>
      <c r="E64" s="65" t="s">
        <v>274</v>
      </c>
      <c r="F64" s="71" t="s">
        <v>385</v>
      </c>
      <c r="G64" s="71" t="s">
        <v>558</v>
      </c>
      <c r="H64" s="71" t="s">
        <v>558</v>
      </c>
      <c r="I64" s="73" t="s">
        <v>729</v>
      </c>
      <c r="J64" s="65" t="s">
        <v>331</v>
      </c>
    </row>
    <row r="65" spans="2:10" ht="15">
      <c r="B65" s="396">
        <v>44716</v>
      </c>
      <c r="C65" s="71" t="s">
        <v>631</v>
      </c>
      <c r="D65" s="71" t="s">
        <v>632</v>
      </c>
      <c r="E65" s="65" t="s">
        <v>274</v>
      </c>
      <c r="F65" s="71" t="s">
        <v>385</v>
      </c>
      <c r="G65" s="71" t="s">
        <v>558</v>
      </c>
      <c r="H65" s="71" t="s">
        <v>558</v>
      </c>
      <c r="I65" s="73" t="s">
        <v>697</v>
      </c>
      <c r="J65" s="65" t="s">
        <v>331</v>
      </c>
    </row>
    <row r="66" spans="2:10" ht="15">
      <c r="B66" s="396">
        <v>44717</v>
      </c>
      <c r="C66" s="71" t="s">
        <v>635</v>
      </c>
      <c r="D66" s="71" t="s">
        <v>636</v>
      </c>
      <c r="E66" s="65" t="s">
        <v>274</v>
      </c>
      <c r="F66" s="71" t="s">
        <v>385</v>
      </c>
      <c r="G66" s="71" t="s">
        <v>558</v>
      </c>
      <c r="H66" s="71" t="s">
        <v>558</v>
      </c>
      <c r="I66" s="73" t="s">
        <v>699</v>
      </c>
      <c r="J66" s="65" t="s">
        <v>331</v>
      </c>
    </row>
    <row r="67" spans="2:10" ht="15">
      <c r="B67" s="396">
        <v>44719</v>
      </c>
      <c r="C67" s="71" t="s">
        <v>700</v>
      </c>
      <c r="D67" s="71" t="s">
        <v>701</v>
      </c>
      <c r="E67" s="65" t="s">
        <v>274</v>
      </c>
      <c r="F67" s="71" t="s">
        <v>385</v>
      </c>
      <c r="G67" s="71" t="s">
        <v>558</v>
      </c>
      <c r="H67" s="71" t="s">
        <v>558</v>
      </c>
      <c r="I67" s="73" t="s">
        <v>702</v>
      </c>
      <c r="J67" s="65" t="s">
        <v>331</v>
      </c>
    </row>
    <row r="68" spans="2:10" ht="15">
      <c r="B68" s="396">
        <v>44727</v>
      </c>
      <c r="C68" s="71" t="s">
        <v>703</v>
      </c>
      <c r="D68" s="71" t="s">
        <v>695</v>
      </c>
      <c r="E68" s="65" t="s">
        <v>274</v>
      </c>
      <c r="F68" s="71" t="s">
        <v>385</v>
      </c>
      <c r="G68" s="71" t="s">
        <v>558</v>
      </c>
      <c r="H68" s="71" t="s">
        <v>558</v>
      </c>
      <c r="I68" s="73" t="s">
        <v>704</v>
      </c>
      <c r="J68" s="65" t="s">
        <v>331</v>
      </c>
    </row>
    <row r="69" spans="2:10" ht="15">
      <c r="B69" s="396">
        <v>44731</v>
      </c>
      <c r="C69" s="71" t="s">
        <v>730</v>
      </c>
      <c r="D69" s="71" t="s">
        <v>590</v>
      </c>
      <c r="E69" s="65" t="s">
        <v>274</v>
      </c>
      <c r="F69" s="71" t="s">
        <v>385</v>
      </c>
      <c r="G69" s="71" t="s">
        <v>558</v>
      </c>
      <c r="H69" s="71" t="s">
        <v>558</v>
      </c>
      <c r="I69" s="73" t="s">
        <v>731</v>
      </c>
      <c r="J69" s="65" t="s">
        <v>331</v>
      </c>
    </row>
    <row r="70" spans="2:10" ht="15">
      <c r="B70" s="396">
        <v>44731</v>
      </c>
      <c r="C70" s="71" t="s">
        <v>637</v>
      </c>
      <c r="D70" s="71" t="s">
        <v>638</v>
      </c>
      <c r="E70" s="65" t="s">
        <v>274</v>
      </c>
      <c r="F70" s="71" t="s">
        <v>385</v>
      </c>
      <c r="G70" s="71" t="s">
        <v>558</v>
      </c>
      <c r="H70" s="71" t="s">
        <v>558</v>
      </c>
      <c r="I70" s="73" t="s">
        <v>705</v>
      </c>
      <c r="J70" s="65" t="s">
        <v>331</v>
      </c>
    </row>
    <row r="71" spans="2:10" ht="15">
      <c r="B71" s="396">
        <v>44733</v>
      </c>
      <c r="C71" s="71" t="s">
        <v>706</v>
      </c>
      <c r="D71" s="71" t="s">
        <v>701</v>
      </c>
      <c r="E71" s="65" t="s">
        <v>274</v>
      </c>
      <c r="F71" s="71" t="s">
        <v>385</v>
      </c>
      <c r="G71" s="71" t="s">
        <v>558</v>
      </c>
      <c r="H71" s="71" t="s">
        <v>558</v>
      </c>
      <c r="I71" s="73" t="s">
        <v>707</v>
      </c>
      <c r="J71" s="65" t="s">
        <v>331</v>
      </c>
    </row>
    <row r="72" spans="2:10" ht="15">
      <c r="B72" s="396">
        <v>44741</v>
      </c>
      <c r="C72" s="71" t="s">
        <v>708</v>
      </c>
      <c r="D72" s="71" t="s">
        <v>695</v>
      </c>
      <c r="E72" s="65" t="s">
        <v>274</v>
      </c>
      <c r="F72" s="71" t="s">
        <v>385</v>
      </c>
      <c r="G72" s="71" t="s">
        <v>558</v>
      </c>
      <c r="H72" s="71" t="s">
        <v>558</v>
      </c>
      <c r="I72" s="73" t="s">
        <v>709</v>
      </c>
      <c r="J72" s="65" t="s">
        <v>331</v>
      </c>
    </row>
    <row r="73" spans="2:10" ht="15">
      <c r="B73" s="396">
        <v>44747</v>
      </c>
      <c r="C73" s="71" t="s">
        <v>710</v>
      </c>
      <c r="D73" s="71" t="s">
        <v>701</v>
      </c>
      <c r="E73" s="65" t="s">
        <v>274</v>
      </c>
      <c r="F73" s="71" t="s">
        <v>385</v>
      </c>
      <c r="G73" s="71" t="s">
        <v>558</v>
      </c>
      <c r="H73" s="71" t="s">
        <v>558</v>
      </c>
      <c r="I73" s="73" t="s">
        <v>711</v>
      </c>
      <c r="J73" s="65" t="s">
        <v>331</v>
      </c>
    </row>
    <row r="74" spans="2:10" ht="15">
      <c r="B74" s="396">
        <v>44752</v>
      </c>
      <c r="C74" s="71" t="s">
        <v>639</v>
      </c>
      <c r="D74" s="71" t="s">
        <v>640</v>
      </c>
      <c r="E74" s="65" t="s">
        <v>274</v>
      </c>
      <c r="F74" s="71" t="s">
        <v>385</v>
      </c>
      <c r="G74" s="71" t="s">
        <v>558</v>
      </c>
      <c r="H74" s="71" t="s">
        <v>558</v>
      </c>
      <c r="I74" s="73" t="s">
        <v>712</v>
      </c>
      <c r="J74" s="65" t="s">
        <v>331</v>
      </c>
    </row>
    <row r="75" spans="2:10" ht="15">
      <c r="B75" s="396">
        <v>44752</v>
      </c>
      <c r="C75" s="71" t="s">
        <v>713</v>
      </c>
      <c r="D75" s="71" t="s">
        <v>714</v>
      </c>
      <c r="E75" s="65" t="s">
        <v>274</v>
      </c>
      <c r="F75" s="71" t="s">
        <v>385</v>
      </c>
      <c r="G75" s="71" t="s">
        <v>558</v>
      </c>
      <c r="H75" s="71" t="s">
        <v>558</v>
      </c>
      <c r="I75" s="73" t="s">
        <v>715</v>
      </c>
      <c r="J75" s="65" t="s">
        <v>331</v>
      </c>
    </row>
    <row r="76" spans="2:10" ht="15">
      <c r="B76" s="396">
        <v>44755</v>
      </c>
      <c r="C76" s="71" t="s">
        <v>716</v>
      </c>
      <c r="D76" s="71" t="s">
        <v>695</v>
      </c>
      <c r="E76" s="65" t="s">
        <v>274</v>
      </c>
      <c r="F76" s="71" t="s">
        <v>385</v>
      </c>
      <c r="G76" s="71" t="s">
        <v>558</v>
      </c>
      <c r="H76" s="71" t="s">
        <v>558</v>
      </c>
      <c r="I76" s="73" t="s">
        <v>717</v>
      </c>
      <c r="J76" s="65" t="s">
        <v>331</v>
      </c>
    </row>
    <row r="77" spans="2:10" ht="15">
      <c r="B77" s="396">
        <v>44758</v>
      </c>
      <c r="C77" s="71" t="s">
        <v>641</v>
      </c>
      <c r="D77" s="71" t="s">
        <v>642</v>
      </c>
      <c r="E77" s="65" t="s">
        <v>274</v>
      </c>
      <c r="F77" s="71" t="s">
        <v>385</v>
      </c>
      <c r="G77" s="71" t="s">
        <v>558</v>
      </c>
      <c r="H77" s="71" t="s">
        <v>558</v>
      </c>
      <c r="I77" s="73" t="s">
        <v>718</v>
      </c>
      <c r="J77" s="65" t="s">
        <v>331</v>
      </c>
    </row>
    <row r="78" spans="2:10" ht="15">
      <c r="B78" s="396">
        <v>44759</v>
      </c>
      <c r="C78" s="71" t="s">
        <v>643</v>
      </c>
      <c r="D78" s="71" t="s">
        <v>644</v>
      </c>
      <c r="E78" s="65" t="s">
        <v>274</v>
      </c>
      <c r="F78" s="71" t="s">
        <v>385</v>
      </c>
      <c r="G78" s="71" t="s">
        <v>558</v>
      </c>
      <c r="H78" s="71" t="s">
        <v>558</v>
      </c>
      <c r="I78" s="73" t="s">
        <v>720</v>
      </c>
      <c r="J78" s="65" t="s">
        <v>331</v>
      </c>
    </row>
    <row r="79" spans="2:10" ht="15">
      <c r="B79" s="396">
        <v>44759</v>
      </c>
      <c r="C79" s="71" t="s">
        <v>645</v>
      </c>
      <c r="D79" s="71" t="s">
        <v>590</v>
      </c>
      <c r="E79" s="65" t="s">
        <v>274</v>
      </c>
      <c r="F79" s="71" t="s">
        <v>385</v>
      </c>
      <c r="G79" s="71" t="s">
        <v>558</v>
      </c>
      <c r="H79" s="71" t="s">
        <v>558</v>
      </c>
      <c r="I79" s="73" t="s">
        <v>719</v>
      </c>
      <c r="J79" s="65" t="s">
        <v>331</v>
      </c>
    </row>
    <row r="80" spans="2:10" ht="15">
      <c r="B80" s="396">
        <v>44765</v>
      </c>
      <c r="C80" s="71" t="s">
        <v>576</v>
      </c>
      <c r="D80" s="71" t="s">
        <v>570</v>
      </c>
      <c r="E80" s="65" t="s">
        <v>274</v>
      </c>
      <c r="F80" s="71" t="s">
        <v>385</v>
      </c>
      <c r="G80" s="71" t="s">
        <v>558</v>
      </c>
      <c r="H80" s="71" t="s">
        <v>558</v>
      </c>
      <c r="I80" s="73" t="s">
        <v>577</v>
      </c>
      <c r="J80" s="65" t="s">
        <v>331</v>
      </c>
    </row>
    <row r="81" spans="2:10" ht="15">
      <c r="B81" s="396">
        <v>44780</v>
      </c>
      <c r="C81" s="71" t="s">
        <v>647</v>
      </c>
      <c r="D81" s="71" t="s">
        <v>590</v>
      </c>
      <c r="E81" s="65" t="s">
        <v>274</v>
      </c>
      <c r="F81" s="71" t="s">
        <v>385</v>
      </c>
      <c r="G81" s="71" t="s">
        <v>558</v>
      </c>
      <c r="H81" s="71" t="s">
        <v>558</v>
      </c>
      <c r="I81" s="73" t="s">
        <v>721</v>
      </c>
      <c r="J81" s="65" t="s">
        <v>331</v>
      </c>
    </row>
    <row r="82" spans="2:10" ht="15">
      <c r="B82" s="396">
        <v>44780</v>
      </c>
      <c r="C82" s="71" t="s">
        <v>646</v>
      </c>
      <c r="D82" s="71" t="s">
        <v>630</v>
      </c>
      <c r="E82" s="65" t="s">
        <v>274</v>
      </c>
      <c r="F82" s="71" t="s">
        <v>385</v>
      </c>
      <c r="G82" s="71" t="s">
        <v>558</v>
      </c>
      <c r="H82" s="71" t="s">
        <v>558</v>
      </c>
      <c r="I82" s="73" t="s">
        <v>722</v>
      </c>
      <c r="J82" s="65" t="s">
        <v>331</v>
      </c>
    </row>
    <row r="83" spans="2:10" ht="15">
      <c r="B83" s="396">
        <v>44786</v>
      </c>
      <c r="C83" s="71" t="s">
        <v>574</v>
      </c>
      <c r="D83" s="71" t="s">
        <v>566</v>
      </c>
      <c r="E83" s="65" t="s">
        <v>274</v>
      </c>
      <c r="F83" s="71" t="s">
        <v>385</v>
      </c>
      <c r="G83" s="71" t="s">
        <v>558</v>
      </c>
      <c r="H83" s="71" t="s">
        <v>558</v>
      </c>
      <c r="I83" s="73" t="s">
        <v>558</v>
      </c>
      <c r="J83" s="65" t="s">
        <v>331</v>
      </c>
    </row>
    <row r="84" spans="2:10" ht="15">
      <c r="B84" s="396">
        <v>44787</v>
      </c>
      <c r="C84" s="71" t="s">
        <v>648</v>
      </c>
      <c r="D84" s="71" t="s">
        <v>590</v>
      </c>
      <c r="E84" s="65" t="s">
        <v>274</v>
      </c>
      <c r="F84" s="71" t="s">
        <v>385</v>
      </c>
      <c r="G84" s="71" t="s">
        <v>558</v>
      </c>
      <c r="H84" s="71" t="s">
        <v>558</v>
      </c>
      <c r="I84" s="73" t="s">
        <v>723</v>
      </c>
      <c r="J84" s="65" t="s">
        <v>331</v>
      </c>
    </row>
    <row r="85" spans="2:10" ht="15">
      <c r="B85" s="396">
        <v>44793</v>
      </c>
      <c r="C85" s="71" t="s">
        <v>567</v>
      </c>
      <c r="D85" s="71" t="s">
        <v>566</v>
      </c>
      <c r="E85" s="65" t="s">
        <v>274</v>
      </c>
      <c r="F85" s="71" t="s">
        <v>385</v>
      </c>
      <c r="G85" s="71" t="s">
        <v>558</v>
      </c>
      <c r="H85" s="71" t="s">
        <v>558</v>
      </c>
      <c r="I85" s="73" t="s">
        <v>558</v>
      </c>
      <c r="J85" s="65" t="s">
        <v>331</v>
      </c>
    </row>
    <row r="86" spans="2:10" ht="15">
      <c r="B86" s="396">
        <v>44794</v>
      </c>
      <c r="C86" s="71" t="s">
        <v>649</v>
      </c>
      <c r="D86" s="71" t="s">
        <v>650</v>
      </c>
      <c r="E86" s="65" t="s">
        <v>274</v>
      </c>
      <c r="F86" s="71" t="s">
        <v>385</v>
      </c>
      <c r="G86" s="71" t="s">
        <v>558</v>
      </c>
      <c r="H86" s="71" t="s">
        <v>558</v>
      </c>
      <c r="I86" s="73" t="s">
        <v>724</v>
      </c>
      <c r="J86" s="65" t="s">
        <v>331</v>
      </c>
    </row>
    <row r="87" spans="2:10" ht="15">
      <c r="B87" s="396">
        <v>44807</v>
      </c>
      <c r="C87" s="71" t="s">
        <v>651</v>
      </c>
      <c r="D87" s="71" t="s">
        <v>590</v>
      </c>
      <c r="E87" s="65" t="s">
        <v>274</v>
      </c>
      <c r="F87" s="71" t="s">
        <v>385</v>
      </c>
      <c r="G87" s="71" t="s">
        <v>558</v>
      </c>
      <c r="H87" s="71" t="s">
        <v>558</v>
      </c>
      <c r="I87" s="73" t="s">
        <v>725</v>
      </c>
      <c r="J87" s="65" t="s">
        <v>331</v>
      </c>
    </row>
    <row r="88" spans="2:10" ht="15">
      <c r="B88" s="396">
        <v>44807</v>
      </c>
      <c r="C88" s="71" t="s">
        <v>726</v>
      </c>
      <c r="D88" s="71" t="s">
        <v>570</v>
      </c>
      <c r="E88" s="65" t="s">
        <v>274</v>
      </c>
      <c r="F88" s="71" t="s">
        <v>385</v>
      </c>
      <c r="G88" s="71" t="s">
        <v>558</v>
      </c>
      <c r="H88" s="71" t="s">
        <v>558</v>
      </c>
      <c r="I88" s="73" t="s">
        <v>558</v>
      </c>
      <c r="J88" s="65" t="s">
        <v>331</v>
      </c>
    </row>
    <row r="89" spans="2:10" ht="15">
      <c r="B89" s="396">
        <v>44926</v>
      </c>
      <c r="C89" s="71" t="s">
        <v>586</v>
      </c>
      <c r="D89" s="71" t="s">
        <v>587</v>
      </c>
      <c r="E89" s="65" t="s">
        <v>274</v>
      </c>
      <c r="F89" s="71" t="s">
        <v>385</v>
      </c>
      <c r="G89" s="71" t="s">
        <v>558</v>
      </c>
      <c r="H89" s="71" t="s">
        <v>558</v>
      </c>
      <c r="I89" s="73" t="s">
        <v>727</v>
      </c>
      <c r="J89" s="65" t="s">
        <v>331</v>
      </c>
    </row>
    <row r="90" spans="2:10" ht="15">
      <c r="B90" s="396"/>
      <c r="C90" s="71"/>
      <c r="D90" s="71"/>
      <c r="F90" s="71"/>
      <c r="G90" s="71"/>
      <c r="H90" s="71"/>
      <c r="I90" s="73"/>
      <c r="J90" s="65" t="s">
        <v>331</v>
      </c>
    </row>
    <row r="91" spans="2:10" ht="15">
      <c r="B91" s="396"/>
      <c r="C91" s="71"/>
      <c r="D91" s="71"/>
      <c r="F91" s="71"/>
      <c r="G91" s="71"/>
      <c r="H91" s="71"/>
      <c r="I91" s="73"/>
      <c r="J91" s="65" t="s">
        <v>331</v>
      </c>
    </row>
    <row r="92" spans="2:10" ht="15">
      <c r="B92" s="396"/>
      <c r="C92" s="71"/>
      <c r="D92" s="71"/>
      <c r="F92" s="71"/>
      <c r="G92" s="71"/>
      <c r="H92" s="71"/>
      <c r="I92" s="73"/>
      <c r="J92" s="65" t="s">
        <v>331</v>
      </c>
    </row>
    <row r="93" spans="2:10" ht="15">
      <c r="B93" s="396"/>
      <c r="C93" s="71"/>
      <c r="D93" s="71"/>
      <c r="F93" s="71"/>
      <c r="G93" s="71"/>
      <c r="H93" s="71"/>
      <c r="I93" s="73"/>
      <c r="J93" s="65" t="s">
        <v>331</v>
      </c>
    </row>
    <row r="94" spans="2:10" ht="15">
      <c r="B94" s="396"/>
      <c r="C94" s="71"/>
      <c r="D94" s="71"/>
      <c r="F94" s="71"/>
      <c r="G94" s="71"/>
      <c r="H94" s="71"/>
      <c r="I94" s="73"/>
      <c r="J94" s="65" t="s">
        <v>331</v>
      </c>
    </row>
    <row r="95" spans="2:10" ht="15">
      <c r="B95" s="396"/>
      <c r="C95" s="71"/>
      <c r="D95" s="71"/>
      <c r="F95" s="71"/>
      <c r="G95" s="71"/>
      <c r="H95" s="71"/>
      <c r="I95" s="73"/>
      <c r="J95" s="65" t="s">
        <v>331</v>
      </c>
    </row>
    <row r="96" spans="2:10" ht="15">
      <c r="B96" s="396"/>
      <c r="C96" s="71"/>
      <c r="D96" s="71"/>
      <c r="F96" s="71"/>
      <c r="G96" s="71"/>
      <c r="H96" s="71"/>
      <c r="I96" s="73"/>
      <c r="J96" s="65" t="s">
        <v>331</v>
      </c>
    </row>
    <row r="97" spans="2:10" ht="15">
      <c r="B97" s="396"/>
      <c r="C97" s="71"/>
      <c r="D97" s="71"/>
      <c r="F97" s="71"/>
      <c r="G97" s="71"/>
      <c r="H97" s="71"/>
      <c r="I97" s="73"/>
      <c r="J97" s="65" t="s">
        <v>331</v>
      </c>
    </row>
    <row r="98" spans="2:10" ht="15">
      <c r="B98" s="396"/>
      <c r="C98" s="71"/>
      <c r="D98" s="71"/>
      <c r="F98" s="71"/>
      <c r="G98" s="71"/>
      <c r="H98" s="71"/>
      <c r="I98" s="73"/>
      <c r="J98" s="65" t="s">
        <v>331</v>
      </c>
    </row>
    <row r="99" spans="2:10" ht="15">
      <c r="B99" s="396"/>
      <c r="C99" s="71"/>
      <c r="D99" s="71"/>
      <c r="F99" s="71"/>
      <c r="G99" s="71"/>
      <c r="H99" s="71"/>
      <c r="I99" s="73"/>
      <c r="J99" s="65" t="s">
        <v>331</v>
      </c>
    </row>
    <row r="100" spans="2:10" ht="15">
      <c r="B100" s="396"/>
      <c r="C100" s="71"/>
      <c r="D100" s="71"/>
      <c r="F100" s="71"/>
      <c r="G100" s="71"/>
      <c r="H100" s="71"/>
      <c r="I100" s="73"/>
      <c r="J100" s="65" t="s">
        <v>331</v>
      </c>
    </row>
    <row r="101" spans="2:10" ht="15">
      <c r="B101" s="396"/>
      <c r="C101" s="71"/>
      <c r="D101" s="71"/>
      <c r="F101" s="71"/>
      <c r="G101" s="71"/>
      <c r="H101" s="71"/>
      <c r="I101" s="73"/>
      <c r="J101" s="65" t="s">
        <v>331</v>
      </c>
    </row>
    <row r="102" spans="2:10" ht="15">
      <c r="B102" s="396"/>
      <c r="C102" s="71"/>
      <c r="D102" s="71"/>
      <c r="F102" s="71"/>
      <c r="G102" s="71"/>
      <c r="H102" s="71"/>
      <c r="I102" s="73"/>
      <c r="J102" s="65" t="s">
        <v>331</v>
      </c>
    </row>
    <row r="103" spans="2:10" ht="15">
      <c r="B103" s="396"/>
      <c r="C103" s="71"/>
      <c r="D103" s="71"/>
      <c r="F103" s="71"/>
      <c r="G103" s="71"/>
      <c r="H103" s="71"/>
      <c r="I103" s="73"/>
      <c r="J103" s="65" t="s">
        <v>331</v>
      </c>
    </row>
    <row r="104" spans="2:10" ht="15">
      <c r="B104" s="396"/>
      <c r="C104" s="71"/>
      <c r="D104" s="71"/>
      <c r="F104" s="71"/>
      <c r="G104" s="71"/>
      <c r="H104" s="71"/>
      <c r="I104" s="73"/>
      <c r="J104" s="65" t="s">
        <v>331</v>
      </c>
    </row>
    <row r="105" spans="2:10" ht="15">
      <c r="B105" s="396"/>
      <c r="C105" s="71"/>
      <c r="D105" s="71"/>
      <c r="F105" s="71"/>
      <c r="G105" s="71"/>
      <c r="H105" s="71"/>
      <c r="I105" s="73"/>
      <c r="J105" s="65" t="s">
        <v>331</v>
      </c>
    </row>
    <row r="106" spans="2:10" ht="15">
      <c r="B106" s="396"/>
      <c r="C106" s="71"/>
      <c r="D106" s="71"/>
      <c r="F106" s="71"/>
      <c r="G106" s="71"/>
      <c r="H106" s="71"/>
      <c r="I106" s="73"/>
      <c r="J106" s="65" t="s">
        <v>331</v>
      </c>
    </row>
    <row r="107" spans="2:10" ht="15">
      <c r="B107" s="396"/>
      <c r="C107" s="71"/>
      <c r="D107" s="71"/>
      <c r="F107" s="71"/>
      <c r="G107" s="71"/>
      <c r="H107" s="71"/>
      <c r="I107" s="73"/>
      <c r="J107" s="65" t="s">
        <v>331</v>
      </c>
    </row>
    <row r="108" spans="2:10" ht="15">
      <c r="B108" s="396"/>
      <c r="C108" s="71"/>
      <c r="D108" s="71"/>
      <c r="F108" s="71"/>
      <c r="G108" s="71"/>
      <c r="H108" s="71"/>
      <c r="I108" s="73"/>
      <c r="J108" s="65" t="s">
        <v>331</v>
      </c>
    </row>
    <row r="109" spans="2:10" ht="15">
      <c r="B109" s="396"/>
      <c r="C109" s="71"/>
      <c r="D109" s="71"/>
      <c r="F109" s="71"/>
      <c r="G109" s="71"/>
      <c r="H109" s="71"/>
      <c r="I109" s="73"/>
      <c r="J109" s="65" t="s">
        <v>331</v>
      </c>
    </row>
    <row r="110" spans="2:10" ht="15">
      <c r="B110" s="396"/>
      <c r="C110" s="71"/>
      <c r="D110" s="71"/>
      <c r="F110" s="71"/>
      <c r="G110" s="71"/>
      <c r="H110" s="71"/>
      <c r="I110" s="73"/>
      <c r="J110" s="65" t="s">
        <v>331</v>
      </c>
    </row>
    <row r="111" spans="2:10" ht="15">
      <c r="B111" s="396"/>
      <c r="C111" s="71"/>
      <c r="D111" s="71"/>
      <c r="F111" s="71"/>
      <c r="G111" s="71"/>
      <c r="H111" s="71"/>
      <c r="I111" s="73"/>
      <c r="J111" s="65" t="s">
        <v>331</v>
      </c>
    </row>
    <row r="112" spans="2:10" ht="15">
      <c r="B112" s="396"/>
      <c r="C112" s="71"/>
      <c r="D112" s="71"/>
      <c r="F112" s="71"/>
      <c r="G112" s="71"/>
      <c r="H112" s="71"/>
      <c r="I112" s="73"/>
      <c r="J112" s="65" t="s">
        <v>331</v>
      </c>
    </row>
    <row r="113" spans="2:10" ht="15">
      <c r="B113" s="396"/>
      <c r="C113" s="71"/>
      <c r="D113" s="71"/>
      <c r="F113" s="71"/>
      <c r="G113" s="71"/>
      <c r="H113" s="71"/>
      <c r="I113" s="73"/>
      <c r="J113" s="65" t="s">
        <v>331</v>
      </c>
    </row>
    <row r="114" spans="2:10" ht="15">
      <c r="B114" s="396"/>
      <c r="C114" s="71"/>
      <c r="D114" s="71"/>
      <c r="F114" s="71"/>
      <c r="G114" s="71"/>
      <c r="H114" s="71"/>
      <c r="I114" s="73"/>
      <c r="J114" s="65" t="s">
        <v>331</v>
      </c>
    </row>
    <row r="115" spans="2:10" ht="15">
      <c r="B115" s="396"/>
      <c r="C115" s="71"/>
      <c r="D115" s="71"/>
      <c r="F115" s="71"/>
      <c r="G115" s="71"/>
      <c r="H115" s="71"/>
      <c r="I115" s="73"/>
      <c r="J115" s="65" t="s">
        <v>331</v>
      </c>
    </row>
    <row r="116" spans="2:10" ht="15">
      <c r="B116" s="396"/>
      <c r="C116" s="71"/>
      <c r="D116" s="71"/>
      <c r="F116" s="71"/>
      <c r="G116" s="71"/>
      <c r="H116" s="71"/>
      <c r="I116" s="73"/>
      <c r="J116" s="65" t="s">
        <v>331</v>
      </c>
    </row>
    <row r="117" spans="2:10" ht="15">
      <c r="B117" s="396"/>
      <c r="C117" s="71"/>
      <c r="D117" s="71"/>
      <c r="F117" s="71"/>
      <c r="G117" s="71"/>
      <c r="H117" s="71"/>
      <c r="I117" s="73"/>
      <c r="J117" s="65" t="s">
        <v>331</v>
      </c>
    </row>
    <row r="118" spans="2:10" ht="15">
      <c r="B118" s="396"/>
      <c r="C118" s="71"/>
      <c r="D118" s="71"/>
      <c r="F118" s="71"/>
      <c r="G118" s="71"/>
      <c r="H118" s="71"/>
      <c r="I118" s="73"/>
      <c r="J118" s="65" t="s">
        <v>331</v>
      </c>
    </row>
    <row r="119" spans="2:10" ht="15">
      <c r="B119" s="396"/>
      <c r="C119" s="71"/>
      <c r="D119" s="71"/>
      <c r="F119" s="71"/>
      <c r="G119" s="71"/>
      <c r="H119" s="71"/>
      <c r="I119" s="73"/>
      <c r="J119" s="65" t="s">
        <v>331</v>
      </c>
    </row>
    <row r="120" spans="2:10" ht="15">
      <c r="B120" s="396"/>
      <c r="C120" s="71"/>
      <c r="D120" s="71"/>
      <c r="F120" s="71"/>
      <c r="G120" s="71"/>
      <c r="H120" s="71"/>
      <c r="I120" s="73"/>
      <c r="J120" s="65" t="s">
        <v>331</v>
      </c>
    </row>
    <row r="121" spans="2:10" ht="15">
      <c r="B121" s="396"/>
      <c r="C121" s="71"/>
      <c r="D121" s="71"/>
      <c r="F121" s="71"/>
      <c r="G121" s="71"/>
      <c r="H121" s="71"/>
      <c r="I121" s="73"/>
      <c r="J121" s="65" t="s">
        <v>331</v>
      </c>
    </row>
    <row r="122" spans="2:10" ht="15">
      <c r="B122" s="396"/>
      <c r="C122" s="71"/>
      <c r="D122" s="71"/>
      <c r="F122" s="71"/>
      <c r="G122" s="71"/>
      <c r="H122" s="71"/>
      <c r="I122" s="73"/>
      <c r="J122" s="65" t="s">
        <v>331</v>
      </c>
    </row>
    <row r="123" spans="2:10" ht="15">
      <c r="B123" s="396"/>
      <c r="C123" s="71"/>
      <c r="D123" s="71"/>
      <c r="F123" s="71"/>
      <c r="G123" s="71"/>
      <c r="H123" s="71"/>
      <c r="I123" s="73"/>
      <c r="J123" s="65" t="s">
        <v>331</v>
      </c>
    </row>
    <row r="124" spans="2:10" ht="15">
      <c r="B124" s="396"/>
      <c r="C124" s="71"/>
      <c r="D124" s="71"/>
      <c r="F124" s="71"/>
      <c r="G124" s="71"/>
      <c r="H124" s="71"/>
      <c r="I124" s="73"/>
      <c r="J124" s="65" t="s">
        <v>331</v>
      </c>
    </row>
    <row r="125" spans="2:10" ht="15">
      <c r="B125" s="396"/>
      <c r="C125" s="71"/>
      <c r="D125" s="71"/>
      <c r="F125" s="71"/>
      <c r="G125" s="71"/>
      <c r="H125" s="71"/>
      <c r="I125" s="73"/>
      <c r="J125" s="65" t="s">
        <v>331</v>
      </c>
    </row>
    <row r="126" spans="2:10" ht="15">
      <c r="B126" s="396"/>
      <c r="C126" s="71"/>
      <c r="D126" s="71"/>
      <c r="F126" s="71"/>
      <c r="G126" s="71"/>
      <c r="H126" s="71"/>
      <c r="I126" s="73"/>
      <c r="J126" s="65" t="s">
        <v>331</v>
      </c>
    </row>
    <row r="127" spans="2:10" ht="15">
      <c r="B127" s="396"/>
      <c r="C127" s="71"/>
      <c r="D127" s="71"/>
      <c r="F127" s="71"/>
      <c r="G127" s="71"/>
      <c r="H127" s="71"/>
      <c r="I127" s="73"/>
      <c r="J127" s="65" t="s">
        <v>331</v>
      </c>
    </row>
    <row r="128" spans="2:10" ht="15">
      <c r="B128" s="396"/>
      <c r="C128" s="71"/>
      <c r="D128" s="71"/>
      <c r="F128" s="71"/>
      <c r="G128" s="71"/>
      <c r="H128" s="71"/>
      <c r="I128" s="73"/>
      <c r="J128" s="65" t="s">
        <v>331</v>
      </c>
    </row>
    <row r="129" spans="2:10" ht="15">
      <c r="B129" s="396"/>
      <c r="C129" s="71"/>
      <c r="D129" s="71"/>
      <c r="F129" s="71"/>
      <c r="G129" s="71"/>
      <c r="H129" s="71"/>
      <c r="I129" s="73"/>
      <c r="J129" s="65" t="s">
        <v>331</v>
      </c>
    </row>
    <row r="130" spans="2:10" ht="15">
      <c r="B130" s="396"/>
      <c r="C130" s="71"/>
      <c r="D130" s="71"/>
      <c r="F130" s="71"/>
      <c r="G130" s="71"/>
      <c r="H130" s="71"/>
      <c r="I130" s="73"/>
      <c r="J130" s="65" t="s">
        <v>331</v>
      </c>
    </row>
    <row r="131" spans="2:10" ht="15">
      <c r="B131" s="396"/>
      <c r="C131" s="71"/>
      <c r="D131" s="71"/>
      <c r="F131" s="71"/>
      <c r="G131" s="71"/>
      <c r="H131" s="71"/>
      <c r="I131" s="73"/>
      <c r="J131" s="65" t="s">
        <v>331</v>
      </c>
    </row>
    <row r="132" spans="2:10" ht="15">
      <c r="B132" s="396"/>
      <c r="C132" s="71"/>
      <c r="D132" s="71"/>
      <c r="F132" s="71"/>
      <c r="G132" s="71"/>
      <c r="H132" s="71"/>
      <c r="I132" s="73"/>
      <c r="J132" s="65" t="s">
        <v>331</v>
      </c>
    </row>
    <row r="133" spans="2:10" ht="15">
      <c r="B133" s="396"/>
      <c r="C133" s="71"/>
      <c r="D133" s="71"/>
      <c r="F133" s="71"/>
      <c r="G133" s="71"/>
      <c r="H133" s="71"/>
      <c r="I133" s="73"/>
      <c r="J133" s="65" t="s">
        <v>331</v>
      </c>
    </row>
    <row r="134" spans="2:10" ht="15">
      <c r="B134" s="396"/>
      <c r="C134" s="71"/>
      <c r="D134" s="71"/>
      <c r="F134" s="71"/>
      <c r="G134" s="71"/>
      <c r="H134" s="71"/>
      <c r="I134" s="73"/>
      <c r="J134" s="65" t="s">
        <v>331</v>
      </c>
    </row>
    <row r="135" spans="2:10" ht="15">
      <c r="B135" s="396"/>
      <c r="C135" s="71"/>
      <c r="D135" s="71"/>
      <c r="F135" s="71"/>
      <c r="G135" s="71"/>
      <c r="H135" s="71"/>
      <c r="I135" s="73"/>
      <c r="J135" s="65" t="s">
        <v>331</v>
      </c>
    </row>
    <row r="136" spans="2:10" ht="15">
      <c r="B136" s="396"/>
      <c r="C136" s="71"/>
      <c r="D136" s="71"/>
      <c r="F136" s="71"/>
      <c r="G136" s="71"/>
      <c r="H136" s="71"/>
      <c r="I136" s="73"/>
      <c r="J136" s="65" t="s">
        <v>331</v>
      </c>
    </row>
    <row r="137" spans="2:10" ht="15">
      <c r="B137" s="396"/>
      <c r="C137" s="71"/>
      <c r="D137" s="71"/>
      <c r="F137" s="71"/>
      <c r="G137" s="71"/>
      <c r="H137" s="71"/>
      <c r="I137" s="73"/>
      <c r="J137" s="65" t="s">
        <v>331</v>
      </c>
    </row>
    <row r="138" spans="2:10" ht="15">
      <c r="B138" s="396"/>
      <c r="C138" s="71"/>
      <c r="D138" s="71"/>
      <c r="F138" s="71"/>
      <c r="G138" s="71"/>
      <c r="H138" s="71"/>
      <c r="I138" s="73"/>
      <c r="J138" s="65" t="s">
        <v>331</v>
      </c>
    </row>
    <row r="139" spans="2:10" ht="15">
      <c r="B139" s="396"/>
      <c r="C139" s="71"/>
      <c r="D139" s="71"/>
      <c r="F139" s="71"/>
      <c r="G139" s="71"/>
      <c r="H139" s="71"/>
      <c r="I139" s="73"/>
      <c r="J139" s="65" t="s">
        <v>331</v>
      </c>
    </row>
    <row r="140" spans="2:10" ht="15">
      <c r="B140" s="396"/>
      <c r="C140" s="71"/>
      <c r="D140" s="71"/>
      <c r="F140" s="71"/>
      <c r="G140" s="71"/>
      <c r="H140" s="71"/>
      <c r="I140" s="73"/>
      <c r="J140" s="65" t="s">
        <v>331</v>
      </c>
    </row>
    <row r="141" spans="2:10" ht="15">
      <c r="B141" s="396"/>
      <c r="C141" s="71"/>
      <c r="D141" s="71"/>
      <c r="F141" s="71"/>
      <c r="G141" s="71"/>
      <c r="H141" s="71"/>
      <c r="I141" s="73"/>
      <c r="J141" s="65" t="s">
        <v>331</v>
      </c>
    </row>
    <row r="142" spans="2:10" ht="15">
      <c r="B142" s="396"/>
      <c r="C142" s="71"/>
      <c r="D142" s="71"/>
      <c r="F142" s="71"/>
      <c r="G142" s="71"/>
      <c r="H142" s="71"/>
      <c r="I142" s="73"/>
      <c r="J142" s="65" t="s">
        <v>331</v>
      </c>
    </row>
    <row r="143" spans="2:10" ht="15">
      <c r="B143" s="396"/>
      <c r="C143" s="71"/>
      <c r="D143" s="71"/>
      <c r="F143" s="71"/>
      <c r="G143" s="71"/>
      <c r="H143" s="71"/>
      <c r="I143" s="73"/>
      <c r="J143" s="65" t="s">
        <v>331</v>
      </c>
    </row>
    <row r="144" spans="2:10" ht="15">
      <c r="B144" s="396"/>
      <c r="C144" s="71"/>
      <c r="D144" s="71"/>
      <c r="F144" s="71"/>
      <c r="G144" s="71"/>
      <c r="H144" s="71"/>
      <c r="I144" s="73"/>
      <c r="J144" s="65" t="s">
        <v>331</v>
      </c>
    </row>
    <row r="145" spans="2:10" ht="15">
      <c r="B145" s="396"/>
      <c r="C145" s="71"/>
      <c r="D145" s="71"/>
      <c r="F145" s="71"/>
      <c r="G145" s="71"/>
      <c r="H145" s="71"/>
      <c r="I145" s="73"/>
      <c r="J145" s="65" t="s">
        <v>331</v>
      </c>
    </row>
    <row r="146" spans="2:10" ht="15">
      <c r="B146" s="396"/>
      <c r="C146" s="71"/>
      <c r="D146" s="71"/>
      <c r="F146" s="71"/>
      <c r="G146" s="71"/>
      <c r="H146" s="71"/>
      <c r="I146" s="73"/>
      <c r="J146" s="65" t="s">
        <v>331</v>
      </c>
    </row>
    <row r="147" spans="2:10" ht="15">
      <c r="B147" s="396"/>
      <c r="C147" s="71"/>
      <c r="D147" s="71"/>
      <c r="F147" s="71"/>
      <c r="G147" s="71"/>
      <c r="H147" s="71"/>
      <c r="I147" s="73"/>
      <c r="J147" s="65" t="s">
        <v>331</v>
      </c>
    </row>
    <row r="148" spans="2:10" ht="15">
      <c r="B148" s="396"/>
      <c r="C148" s="71"/>
      <c r="D148" s="71"/>
      <c r="F148" s="71"/>
      <c r="G148" s="71"/>
      <c r="H148" s="71"/>
      <c r="I148" s="73"/>
      <c r="J148" s="65" t="s">
        <v>331</v>
      </c>
    </row>
    <row r="149" spans="2:10" ht="15">
      <c r="B149" s="396"/>
      <c r="C149" s="71"/>
      <c r="D149" s="71"/>
      <c r="F149" s="71"/>
      <c r="G149" s="71"/>
      <c r="H149" s="71"/>
      <c r="I149" s="73"/>
      <c r="J149" s="65" t="s">
        <v>331</v>
      </c>
    </row>
    <row r="150" spans="2:10" ht="15">
      <c r="B150" s="396"/>
      <c r="C150" s="71"/>
      <c r="D150" s="71"/>
      <c r="F150" s="71"/>
      <c r="G150" s="71"/>
      <c r="H150" s="71"/>
      <c r="I150" s="73"/>
      <c r="J150" s="65" t="s">
        <v>331</v>
      </c>
    </row>
    <row r="151" spans="2:10" ht="15">
      <c r="B151" s="396"/>
      <c r="C151" s="71"/>
      <c r="D151" s="71"/>
      <c r="F151" s="71"/>
      <c r="G151" s="71"/>
      <c r="H151" s="71"/>
      <c r="I151" s="73"/>
      <c r="J151" s="65" t="s">
        <v>331</v>
      </c>
    </row>
    <row r="152" spans="2:10" ht="15">
      <c r="B152" s="396"/>
      <c r="C152" s="71"/>
      <c r="D152" s="71"/>
      <c r="F152" s="71"/>
      <c r="G152" s="71"/>
      <c r="H152" s="71"/>
      <c r="I152" s="73"/>
      <c r="J152" s="65" t="s">
        <v>331</v>
      </c>
    </row>
    <row r="153" spans="2:10" ht="15">
      <c r="B153" s="396"/>
      <c r="C153" s="71"/>
      <c r="D153" s="71"/>
      <c r="F153" s="71"/>
      <c r="G153" s="71"/>
      <c r="H153" s="71"/>
      <c r="I153" s="73"/>
      <c r="J153" s="65" t="s">
        <v>331</v>
      </c>
    </row>
    <row r="154" spans="2:10" ht="15">
      <c r="B154" s="396"/>
      <c r="C154" s="71"/>
      <c r="D154" s="71"/>
      <c r="F154" s="71"/>
      <c r="G154" s="71"/>
      <c r="H154" s="71"/>
      <c r="I154" s="73"/>
      <c r="J154" s="65" t="s">
        <v>331</v>
      </c>
    </row>
    <row r="155" spans="2:10" ht="15">
      <c r="B155" s="396"/>
      <c r="C155" s="71"/>
      <c r="D155" s="71"/>
      <c r="F155" s="71"/>
      <c r="G155" s="71"/>
      <c r="H155" s="71"/>
      <c r="I155" s="73"/>
      <c r="J155" s="65" t="s">
        <v>331</v>
      </c>
    </row>
    <row r="156" spans="2:10" ht="15">
      <c r="B156" s="396"/>
      <c r="C156" s="71"/>
      <c r="D156" s="71"/>
      <c r="F156" s="71"/>
      <c r="G156" s="71"/>
      <c r="H156" s="71"/>
      <c r="I156" s="73"/>
      <c r="J156" s="65" t="s">
        <v>331</v>
      </c>
    </row>
    <row r="157" spans="2:10" ht="15">
      <c r="B157" s="396"/>
      <c r="C157" s="71"/>
      <c r="D157" s="71"/>
      <c r="F157" s="71"/>
      <c r="G157" s="71"/>
      <c r="H157" s="71"/>
      <c r="I157" s="73"/>
      <c r="J157" s="65" t="s">
        <v>331</v>
      </c>
    </row>
    <row r="158" spans="2:10" ht="15">
      <c r="B158" s="396"/>
      <c r="C158" s="71"/>
      <c r="D158" s="71"/>
      <c r="F158" s="71"/>
      <c r="G158" s="71"/>
      <c r="H158" s="71"/>
      <c r="I158" s="73"/>
      <c r="J158" s="65" t="s">
        <v>331</v>
      </c>
    </row>
    <row r="159" spans="2:10" ht="15">
      <c r="B159" s="396"/>
      <c r="C159" s="71"/>
      <c r="D159" s="71"/>
      <c r="F159" s="71"/>
      <c r="G159" s="71"/>
      <c r="H159" s="71"/>
      <c r="I159" s="73"/>
      <c r="J159" s="65" t="s">
        <v>331</v>
      </c>
    </row>
    <row r="160" spans="2:10" ht="15">
      <c r="B160" s="396"/>
      <c r="C160" s="71"/>
      <c r="D160" s="71"/>
      <c r="F160" s="71"/>
      <c r="G160" s="71"/>
      <c r="H160" s="71"/>
      <c r="I160" s="73"/>
      <c r="J160" s="65" t="s">
        <v>331</v>
      </c>
    </row>
    <row r="161" spans="2:10" ht="15">
      <c r="B161" s="396"/>
      <c r="C161" s="71"/>
      <c r="D161" s="71"/>
      <c r="F161" s="71"/>
      <c r="G161" s="71"/>
      <c r="H161" s="71"/>
      <c r="I161" s="73"/>
      <c r="J161" s="65" t="s">
        <v>331</v>
      </c>
    </row>
    <row r="162" spans="2:10" ht="15">
      <c r="B162" s="396"/>
      <c r="C162" s="71"/>
      <c r="D162" s="71"/>
      <c r="F162" s="71"/>
      <c r="G162" s="71"/>
      <c r="H162" s="71"/>
      <c r="I162" s="73"/>
      <c r="J162" s="65" t="s">
        <v>331</v>
      </c>
    </row>
    <row r="163" spans="2:10" ht="15">
      <c r="B163" s="396"/>
      <c r="C163" s="71"/>
      <c r="D163" s="71"/>
      <c r="F163" s="71"/>
      <c r="G163" s="71"/>
      <c r="H163" s="71"/>
      <c r="I163" s="73"/>
      <c r="J163" s="65" t="s">
        <v>331</v>
      </c>
    </row>
    <row r="164" spans="2:10" ht="15">
      <c r="B164" s="396"/>
      <c r="C164" s="71"/>
      <c r="D164" s="71"/>
      <c r="F164" s="71"/>
      <c r="G164" s="71"/>
      <c r="H164" s="71"/>
      <c r="I164" s="73"/>
      <c r="J164" s="65" t="s">
        <v>331</v>
      </c>
    </row>
    <row r="165" spans="2:10" ht="15">
      <c r="B165" s="396"/>
      <c r="C165" s="71"/>
      <c r="D165" s="71"/>
      <c r="F165" s="71"/>
      <c r="G165" s="71"/>
      <c r="H165" s="71"/>
      <c r="I165" s="73"/>
      <c r="J165" s="65" t="s">
        <v>331</v>
      </c>
    </row>
    <row r="166" spans="2:10" ht="15">
      <c r="B166" s="396"/>
      <c r="C166" s="71"/>
      <c r="D166" s="71"/>
      <c r="F166" s="71"/>
      <c r="G166" s="71"/>
      <c r="H166" s="71"/>
      <c r="I166" s="73"/>
      <c r="J166" s="65" t="s">
        <v>331</v>
      </c>
    </row>
    <row r="167" spans="2:10" ht="15">
      <c r="B167" s="396"/>
      <c r="C167" s="71"/>
      <c r="D167" s="71"/>
      <c r="F167" s="71"/>
      <c r="G167" s="71"/>
      <c r="H167" s="71"/>
      <c r="I167" s="73"/>
      <c r="J167" s="65" t="s">
        <v>331</v>
      </c>
    </row>
    <row r="168" spans="2:10" ht="15">
      <c r="B168" s="396"/>
      <c r="C168" s="71"/>
      <c r="D168" s="71"/>
      <c r="F168" s="71"/>
      <c r="G168" s="71"/>
      <c r="H168" s="71"/>
      <c r="I168" s="73"/>
      <c r="J168" s="65" t="s">
        <v>331</v>
      </c>
    </row>
    <row r="169" spans="2:10" ht="15">
      <c r="B169" s="396"/>
      <c r="C169" s="71"/>
      <c r="D169" s="71"/>
      <c r="F169" s="71"/>
      <c r="G169" s="71"/>
      <c r="H169" s="71"/>
      <c r="I169" s="73"/>
      <c r="J169" s="65" t="s">
        <v>331</v>
      </c>
    </row>
    <row r="170" spans="2:10" ht="15">
      <c r="B170" s="396"/>
      <c r="C170" s="71"/>
      <c r="D170" s="71"/>
      <c r="F170" s="71"/>
      <c r="G170" s="71"/>
      <c r="H170" s="71"/>
      <c r="I170" s="73"/>
      <c r="J170" s="65" t="s">
        <v>331</v>
      </c>
    </row>
    <row r="171" spans="2:10" ht="15">
      <c r="B171" s="396"/>
      <c r="C171" s="71"/>
      <c r="D171" s="71"/>
      <c r="F171" s="71"/>
      <c r="G171" s="71"/>
      <c r="H171" s="71"/>
      <c r="I171" s="73"/>
      <c r="J171" s="65" t="s">
        <v>331</v>
      </c>
    </row>
    <row r="172" spans="2:10" ht="15">
      <c r="B172" s="396"/>
      <c r="C172" s="71"/>
      <c r="D172" s="71"/>
      <c r="F172" s="71"/>
      <c r="G172" s="71"/>
      <c r="H172" s="71"/>
      <c r="I172" s="73"/>
      <c r="J172" s="65" t="s">
        <v>331</v>
      </c>
    </row>
    <row r="173" spans="2:10" ht="15">
      <c r="B173" s="396"/>
      <c r="C173" s="71"/>
      <c r="D173" s="71"/>
      <c r="F173" s="71"/>
      <c r="G173" s="71"/>
      <c r="H173" s="71"/>
      <c r="I173" s="73"/>
      <c r="J173" s="65" t="s">
        <v>331</v>
      </c>
    </row>
    <row r="174" spans="2:10" ht="15">
      <c r="B174" s="396"/>
      <c r="C174" s="71"/>
      <c r="D174" s="71"/>
      <c r="F174" s="71"/>
      <c r="G174" s="71"/>
      <c r="H174" s="71"/>
      <c r="I174" s="73"/>
      <c r="J174" s="65" t="s">
        <v>331</v>
      </c>
    </row>
    <row r="175" spans="2:10" ht="15">
      <c r="B175" s="396"/>
      <c r="C175" s="71"/>
      <c r="D175" s="71"/>
      <c r="F175" s="71"/>
      <c r="G175" s="71"/>
      <c r="H175" s="71"/>
      <c r="I175" s="73"/>
      <c r="J175" s="65" t="s">
        <v>331</v>
      </c>
    </row>
    <row r="176" spans="2:10" ht="15">
      <c r="B176" s="396"/>
      <c r="C176" s="71"/>
      <c r="D176" s="71"/>
      <c r="F176" s="71"/>
      <c r="G176" s="71"/>
      <c r="H176" s="71"/>
      <c r="I176" s="73"/>
      <c r="J176" s="65" t="s">
        <v>331</v>
      </c>
    </row>
    <row r="177" spans="2:10" ht="15">
      <c r="B177" s="396"/>
      <c r="C177" s="71"/>
      <c r="D177" s="71"/>
      <c r="F177" s="71"/>
      <c r="G177" s="71"/>
      <c r="H177" s="71"/>
      <c r="I177" s="73"/>
      <c r="J177" s="65" t="s">
        <v>331</v>
      </c>
    </row>
    <row r="178" spans="2:10" ht="15">
      <c r="B178" s="396"/>
      <c r="C178" s="71"/>
      <c r="D178" s="71"/>
      <c r="F178" s="71"/>
      <c r="G178" s="71"/>
      <c r="H178" s="71"/>
      <c r="I178" s="73"/>
      <c r="J178" s="65" t="s">
        <v>331</v>
      </c>
    </row>
    <row r="179" spans="2:10" ht="15">
      <c r="B179" s="396"/>
      <c r="C179" s="71"/>
      <c r="D179" s="71"/>
      <c r="F179" s="71"/>
      <c r="G179" s="71"/>
      <c r="H179" s="71"/>
      <c r="I179" s="73"/>
      <c r="J179" s="65" t="s">
        <v>331</v>
      </c>
    </row>
    <row r="180" spans="2:10" ht="15">
      <c r="B180" s="396"/>
      <c r="C180" s="71"/>
      <c r="D180" s="71"/>
      <c r="F180" s="71"/>
      <c r="G180" s="71"/>
      <c r="H180" s="71"/>
      <c r="I180" s="73"/>
      <c r="J180" s="65" t="s">
        <v>331</v>
      </c>
    </row>
    <row r="181" spans="2:10" ht="15">
      <c r="B181" s="396"/>
      <c r="C181" s="71"/>
      <c r="D181" s="71"/>
      <c r="F181" s="71"/>
      <c r="G181" s="71"/>
      <c r="H181" s="71"/>
      <c r="I181" s="73"/>
      <c r="J181" s="65" t="s">
        <v>331</v>
      </c>
    </row>
    <row r="182" spans="2:10" ht="15">
      <c r="B182" s="396"/>
      <c r="C182" s="71"/>
      <c r="D182" s="71"/>
      <c r="F182" s="71"/>
      <c r="G182" s="71"/>
      <c r="H182" s="71"/>
      <c r="I182" s="73"/>
      <c r="J182" s="65" t="s">
        <v>331</v>
      </c>
    </row>
    <row r="183" spans="2:10" ht="15">
      <c r="B183" s="396"/>
      <c r="C183" s="71"/>
      <c r="D183" s="71"/>
      <c r="F183" s="71"/>
      <c r="G183" s="71"/>
      <c r="H183" s="71"/>
      <c r="I183" s="73"/>
      <c r="J183" s="65" t="s">
        <v>331</v>
      </c>
    </row>
    <row r="184" spans="2:10" ht="15">
      <c r="B184" s="396"/>
      <c r="C184" s="71"/>
      <c r="D184" s="71"/>
      <c r="F184" s="71"/>
      <c r="G184" s="71"/>
      <c r="H184" s="71"/>
      <c r="I184" s="73"/>
      <c r="J184" s="65" t="s">
        <v>331</v>
      </c>
    </row>
    <row r="185" spans="2:10" ht="15">
      <c r="B185" s="396"/>
      <c r="C185" s="71"/>
      <c r="D185" s="71"/>
      <c r="F185" s="71"/>
      <c r="G185" s="71"/>
      <c r="H185" s="71"/>
      <c r="I185" s="73"/>
      <c r="J185" s="65" t="s">
        <v>331</v>
      </c>
    </row>
    <row r="186" spans="2:10" ht="15">
      <c r="B186" s="396"/>
      <c r="C186" s="71"/>
      <c r="D186" s="71"/>
      <c r="F186" s="71"/>
      <c r="G186" s="71"/>
      <c r="H186" s="71"/>
      <c r="I186" s="73"/>
      <c r="J186" s="65" t="s">
        <v>331</v>
      </c>
    </row>
    <row r="187" spans="2:10" ht="15">
      <c r="B187" s="396"/>
      <c r="C187" s="71"/>
      <c r="D187" s="71"/>
      <c r="F187" s="71"/>
      <c r="G187" s="71"/>
      <c r="H187" s="71"/>
      <c r="I187" s="73"/>
      <c r="J187" s="65" t="s">
        <v>331</v>
      </c>
    </row>
    <row r="188" spans="2:10" ht="15">
      <c r="B188" s="396"/>
      <c r="C188" s="71"/>
      <c r="D188" s="71"/>
      <c r="F188" s="71"/>
      <c r="G188" s="71"/>
      <c r="H188" s="71"/>
      <c r="I188" s="73"/>
      <c r="J188" s="65" t="s">
        <v>331</v>
      </c>
    </row>
    <row r="189" spans="2:10" ht="15">
      <c r="B189" s="396"/>
      <c r="C189" s="71"/>
      <c r="D189" s="71"/>
      <c r="F189" s="71"/>
      <c r="G189" s="71"/>
      <c r="H189" s="71"/>
      <c r="I189" s="73"/>
      <c r="J189" s="65" t="s">
        <v>331</v>
      </c>
    </row>
    <row r="190" spans="2:10" ht="15">
      <c r="B190" s="396"/>
      <c r="C190" s="71"/>
      <c r="D190" s="71"/>
      <c r="F190" s="71"/>
      <c r="G190" s="71"/>
      <c r="H190" s="71"/>
      <c r="I190" s="73"/>
      <c r="J190" s="65" t="s">
        <v>331</v>
      </c>
    </row>
    <row r="191" spans="2:10" ht="15">
      <c r="B191" s="396"/>
      <c r="C191" s="71"/>
      <c r="D191" s="71"/>
      <c r="F191" s="71"/>
      <c r="G191" s="71"/>
      <c r="H191" s="71"/>
      <c r="I191" s="73"/>
      <c r="J191" s="65" t="s">
        <v>331</v>
      </c>
    </row>
    <row r="192" spans="2:10" ht="15">
      <c r="B192" s="396"/>
      <c r="C192" s="71"/>
      <c r="D192" s="71"/>
      <c r="F192" s="71"/>
      <c r="G192" s="71"/>
      <c r="H192" s="71"/>
      <c r="I192" s="73"/>
      <c r="J192" s="65" t="s">
        <v>331</v>
      </c>
    </row>
    <row r="193" spans="2:10" ht="15">
      <c r="B193" s="396"/>
      <c r="C193" s="71"/>
      <c r="D193" s="71"/>
      <c r="F193" s="71"/>
      <c r="G193" s="71"/>
      <c r="H193" s="71"/>
      <c r="I193" s="73"/>
      <c r="J193" s="65" t="s">
        <v>331</v>
      </c>
    </row>
    <row r="194" spans="2:10" ht="15">
      <c r="B194" s="396"/>
      <c r="C194" s="71"/>
      <c r="D194" s="71"/>
      <c r="F194" s="71"/>
      <c r="G194" s="71"/>
      <c r="H194" s="71"/>
      <c r="I194" s="73"/>
      <c r="J194" s="65" t="s">
        <v>331</v>
      </c>
    </row>
    <row r="195" spans="2:10" ht="15">
      <c r="B195" s="396"/>
      <c r="C195" s="71"/>
      <c r="D195" s="71"/>
      <c r="F195" s="71"/>
      <c r="G195" s="71"/>
      <c r="H195" s="71"/>
      <c r="I195" s="73"/>
      <c r="J195" s="65" t="s">
        <v>331</v>
      </c>
    </row>
    <row r="196" spans="2:10" ht="15">
      <c r="B196" s="396"/>
      <c r="C196" s="71"/>
      <c r="D196" s="71"/>
      <c r="F196" s="71"/>
      <c r="G196" s="71"/>
      <c r="H196" s="71"/>
      <c r="I196" s="73"/>
      <c r="J196" s="65" t="s">
        <v>331</v>
      </c>
    </row>
    <row r="197" spans="2:10" ht="15">
      <c r="B197" s="396"/>
      <c r="C197" s="71"/>
      <c r="D197" s="71"/>
      <c r="F197" s="71"/>
      <c r="G197" s="71"/>
      <c r="H197" s="71"/>
      <c r="I197" s="73"/>
      <c r="J197" s="65" t="s">
        <v>331</v>
      </c>
    </row>
    <row r="198" spans="2:10" ht="15">
      <c r="B198" s="396"/>
      <c r="C198" s="71"/>
      <c r="D198" s="71"/>
      <c r="F198" s="71"/>
      <c r="G198" s="71"/>
      <c r="H198" s="71"/>
      <c r="I198" s="73"/>
      <c r="J198" s="65" t="s">
        <v>331</v>
      </c>
    </row>
    <row r="199" spans="2:10" ht="15">
      <c r="B199" s="396"/>
      <c r="C199" s="71"/>
      <c r="D199" s="71"/>
      <c r="F199" s="71"/>
      <c r="G199" s="71"/>
      <c r="H199" s="71"/>
      <c r="I199" s="73"/>
      <c r="J199" s="65" t="s">
        <v>331</v>
      </c>
    </row>
    <row r="200" spans="2:10" ht="15">
      <c r="B200" s="396"/>
      <c r="C200" s="71"/>
      <c r="D200" s="71"/>
      <c r="F200" s="71"/>
      <c r="G200" s="71"/>
      <c r="H200" s="71"/>
      <c r="I200" s="73"/>
      <c r="J200" s="65" t="s">
        <v>331</v>
      </c>
    </row>
    <row r="201" spans="2:10" ht="15">
      <c r="B201" s="396"/>
      <c r="C201" s="71"/>
      <c r="D201" s="71"/>
      <c r="F201" s="71"/>
      <c r="G201" s="71"/>
      <c r="H201" s="71"/>
      <c r="I201" s="73"/>
      <c r="J201" s="65" t="s">
        <v>331</v>
      </c>
    </row>
    <row r="202" spans="2:10" ht="15">
      <c r="B202" s="396"/>
      <c r="C202" s="71"/>
      <c r="D202" s="71"/>
      <c r="F202" s="71"/>
      <c r="G202" s="71"/>
      <c r="H202" s="71"/>
      <c r="I202" s="73"/>
      <c r="J202" s="65" t="s">
        <v>331</v>
      </c>
    </row>
    <row r="203" spans="2:10" ht="15">
      <c r="B203" s="396"/>
      <c r="C203" s="71"/>
      <c r="D203" s="71"/>
      <c r="F203" s="71"/>
      <c r="G203" s="71"/>
      <c r="H203" s="71"/>
      <c r="I203" s="73"/>
      <c r="J203" s="65" t="s">
        <v>331</v>
      </c>
    </row>
    <row r="204" spans="2:10" ht="15">
      <c r="B204" s="396"/>
      <c r="C204" s="71"/>
      <c r="D204" s="71"/>
      <c r="F204" s="71"/>
      <c r="G204" s="71"/>
      <c r="H204" s="71"/>
      <c r="I204" s="73"/>
      <c r="J204" s="65" t="s">
        <v>331</v>
      </c>
    </row>
    <row r="205" spans="2:10" ht="15">
      <c r="B205" s="396"/>
      <c r="C205" s="71"/>
      <c r="D205" s="71"/>
      <c r="F205" s="71"/>
      <c r="G205" s="71"/>
      <c r="H205" s="71"/>
      <c r="I205" s="73"/>
      <c r="J205" s="65" t="s">
        <v>331</v>
      </c>
    </row>
    <row r="206" spans="2:10" ht="15">
      <c r="B206" s="396"/>
      <c r="C206" s="71"/>
      <c r="D206" s="71"/>
      <c r="F206" s="71"/>
      <c r="G206" s="71"/>
      <c r="H206" s="71"/>
      <c r="I206" s="73"/>
      <c r="J206" s="65" t="s">
        <v>331</v>
      </c>
    </row>
    <row r="207" spans="2:10" ht="15">
      <c r="B207" s="396"/>
      <c r="C207" s="71"/>
      <c r="D207" s="71"/>
      <c r="F207" s="71"/>
      <c r="G207" s="71"/>
      <c r="H207" s="71"/>
      <c r="I207" s="73"/>
      <c r="J207" s="65" t="s">
        <v>331</v>
      </c>
    </row>
    <row r="208" spans="2:10" ht="15">
      <c r="B208" s="396"/>
      <c r="C208" s="71"/>
      <c r="D208" s="71"/>
      <c r="F208" s="71"/>
      <c r="G208" s="71"/>
      <c r="H208" s="71"/>
      <c r="I208" s="73"/>
      <c r="J208" s="65" t="s">
        <v>331</v>
      </c>
    </row>
    <row r="209" spans="2:10" ht="15">
      <c r="B209" s="396"/>
      <c r="C209" s="71"/>
      <c r="D209" s="71"/>
      <c r="F209" s="71"/>
      <c r="G209" s="71"/>
      <c r="H209" s="71"/>
      <c r="I209" s="73"/>
      <c r="J209" s="65" t="s">
        <v>331</v>
      </c>
    </row>
    <row r="210" spans="2:10" ht="15">
      <c r="B210" s="396"/>
      <c r="C210" s="71"/>
      <c r="D210" s="71"/>
      <c r="F210" s="71"/>
      <c r="G210" s="71"/>
      <c r="H210" s="71"/>
      <c r="I210" s="73"/>
      <c r="J210" s="65" t="s">
        <v>331</v>
      </c>
    </row>
    <row r="211" spans="2:10" ht="15">
      <c r="B211" s="396"/>
      <c r="C211" s="71"/>
      <c r="D211" s="71"/>
      <c r="F211" s="71"/>
      <c r="G211" s="71"/>
      <c r="H211" s="71"/>
      <c r="I211" s="73"/>
      <c r="J211" s="65" t="s">
        <v>331</v>
      </c>
    </row>
    <row r="212" spans="2:10" ht="15">
      <c r="B212" s="396"/>
      <c r="C212" s="71"/>
      <c r="D212" s="71"/>
      <c r="F212" s="71"/>
      <c r="G212" s="71"/>
      <c r="H212" s="71"/>
      <c r="I212" s="73"/>
      <c r="J212" s="65" t="s">
        <v>331</v>
      </c>
    </row>
    <row r="213" spans="2:10" ht="15">
      <c r="B213" s="396"/>
      <c r="C213" s="71"/>
      <c r="D213" s="71"/>
      <c r="F213" s="71"/>
      <c r="G213" s="71"/>
      <c r="H213" s="71"/>
      <c r="I213" s="73"/>
      <c r="J213" s="65" t="s">
        <v>331</v>
      </c>
    </row>
    <row r="214" spans="2:10" ht="15">
      <c r="B214" s="396"/>
      <c r="C214" s="71"/>
      <c r="D214" s="71"/>
      <c r="F214" s="71"/>
      <c r="G214" s="71"/>
      <c r="H214" s="71"/>
      <c r="I214" s="73"/>
      <c r="J214" s="65" t="s">
        <v>331</v>
      </c>
    </row>
    <row r="215" spans="2:10" ht="15">
      <c r="B215" s="396"/>
      <c r="C215" s="71"/>
      <c r="D215" s="71"/>
      <c r="F215" s="71"/>
      <c r="G215" s="71"/>
      <c r="H215" s="71"/>
      <c r="I215" s="73"/>
      <c r="J215" s="65" t="s">
        <v>331</v>
      </c>
    </row>
    <row r="216" spans="2:10" ht="15">
      <c r="B216" s="396"/>
      <c r="C216" s="71"/>
      <c r="D216" s="71"/>
      <c r="F216" s="71"/>
      <c r="G216" s="71"/>
      <c r="H216" s="71"/>
      <c r="I216" s="73"/>
      <c r="J216" s="65" t="s">
        <v>331</v>
      </c>
    </row>
    <row r="217" spans="2:10" ht="15">
      <c r="B217" s="396"/>
      <c r="C217" s="71"/>
      <c r="D217" s="71"/>
      <c r="F217" s="71"/>
      <c r="G217" s="71"/>
      <c r="H217" s="71"/>
      <c r="I217" s="73"/>
      <c r="J217" s="65" t="s">
        <v>331</v>
      </c>
    </row>
    <row r="218" spans="2:10" ht="15">
      <c r="B218" s="396"/>
      <c r="C218" s="71"/>
      <c r="D218" s="71"/>
      <c r="F218" s="71"/>
      <c r="G218" s="71"/>
      <c r="H218" s="71"/>
      <c r="I218" s="73"/>
      <c r="J218" s="65" t="s">
        <v>331</v>
      </c>
    </row>
    <row r="219" spans="2:10" ht="15">
      <c r="B219" s="396"/>
      <c r="C219" s="71"/>
      <c r="D219" s="71"/>
      <c r="F219" s="71"/>
      <c r="G219" s="71"/>
      <c r="H219" s="71"/>
      <c r="I219" s="73"/>
      <c r="J219" s="65" t="s">
        <v>331</v>
      </c>
    </row>
    <row r="220" spans="2:10" ht="15">
      <c r="B220" s="396"/>
      <c r="C220" s="71"/>
      <c r="D220" s="71"/>
      <c r="F220" s="71"/>
      <c r="G220" s="71"/>
      <c r="H220" s="71"/>
      <c r="I220" s="73"/>
      <c r="J220" s="65" t="s">
        <v>331</v>
      </c>
    </row>
    <row r="221" spans="2:10" ht="15">
      <c r="B221" s="396"/>
      <c r="C221" s="71"/>
      <c r="D221" s="71"/>
      <c r="F221" s="71"/>
      <c r="G221" s="71"/>
      <c r="H221" s="71"/>
      <c r="I221" s="73"/>
      <c r="J221" s="65" t="s">
        <v>331</v>
      </c>
    </row>
    <row r="222" spans="2:10" ht="15">
      <c r="B222" s="396"/>
      <c r="C222" s="71"/>
      <c r="D222" s="71"/>
      <c r="F222" s="71"/>
      <c r="G222" s="71"/>
      <c r="H222" s="71"/>
      <c r="I222" s="73"/>
      <c r="J222" s="65" t="s">
        <v>331</v>
      </c>
    </row>
    <row r="223" spans="2:10" ht="15">
      <c r="B223" s="396"/>
      <c r="C223" s="71"/>
      <c r="D223" s="71"/>
      <c r="F223" s="71"/>
      <c r="G223" s="71"/>
      <c r="H223" s="71"/>
      <c r="I223" s="73"/>
      <c r="J223" s="65" t="s">
        <v>331</v>
      </c>
    </row>
    <row r="224" spans="2:10" ht="15">
      <c r="B224" s="396"/>
      <c r="C224" s="71"/>
      <c r="D224" s="71"/>
      <c r="F224" s="71"/>
      <c r="G224" s="71"/>
      <c r="H224" s="71"/>
      <c r="I224" s="73"/>
      <c r="J224" s="65" t="s">
        <v>331</v>
      </c>
    </row>
    <row r="225" spans="2:10" ht="15">
      <c r="B225" s="396"/>
      <c r="C225" s="71"/>
      <c r="D225" s="71"/>
      <c r="F225" s="71"/>
      <c r="G225" s="71"/>
      <c r="H225" s="71"/>
      <c r="I225" s="73"/>
      <c r="J225" s="65" t="s">
        <v>331</v>
      </c>
    </row>
    <row r="226" spans="2:10" ht="15">
      <c r="B226" s="396"/>
      <c r="C226" s="71"/>
      <c r="D226" s="71"/>
      <c r="F226" s="71"/>
      <c r="G226" s="71"/>
      <c r="H226" s="71"/>
      <c r="I226" s="73"/>
      <c r="J226" s="65" t="s">
        <v>331</v>
      </c>
    </row>
    <row r="227" spans="2:10" ht="15">
      <c r="B227" s="396"/>
      <c r="C227" s="71"/>
      <c r="D227" s="71"/>
      <c r="F227" s="71"/>
      <c r="G227" s="71"/>
      <c r="H227" s="71"/>
      <c r="I227" s="73"/>
      <c r="J227" s="65" t="s">
        <v>331</v>
      </c>
    </row>
    <row r="228" spans="2:10" ht="15">
      <c r="B228" s="396"/>
      <c r="C228" s="71"/>
      <c r="D228" s="71"/>
      <c r="F228" s="71"/>
      <c r="G228" s="71"/>
      <c r="H228" s="71"/>
      <c r="I228" s="73"/>
      <c r="J228" s="65" t="s">
        <v>331</v>
      </c>
    </row>
    <row r="229" spans="2:10" ht="15">
      <c r="B229" s="396"/>
      <c r="C229" s="71"/>
      <c r="D229" s="71"/>
      <c r="F229" s="71"/>
      <c r="G229" s="71"/>
      <c r="H229" s="71"/>
      <c r="I229" s="73"/>
      <c r="J229" s="65" t="s">
        <v>331</v>
      </c>
    </row>
    <row r="230" spans="2:10" ht="15">
      <c r="B230" s="396"/>
      <c r="C230" s="71"/>
      <c r="D230" s="71"/>
      <c r="F230" s="71"/>
      <c r="G230" s="71"/>
      <c r="H230" s="71"/>
      <c r="I230" s="73"/>
      <c r="J230" s="65" t="s">
        <v>331</v>
      </c>
    </row>
    <row r="231" spans="2:10" ht="15">
      <c r="B231" s="396"/>
      <c r="C231" s="71"/>
      <c r="D231" s="71"/>
      <c r="F231" s="71"/>
      <c r="G231" s="71"/>
      <c r="H231" s="71"/>
      <c r="I231" s="73"/>
      <c r="J231" s="65" t="s">
        <v>331</v>
      </c>
    </row>
    <row r="232" spans="2:10" ht="15">
      <c r="B232" s="396"/>
      <c r="C232" s="71"/>
      <c r="D232" s="71"/>
      <c r="F232" s="71"/>
      <c r="G232" s="71"/>
      <c r="H232" s="71"/>
      <c r="I232" s="73"/>
      <c r="J232" s="65" t="s">
        <v>331</v>
      </c>
    </row>
    <row r="233" spans="2:10" ht="15">
      <c r="B233" s="396"/>
      <c r="C233" s="71"/>
      <c r="D233" s="71"/>
      <c r="F233" s="71"/>
      <c r="G233" s="71"/>
      <c r="H233" s="71"/>
      <c r="I233" s="73"/>
      <c r="J233" s="65" t="s">
        <v>331</v>
      </c>
    </row>
    <row r="234" spans="2:10" ht="15">
      <c r="B234" s="396"/>
      <c r="C234" s="71"/>
      <c r="D234" s="71"/>
      <c r="F234" s="71"/>
      <c r="G234" s="71"/>
      <c r="H234" s="71"/>
      <c r="I234" s="73"/>
      <c r="J234" s="65" t="s">
        <v>331</v>
      </c>
    </row>
    <row r="235" spans="2:10" ht="15">
      <c r="B235" s="396"/>
      <c r="C235" s="71"/>
      <c r="D235" s="71"/>
      <c r="F235" s="71"/>
      <c r="G235" s="71"/>
      <c r="H235" s="71"/>
      <c r="I235" s="73"/>
      <c r="J235" s="65" t="s">
        <v>331</v>
      </c>
    </row>
    <row r="236" spans="2:10" ht="15">
      <c r="B236" s="396"/>
      <c r="C236" s="71"/>
      <c r="D236" s="71"/>
      <c r="F236" s="71"/>
      <c r="G236" s="71"/>
      <c r="H236" s="71"/>
      <c r="I236" s="73"/>
      <c r="J236" s="65" t="s">
        <v>331</v>
      </c>
    </row>
    <row r="237" spans="2:10" ht="15">
      <c r="B237" s="396"/>
      <c r="C237" s="71"/>
      <c r="D237" s="71"/>
      <c r="F237" s="71"/>
      <c r="G237" s="71"/>
      <c r="H237" s="71"/>
      <c r="I237" s="73"/>
      <c r="J237" s="65" t="s">
        <v>331</v>
      </c>
    </row>
    <row r="238" spans="2:10" ht="15">
      <c r="B238" s="396"/>
      <c r="C238" s="71"/>
      <c r="D238" s="71"/>
      <c r="F238" s="71"/>
      <c r="G238" s="71"/>
      <c r="H238" s="71"/>
      <c r="I238" s="73"/>
      <c r="J238" s="65" t="s">
        <v>331</v>
      </c>
    </row>
    <row r="239" spans="2:10" ht="15">
      <c r="B239" s="396"/>
      <c r="C239" s="71"/>
      <c r="D239" s="71"/>
      <c r="F239" s="71"/>
      <c r="G239" s="71"/>
      <c r="H239" s="71"/>
      <c r="I239" s="73"/>
      <c r="J239" s="65" t="s">
        <v>331</v>
      </c>
    </row>
    <row r="240" spans="2:10" ht="15">
      <c r="B240" s="396"/>
      <c r="C240" s="71"/>
      <c r="D240" s="71"/>
      <c r="F240" s="71"/>
      <c r="G240" s="71"/>
      <c r="H240" s="71"/>
      <c r="I240" s="73"/>
      <c r="J240" s="65" t="s">
        <v>331</v>
      </c>
    </row>
    <row r="241" spans="2:10" ht="15">
      <c r="B241" s="396"/>
      <c r="C241" s="71"/>
      <c r="D241" s="71"/>
      <c r="F241" s="71"/>
      <c r="G241" s="71"/>
      <c r="H241" s="71"/>
      <c r="I241" s="73"/>
      <c r="J241" s="65" t="s">
        <v>331</v>
      </c>
    </row>
    <row r="242" spans="2:10" ht="15">
      <c r="B242" s="396"/>
      <c r="C242" s="71"/>
      <c r="D242" s="71"/>
      <c r="F242" s="71"/>
      <c r="G242" s="71"/>
      <c r="H242" s="71"/>
      <c r="I242" s="73"/>
      <c r="J242" s="65" t="s">
        <v>331</v>
      </c>
    </row>
    <row r="243" spans="2:10" ht="15">
      <c r="B243" s="396"/>
      <c r="C243" s="71"/>
      <c r="D243" s="71"/>
      <c r="F243" s="71"/>
      <c r="G243" s="71"/>
      <c r="H243" s="71"/>
      <c r="I243" s="73"/>
      <c r="J243" s="65" t="s">
        <v>331</v>
      </c>
    </row>
    <row r="244" spans="2:10" ht="15">
      <c r="B244" s="396"/>
      <c r="C244" s="71"/>
      <c r="D244" s="71"/>
      <c r="F244" s="71"/>
      <c r="G244" s="71"/>
      <c r="H244" s="71"/>
      <c r="I244" s="73"/>
      <c r="J244" s="65" t="s">
        <v>331</v>
      </c>
    </row>
    <row r="245" spans="2:10" ht="15">
      <c r="B245" s="396"/>
      <c r="C245" s="71"/>
      <c r="D245" s="71"/>
      <c r="F245" s="71"/>
      <c r="G245" s="71"/>
      <c r="H245" s="71"/>
      <c r="I245" s="73"/>
      <c r="J245" s="65" t="s">
        <v>331</v>
      </c>
    </row>
    <row r="246" spans="2:10" ht="15">
      <c r="B246" s="396"/>
      <c r="C246" s="71"/>
      <c r="D246" s="71"/>
      <c r="F246" s="71"/>
      <c r="G246" s="71"/>
      <c r="H246" s="71"/>
      <c r="I246" s="73"/>
      <c r="J246" s="65" t="s">
        <v>331</v>
      </c>
    </row>
    <row r="247" spans="2:10" ht="15">
      <c r="B247" s="396"/>
      <c r="C247" s="71"/>
      <c r="D247" s="71"/>
      <c r="F247" s="71"/>
      <c r="G247" s="71"/>
      <c r="H247" s="71"/>
      <c r="I247" s="73"/>
      <c r="J247" s="65" t="s">
        <v>331</v>
      </c>
    </row>
    <row r="248" spans="2:10" ht="15">
      <c r="B248" s="396"/>
      <c r="C248" s="71"/>
      <c r="D248" s="71"/>
      <c r="F248" s="71"/>
      <c r="G248" s="71"/>
      <c r="H248" s="71"/>
      <c r="I248" s="73"/>
      <c r="J248" s="65" t="s">
        <v>331</v>
      </c>
    </row>
    <row r="249" spans="2:10" ht="15">
      <c r="B249" s="396"/>
      <c r="C249" s="71"/>
      <c r="D249" s="71"/>
      <c r="F249" s="71"/>
      <c r="G249" s="71"/>
      <c r="H249" s="71"/>
      <c r="I249" s="73"/>
      <c r="J249" s="65" t="s">
        <v>331</v>
      </c>
    </row>
    <row r="250" spans="2:10" ht="15">
      <c r="B250" s="396"/>
      <c r="C250" s="71"/>
      <c r="D250" s="71"/>
      <c r="F250" s="71"/>
      <c r="G250" s="71"/>
      <c r="H250" s="71"/>
      <c r="I250" s="73"/>
      <c r="J250" s="65" t="s">
        <v>331</v>
      </c>
    </row>
    <row r="251" spans="2:10" ht="15">
      <c r="B251" s="396"/>
      <c r="C251" s="71"/>
      <c r="D251" s="71"/>
      <c r="F251" s="71"/>
      <c r="G251" s="71"/>
      <c r="H251" s="71"/>
      <c r="I251" s="73"/>
      <c r="J251" s="65" t="s">
        <v>331</v>
      </c>
    </row>
    <row r="252" spans="2:10" ht="15">
      <c r="B252" s="396"/>
      <c r="C252" s="71"/>
      <c r="D252" s="71"/>
      <c r="F252" s="71"/>
      <c r="G252" s="71"/>
      <c r="H252" s="71"/>
      <c r="I252" s="73"/>
      <c r="J252" s="65" t="s">
        <v>331</v>
      </c>
    </row>
    <row r="253" spans="2:10" ht="15">
      <c r="B253" s="396"/>
      <c r="C253" s="71"/>
      <c r="D253" s="71"/>
      <c r="F253" s="71"/>
      <c r="G253" s="71"/>
      <c r="H253" s="71"/>
      <c r="I253" s="73"/>
      <c r="J253" s="65" t="s">
        <v>331</v>
      </c>
    </row>
    <row r="254" spans="2:10" ht="15">
      <c r="B254" s="396"/>
      <c r="C254" s="71"/>
      <c r="D254" s="71"/>
      <c r="F254" s="71"/>
      <c r="G254" s="71"/>
      <c r="H254" s="71"/>
      <c r="I254" s="73"/>
      <c r="J254" s="65" t="s">
        <v>331</v>
      </c>
    </row>
    <row r="255" spans="2:10" ht="15">
      <c r="B255" s="396"/>
      <c r="C255" s="71"/>
      <c r="D255" s="71"/>
      <c r="F255" s="71"/>
      <c r="G255" s="71"/>
      <c r="H255" s="71"/>
      <c r="I255" s="73"/>
      <c r="J255" s="65" t="s">
        <v>331</v>
      </c>
    </row>
    <row r="256" spans="2:10" ht="15">
      <c r="B256" s="396"/>
      <c r="C256" s="71"/>
      <c r="D256" s="71"/>
      <c r="F256" s="71"/>
      <c r="G256" s="71"/>
      <c r="H256" s="71"/>
      <c r="I256" s="73"/>
      <c r="J256" s="65" t="s">
        <v>331</v>
      </c>
    </row>
    <row r="257" spans="2:10" ht="15">
      <c r="B257" s="396"/>
      <c r="C257" s="71"/>
      <c r="D257" s="71"/>
      <c r="F257" s="71"/>
      <c r="G257" s="71"/>
      <c r="H257" s="71"/>
      <c r="I257" s="73"/>
      <c r="J257" s="65" t="s">
        <v>331</v>
      </c>
    </row>
    <row r="258" spans="2:10" ht="15">
      <c r="B258" s="396"/>
      <c r="C258" s="71"/>
      <c r="D258" s="71"/>
      <c r="F258" s="71"/>
      <c r="G258" s="71"/>
      <c r="H258" s="71"/>
      <c r="I258" s="73"/>
      <c r="J258" s="65" t="s">
        <v>331</v>
      </c>
    </row>
    <row r="259" spans="2:10" ht="15">
      <c r="B259" s="396"/>
      <c r="C259" s="71"/>
      <c r="D259" s="71"/>
      <c r="F259" s="71"/>
      <c r="G259" s="71"/>
      <c r="H259" s="71"/>
      <c r="I259" s="73"/>
      <c r="J259" s="65" t="s">
        <v>331</v>
      </c>
    </row>
    <row r="260" spans="2:10" ht="15">
      <c r="B260" s="396"/>
      <c r="C260" s="71"/>
      <c r="D260" s="71"/>
      <c r="F260" s="71"/>
      <c r="G260" s="71"/>
      <c r="H260" s="71"/>
      <c r="I260" s="73"/>
      <c r="J260" s="65" t="s">
        <v>331</v>
      </c>
    </row>
    <row r="261" spans="2:10" ht="15">
      <c r="B261" s="396"/>
      <c r="C261" s="71"/>
      <c r="D261" s="71"/>
      <c r="F261" s="71"/>
      <c r="G261" s="71"/>
      <c r="H261" s="71"/>
      <c r="I261" s="73"/>
      <c r="J261" s="65" t="s">
        <v>331</v>
      </c>
    </row>
    <row r="262" spans="2:10" ht="15">
      <c r="B262" s="396"/>
      <c r="C262" s="71"/>
      <c r="D262" s="71"/>
      <c r="F262" s="71"/>
      <c r="G262" s="71"/>
      <c r="H262" s="71"/>
      <c r="I262" s="73"/>
      <c r="J262" s="65" t="s">
        <v>331</v>
      </c>
    </row>
    <row r="263" spans="2:10" ht="15">
      <c r="B263" s="396"/>
      <c r="C263" s="71"/>
      <c r="D263" s="71"/>
      <c r="F263" s="71"/>
      <c r="G263" s="71"/>
      <c r="H263" s="71"/>
      <c r="I263" s="73"/>
      <c r="J263" s="65" t="s">
        <v>331</v>
      </c>
    </row>
    <row r="264" spans="2:10" ht="15">
      <c r="B264" s="396"/>
      <c r="C264" s="71"/>
      <c r="D264" s="71"/>
      <c r="F264" s="71"/>
      <c r="G264" s="71"/>
      <c r="H264" s="71"/>
      <c r="I264" s="73"/>
      <c r="J264" s="65" t="s">
        <v>331</v>
      </c>
    </row>
    <row r="265" spans="2:10" ht="15">
      <c r="B265" s="396"/>
      <c r="C265" s="71"/>
      <c r="D265" s="71"/>
      <c r="F265" s="71"/>
      <c r="G265" s="71"/>
      <c r="H265" s="71"/>
      <c r="I265" s="73"/>
      <c r="J265" s="65" t="s">
        <v>331</v>
      </c>
    </row>
    <row r="266" spans="2:10" ht="15">
      <c r="B266" s="396"/>
      <c r="C266" s="71"/>
      <c r="D266" s="71"/>
      <c r="F266" s="71"/>
      <c r="G266" s="71"/>
      <c r="H266" s="71"/>
      <c r="I266" s="73"/>
      <c r="J266" s="65" t="s">
        <v>331</v>
      </c>
    </row>
    <row r="267" spans="2:10" ht="15">
      <c r="B267" s="396"/>
      <c r="C267" s="71"/>
      <c r="D267" s="71"/>
      <c r="F267" s="71"/>
      <c r="G267" s="71"/>
      <c r="H267" s="71"/>
      <c r="I267" s="73"/>
      <c r="J267" s="65" t="s">
        <v>331</v>
      </c>
    </row>
    <row r="268" spans="2:10" ht="15">
      <c r="B268" s="396"/>
      <c r="C268" s="71"/>
      <c r="D268" s="71"/>
      <c r="F268" s="71"/>
      <c r="G268" s="71"/>
      <c r="H268" s="71"/>
      <c r="I268" s="73"/>
      <c r="J268" s="65" t="s">
        <v>331</v>
      </c>
    </row>
    <row r="269" spans="2:10" ht="15">
      <c r="B269" s="396"/>
      <c r="C269" s="71"/>
      <c r="D269" s="71"/>
      <c r="F269" s="71"/>
      <c r="G269" s="71"/>
      <c r="H269" s="71"/>
      <c r="I269" s="73"/>
      <c r="J269" s="65" t="s">
        <v>331</v>
      </c>
    </row>
    <row r="270" spans="2:10" ht="15">
      <c r="B270" s="396"/>
      <c r="C270" s="71"/>
      <c r="D270" s="71"/>
      <c r="F270" s="71"/>
      <c r="G270" s="71"/>
      <c r="H270" s="71"/>
      <c r="I270" s="73"/>
      <c r="J270" s="65" t="s">
        <v>331</v>
      </c>
    </row>
    <row r="271" spans="2:10" ht="15">
      <c r="B271" s="396"/>
      <c r="C271" s="71"/>
      <c r="D271" s="71"/>
      <c r="F271" s="71"/>
      <c r="G271" s="71"/>
      <c r="H271" s="71"/>
      <c r="I271" s="73"/>
      <c r="J271" s="65" t="s">
        <v>331</v>
      </c>
    </row>
    <row r="272" spans="2:10" ht="15">
      <c r="B272" s="396"/>
      <c r="C272" s="71"/>
      <c r="D272" s="71"/>
      <c r="F272" s="71"/>
      <c r="G272" s="71"/>
      <c r="H272" s="71"/>
      <c r="I272" s="73"/>
      <c r="J272" s="65" t="s">
        <v>331</v>
      </c>
    </row>
    <row r="273" spans="2:10" ht="15">
      <c r="B273" s="396"/>
      <c r="C273" s="71"/>
      <c r="D273" s="71"/>
      <c r="F273" s="71"/>
      <c r="G273" s="71"/>
      <c r="H273" s="71"/>
      <c r="I273" s="73"/>
      <c r="J273" s="65" t="s">
        <v>331</v>
      </c>
    </row>
    <row r="274" spans="2:10" ht="15">
      <c r="B274" s="396"/>
      <c r="C274" s="71"/>
      <c r="D274" s="71"/>
      <c r="F274" s="71"/>
      <c r="G274" s="71"/>
      <c r="H274" s="71"/>
      <c r="I274" s="73"/>
      <c r="J274" s="65" t="s">
        <v>331</v>
      </c>
    </row>
    <row r="275" spans="2:10" ht="15">
      <c r="B275" s="396"/>
      <c r="C275" s="71"/>
      <c r="D275" s="71"/>
      <c r="F275" s="71"/>
      <c r="G275" s="71"/>
      <c r="H275" s="71"/>
      <c r="I275" s="73"/>
      <c r="J275" s="65" t="s">
        <v>331</v>
      </c>
    </row>
    <row r="276" spans="2:10" ht="15">
      <c r="B276" s="396"/>
      <c r="C276" s="71"/>
      <c r="D276" s="71"/>
      <c r="F276" s="71"/>
      <c r="G276" s="71"/>
      <c r="H276" s="71"/>
      <c r="I276" s="73"/>
      <c r="J276" s="65" t="s">
        <v>331</v>
      </c>
    </row>
    <row r="277" spans="2:10" ht="15">
      <c r="B277" s="396"/>
      <c r="C277" s="71"/>
      <c r="D277" s="71"/>
      <c r="F277" s="71"/>
      <c r="G277" s="71"/>
      <c r="H277" s="71"/>
      <c r="I277" s="73"/>
      <c r="J277" s="65" t="s">
        <v>331</v>
      </c>
    </row>
    <row r="278" spans="2:10" ht="15">
      <c r="B278" s="396"/>
      <c r="C278" s="71"/>
      <c r="D278" s="71"/>
      <c r="F278" s="71"/>
      <c r="G278" s="71"/>
      <c r="H278" s="71"/>
      <c r="I278" s="73"/>
      <c r="J278" s="65" t="s">
        <v>331</v>
      </c>
    </row>
    <row r="279" spans="2:10" ht="15">
      <c r="B279" s="396"/>
      <c r="C279" s="71"/>
      <c r="D279" s="71"/>
      <c r="F279" s="71"/>
      <c r="G279" s="71"/>
      <c r="H279" s="71"/>
      <c r="I279" s="73"/>
      <c r="J279" s="65" t="s">
        <v>331</v>
      </c>
    </row>
    <row r="280" spans="2:10" ht="15">
      <c r="B280" s="396"/>
      <c r="C280" s="71"/>
      <c r="D280" s="71"/>
      <c r="F280" s="71"/>
      <c r="G280" s="71"/>
      <c r="H280" s="71"/>
      <c r="I280" s="73"/>
      <c r="J280" s="65" t="s">
        <v>331</v>
      </c>
    </row>
    <row r="281" spans="2:10" ht="15">
      <c r="B281" s="396"/>
      <c r="C281" s="71"/>
      <c r="D281" s="71"/>
      <c r="F281" s="71"/>
      <c r="G281" s="71"/>
      <c r="H281" s="71"/>
      <c r="I281" s="73"/>
      <c r="J281" s="65" t="s">
        <v>331</v>
      </c>
    </row>
    <row r="282" spans="2:10" ht="15">
      <c r="B282" s="396"/>
      <c r="C282" s="71"/>
      <c r="D282" s="71"/>
      <c r="F282" s="71"/>
      <c r="G282" s="71"/>
      <c r="H282" s="71"/>
      <c r="I282" s="73"/>
      <c r="J282" s="65" t="s">
        <v>331</v>
      </c>
    </row>
    <row r="283" spans="2:10" ht="15">
      <c r="B283" s="396"/>
      <c r="C283" s="71"/>
      <c r="D283" s="71"/>
      <c r="F283" s="71"/>
      <c r="G283" s="71"/>
      <c r="H283" s="71"/>
      <c r="I283" s="73"/>
      <c r="J283" s="65" t="s">
        <v>331</v>
      </c>
    </row>
    <row r="284" spans="2:10" ht="15">
      <c r="B284" s="396"/>
      <c r="C284" s="71"/>
      <c r="D284" s="71"/>
      <c r="F284" s="71"/>
      <c r="G284" s="71"/>
      <c r="H284" s="71"/>
      <c r="I284" s="73"/>
      <c r="J284" s="65" t="s">
        <v>331</v>
      </c>
    </row>
    <row r="285" spans="2:10" ht="15">
      <c r="B285" s="396"/>
      <c r="C285" s="71"/>
      <c r="D285" s="71"/>
      <c r="F285" s="71"/>
      <c r="G285" s="71"/>
      <c r="H285" s="71"/>
      <c r="I285" s="73"/>
      <c r="J285" s="65" t="s">
        <v>331</v>
      </c>
    </row>
    <row r="286" spans="2:10" ht="15">
      <c r="B286" s="396"/>
      <c r="C286" s="71"/>
      <c r="D286" s="71"/>
      <c r="F286" s="71"/>
      <c r="G286" s="71"/>
      <c r="H286" s="71"/>
      <c r="I286" s="73"/>
      <c r="J286" s="65" t="s">
        <v>331</v>
      </c>
    </row>
    <row r="287" spans="2:10" ht="15">
      <c r="B287" s="396"/>
      <c r="C287" s="71"/>
      <c r="D287" s="71"/>
      <c r="F287" s="71"/>
      <c r="G287" s="71"/>
      <c r="H287" s="71"/>
      <c r="I287" s="73"/>
      <c r="J287" s="65" t="s">
        <v>331</v>
      </c>
    </row>
    <row r="288" spans="2:10" ht="15">
      <c r="B288" s="396"/>
      <c r="C288" s="71"/>
      <c r="D288" s="71"/>
      <c r="F288" s="71"/>
      <c r="G288" s="71"/>
      <c r="H288" s="71"/>
      <c r="I288" s="73"/>
      <c r="J288" s="65" t="s">
        <v>331</v>
      </c>
    </row>
    <row r="289" spans="2:10" ht="15">
      <c r="B289" s="396"/>
      <c r="C289" s="71"/>
      <c r="D289" s="71"/>
      <c r="F289" s="71"/>
      <c r="G289" s="71"/>
      <c r="H289" s="71"/>
      <c r="I289" s="73"/>
      <c r="J289" s="65" t="s">
        <v>331</v>
      </c>
    </row>
    <row r="290" spans="2:10" ht="15">
      <c r="B290" s="396"/>
      <c r="C290" s="71"/>
      <c r="D290" s="71"/>
      <c r="F290" s="71"/>
      <c r="G290" s="71"/>
      <c r="H290" s="71"/>
      <c r="I290" s="73"/>
      <c r="J290" s="65" t="s">
        <v>331</v>
      </c>
    </row>
    <row r="291" spans="2:10" ht="15">
      <c r="B291" s="396"/>
      <c r="C291" s="71"/>
      <c r="D291" s="71"/>
      <c r="F291" s="71"/>
      <c r="G291" s="71"/>
      <c r="H291" s="71"/>
      <c r="I291" s="73"/>
      <c r="J291" s="65" t="s">
        <v>331</v>
      </c>
    </row>
    <row r="292" spans="2:10" ht="15">
      <c r="B292" s="396"/>
      <c r="C292" s="71"/>
      <c r="D292" s="71"/>
      <c r="F292" s="71"/>
      <c r="G292" s="71"/>
      <c r="H292" s="71"/>
      <c r="I292" s="73"/>
      <c r="J292" s="65" t="s">
        <v>331</v>
      </c>
    </row>
    <row r="293" spans="2:10" ht="15">
      <c r="B293" s="396"/>
      <c r="C293" s="71"/>
      <c r="D293" s="71"/>
      <c r="F293" s="71"/>
      <c r="G293" s="71"/>
      <c r="H293" s="71"/>
      <c r="I293" s="73"/>
      <c r="J293" s="65" t="s">
        <v>331</v>
      </c>
    </row>
    <row r="294" spans="2:10" ht="15">
      <c r="B294" s="396"/>
      <c r="C294" s="71"/>
      <c r="D294" s="71"/>
      <c r="F294" s="71"/>
      <c r="G294" s="71"/>
      <c r="H294" s="71"/>
      <c r="I294" s="73"/>
      <c r="J294" s="65" t="s">
        <v>331</v>
      </c>
    </row>
    <row r="295" spans="2:10" ht="15">
      <c r="B295" s="396"/>
      <c r="C295" s="71"/>
      <c r="D295" s="71"/>
      <c r="F295" s="71"/>
      <c r="G295" s="71"/>
      <c r="H295" s="71"/>
      <c r="I295" s="73"/>
      <c r="J295" s="65" t="s">
        <v>331</v>
      </c>
    </row>
    <row r="296" spans="2:10" ht="15">
      <c r="B296" s="396"/>
      <c r="C296" s="71"/>
      <c r="D296" s="71"/>
      <c r="F296" s="71"/>
      <c r="G296" s="71"/>
      <c r="H296" s="71"/>
      <c r="I296" s="73"/>
      <c r="J296" s="65" t="s">
        <v>331</v>
      </c>
    </row>
    <row r="297" spans="2:10" ht="15">
      <c r="B297" s="396"/>
      <c r="C297" s="71"/>
      <c r="D297" s="71"/>
      <c r="F297" s="71"/>
      <c r="G297" s="71"/>
      <c r="H297" s="71"/>
      <c r="I297" s="73"/>
      <c r="J297" s="65" t="s">
        <v>331</v>
      </c>
    </row>
    <row r="298" spans="2:10" ht="15">
      <c r="B298" s="396"/>
      <c r="C298" s="71"/>
      <c r="D298" s="71"/>
      <c r="F298" s="71"/>
      <c r="G298" s="71"/>
      <c r="H298" s="71"/>
      <c r="I298" s="73"/>
      <c r="J298" s="65" t="s">
        <v>331</v>
      </c>
    </row>
    <row r="299" spans="2:10" ht="15">
      <c r="B299" s="396"/>
      <c r="C299" s="71"/>
      <c r="D299" s="71"/>
      <c r="F299" s="71"/>
      <c r="G299" s="71"/>
      <c r="H299" s="71"/>
      <c r="I299" s="73"/>
      <c r="J299" s="65" t="s">
        <v>331</v>
      </c>
    </row>
    <row r="300" spans="2:10" ht="15">
      <c r="B300" s="396"/>
      <c r="C300" s="71"/>
      <c r="D300" s="71"/>
      <c r="F300" s="71"/>
      <c r="G300" s="71"/>
      <c r="H300" s="71"/>
      <c r="I300" s="73"/>
      <c r="J300" s="65" t="s">
        <v>331</v>
      </c>
    </row>
    <row r="301" spans="2:10" ht="15">
      <c r="B301" s="396"/>
      <c r="C301" s="71"/>
      <c r="D301" s="71"/>
      <c r="F301" s="71"/>
      <c r="G301" s="71"/>
      <c r="H301" s="71"/>
      <c r="I301" s="73"/>
      <c r="J301" s="65" t="s">
        <v>331</v>
      </c>
    </row>
    <row r="302" spans="2:10" ht="15">
      <c r="B302" s="396"/>
      <c r="C302" s="71"/>
      <c r="D302" s="71"/>
      <c r="F302" s="71"/>
      <c r="G302" s="71"/>
      <c r="H302" s="71"/>
      <c r="I302" s="73"/>
      <c r="J302" s="65" t="s">
        <v>331</v>
      </c>
    </row>
    <row r="303" spans="2:10" ht="15">
      <c r="B303" s="396"/>
      <c r="C303" s="71"/>
      <c r="D303" s="71"/>
      <c r="F303" s="71"/>
      <c r="G303" s="71"/>
      <c r="H303" s="71"/>
      <c r="I303" s="73"/>
      <c r="J303" s="65" t="s">
        <v>331</v>
      </c>
    </row>
    <row r="304" spans="2:10" ht="15">
      <c r="B304" s="396"/>
      <c r="C304" s="71"/>
      <c r="D304" s="71"/>
      <c r="F304" s="71"/>
      <c r="G304" s="71"/>
      <c r="H304" s="71"/>
      <c r="I304" s="73"/>
      <c r="J304" s="65" t="s">
        <v>331</v>
      </c>
    </row>
    <row r="305" spans="2:10" ht="15">
      <c r="B305" s="396"/>
      <c r="C305" s="71"/>
      <c r="D305" s="71"/>
      <c r="F305" s="71"/>
      <c r="G305" s="71"/>
      <c r="H305" s="71"/>
      <c r="I305" s="73"/>
      <c r="J305" s="65" t="s">
        <v>331</v>
      </c>
    </row>
    <row r="306" spans="2:10" ht="15">
      <c r="B306" s="396"/>
      <c r="C306" s="71"/>
      <c r="D306" s="71"/>
      <c r="F306" s="71"/>
      <c r="G306" s="71"/>
      <c r="H306" s="71"/>
      <c r="I306" s="73"/>
      <c r="J306" s="65" t="s">
        <v>331</v>
      </c>
    </row>
    <row r="307" spans="2:10" ht="15">
      <c r="B307" s="396"/>
      <c r="C307" s="71"/>
      <c r="D307" s="71"/>
      <c r="F307" s="71"/>
      <c r="G307" s="71"/>
      <c r="H307" s="71"/>
      <c r="I307" s="73"/>
      <c r="J307" s="65" t="s">
        <v>331</v>
      </c>
    </row>
    <row r="308" spans="2:10" ht="15">
      <c r="B308" s="396"/>
      <c r="C308" s="71"/>
      <c r="D308" s="71"/>
      <c r="F308" s="71"/>
      <c r="G308" s="71"/>
      <c r="H308" s="71"/>
      <c r="I308" s="73"/>
      <c r="J308" s="65" t="s">
        <v>331</v>
      </c>
    </row>
    <row r="309" spans="2:10" ht="15">
      <c r="B309" s="396"/>
      <c r="C309" s="71"/>
      <c r="D309" s="71"/>
      <c r="F309" s="71"/>
      <c r="G309" s="71"/>
      <c r="H309" s="71"/>
      <c r="I309" s="73"/>
      <c r="J309" s="65" t="s">
        <v>331</v>
      </c>
    </row>
    <row r="310" spans="2:10" ht="15">
      <c r="B310" s="396"/>
      <c r="C310" s="71"/>
      <c r="D310" s="71"/>
      <c r="F310" s="71"/>
      <c r="G310" s="71"/>
      <c r="H310" s="71"/>
      <c r="I310" s="73"/>
      <c r="J310" s="65" t="s">
        <v>331</v>
      </c>
    </row>
    <row r="311" spans="2:10" ht="15">
      <c r="B311" s="396"/>
      <c r="C311" s="71"/>
      <c r="D311" s="71"/>
      <c r="F311" s="71"/>
      <c r="G311" s="71"/>
      <c r="H311" s="71"/>
      <c r="I311" s="73"/>
      <c r="J311" s="65" t="s">
        <v>331</v>
      </c>
    </row>
    <row r="312" spans="2:10" ht="15">
      <c r="B312" s="396"/>
      <c r="C312" s="71"/>
      <c r="D312" s="71"/>
      <c r="F312" s="71"/>
      <c r="G312" s="71"/>
      <c r="H312" s="71"/>
      <c r="I312" s="73"/>
      <c r="J312" s="65" t="s">
        <v>331</v>
      </c>
    </row>
    <row r="313" spans="2:10" ht="15">
      <c r="B313" s="396"/>
      <c r="C313" s="71"/>
      <c r="D313" s="71"/>
      <c r="F313" s="71"/>
      <c r="G313" s="71"/>
      <c r="H313" s="71"/>
      <c r="I313" s="73"/>
      <c r="J313" s="65" t="s">
        <v>331</v>
      </c>
    </row>
    <row r="314" spans="2:10" ht="15">
      <c r="B314" s="396"/>
      <c r="C314" s="71"/>
      <c r="D314" s="71"/>
      <c r="F314" s="71"/>
      <c r="G314" s="71"/>
      <c r="H314" s="71"/>
      <c r="I314" s="73"/>
      <c r="J314" s="65" t="s">
        <v>331</v>
      </c>
    </row>
    <row r="315" spans="2:10" ht="15">
      <c r="B315" s="396"/>
      <c r="C315" s="71"/>
      <c r="D315" s="71"/>
      <c r="F315" s="71"/>
      <c r="G315" s="71"/>
      <c r="H315" s="71"/>
      <c r="I315" s="73"/>
      <c r="J315" s="65" t="s">
        <v>331</v>
      </c>
    </row>
    <row r="316" spans="2:10" ht="15">
      <c r="B316" s="396"/>
      <c r="C316" s="71"/>
      <c r="D316" s="71"/>
      <c r="F316" s="71"/>
      <c r="G316" s="71"/>
      <c r="H316" s="71"/>
      <c r="I316" s="73"/>
      <c r="J316" s="65" t="s">
        <v>331</v>
      </c>
    </row>
    <row r="317" spans="2:10" ht="15">
      <c r="B317" s="396"/>
      <c r="C317" s="71"/>
      <c r="D317" s="71"/>
      <c r="F317" s="71"/>
      <c r="G317" s="71"/>
      <c r="H317" s="71"/>
      <c r="I317" s="73"/>
      <c r="J317" s="65" t="s">
        <v>331</v>
      </c>
    </row>
    <row r="318" spans="2:10" ht="15">
      <c r="B318" s="396"/>
      <c r="C318" s="71"/>
      <c r="D318" s="71"/>
      <c r="F318" s="71"/>
      <c r="G318" s="71"/>
      <c r="H318" s="71"/>
      <c r="I318" s="73"/>
      <c r="J318" s="65" t="s">
        <v>331</v>
      </c>
    </row>
    <row r="319" spans="2:10" ht="15">
      <c r="B319" s="396"/>
      <c r="C319" s="71"/>
      <c r="D319" s="71"/>
      <c r="F319" s="71"/>
      <c r="G319" s="71"/>
      <c r="H319" s="71"/>
      <c r="I319" s="73"/>
      <c r="J319" s="65" t="s">
        <v>331</v>
      </c>
    </row>
    <row r="320" spans="2:10" ht="15">
      <c r="B320" s="396"/>
      <c r="C320" s="71"/>
      <c r="D320" s="71"/>
      <c r="F320" s="71"/>
      <c r="G320" s="71"/>
      <c r="H320" s="71"/>
      <c r="I320" s="73"/>
      <c r="J320" s="65" t="s">
        <v>331</v>
      </c>
    </row>
    <row r="321" spans="2:10" ht="15">
      <c r="B321" s="396"/>
      <c r="C321" s="71"/>
      <c r="D321" s="71"/>
      <c r="F321" s="71"/>
      <c r="G321" s="71"/>
      <c r="H321" s="71"/>
      <c r="I321" s="73"/>
      <c r="J321" s="65" t="s">
        <v>331</v>
      </c>
    </row>
    <row r="322" spans="2:10" ht="15">
      <c r="B322" s="396"/>
      <c r="C322" s="71"/>
      <c r="D322" s="71"/>
      <c r="F322" s="71"/>
      <c r="G322" s="71"/>
      <c r="H322" s="71"/>
      <c r="I322" s="73"/>
      <c r="J322" s="65" t="s">
        <v>331</v>
      </c>
    </row>
    <row r="323" spans="2:10" ht="15">
      <c r="B323" s="396"/>
      <c r="C323" s="71"/>
      <c r="D323" s="71"/>
      <c r="F323" s="71"/>
      <c r="G323" s="71"/>
      <c r="H323" s="71"/>
      <c r="I323" s="73"/>
      <c r="J323" s="65" t="s">
        <v>331</v>
      </c>
    </row>
    <row r="324" spans="2:10" ht="15">
      <c r="B324" s="396"/>
      <c r="C324" s="71"/>
      <c r="D324" s="71"/>
      <c r="F324" s="71"/>
      <c r="G324" s="71"/>
      <c r="H324" s="71"/>
      <c r="I324" s="73"/>
      <c r="J324" s="65" t="s">
        <v>331</v>
      </c>
    </row>
    <row r="325" spans="2:10" ht="15">
      <c r="B325" s="396"/>
      <c r="C325" s="71"/>
      <c r="D325" s="71"/>
      <c r="F325" s="71"/>
      <c r="G325" s="71"/>
      <c r="H325" s="71"/>
      <c r="I325" s="73"/>
      <c r="J325" s="65" t="s">
        <v>331</v>
      </c>
    </row>
    <row r="326" spans="2:10" ht="15">
      <c r="B326" s="396"/>
      <c r="C326" s="71"/>
      <c r="D326" s="71"/>
      <c r="F326" s="71"/>
      <c r="G326" s="71"/>
      <c r="H326" s="71"/>
      <c r="I326" s="73"/>
      <c r="J326" s="65" t="s">
        <v>331</v>
      </c>
    </row>
    <row r="327" spans="2:10" ht="15">
      <c r="B327" s="396"/>
      <c r="C327" s="71"/>
      <c r="D327" s="71"/>
      <c r="F327" s="71"/>
      <c r="G327" s="71"/>
      <c r="H327" s="71"/>
      <c r="I327" s="73"/>
      <c r="J327" s="65" t="s">
        <v>331</v>
      </c>
    </row>
    <row r="328" spans="2:10" ht="15">
      <c r="B328" s="396"/>
      <c r="C328" s="71"/>
      <c r="D328" s="71"/>
      <c r="F328" s="71"/>
      <c r="G328" s="71"/>
      <c r="H328" s="71"/>
      <c r="I328" s="73"/>
      <c r="J328" s="65" t="s">
        <v>331</v>
      </c>
    </row>
    <row r="329" spans="2:10" ht="15">
      <c r="B329" s="396"/>
      <c r="C329" s="71"/>
      <c r="D329" s="71"/>
      <c r="F329" s="71"/>
      <c r="G329" s="71"/>
      <c r="H329" s="71"/>
      <c r="I329" s="73"/>
      <c r="J329" s="65" t="s">
        <v>331</v>
      </c>
    </row>
    <row r="330" spans="2:10" ht="15">
      <c r="B330" s="396"/>
      <c r="C330" s="71"/>
      <c r="D330" s="71"/>
      <c r="F330" s="71"/>
      <c r="G330" s="71"/>
      <c r="H330" s="71"/>
      <c r="I330" s="73"/>
      <c r="J330" s="65" t="s">
        <v>331</v>
      </c>
    </row>
    <row r="331" spans="2:10" ht="15">
      <c r="B331" s="396"/>
      <c r="C331" s="71"/>
      <c r="D331" s="71"/>
      <c r="F331" s="71"/>
      <c r="G331" s="71"/>
      <c r="H331" s="71"/>
      <c r="I331" s="73"/>
      <c r="J331" s="65" t="s">
        <v>331</v>
      </c>
    </row>
    <row r="332" spans="2:10" ht="15">
      <c r="B332" s="396"/>
      <c r="C332" s="71"/>
      <c r="D332" s="71"/>
      <c r="F332" s="71"/>
      <c r="G332" s="71"/>
      <c r="H332" s="71"/>
      <c r="I332" s="73"/>
      <c r="J332" s="65" t="s">
        <v>331</v>
      </c>
    </row>
    <row r="333" spans="2:10" ht="15">
      <c r="B333" s="396"/>
      <c r="C333" s="71"/>
      <c r="D333" s="71"/>
      <c r="F333" s="71"/>
      <c r="G333" s="71"/>
      <c r="H333" s="71"/>
      <c r="I333" s="73"/>
      <c r="J333" s="65" t="s">
        <v>331</v>
      </c>
    </row>
    <row r="334" spans="2:10" ht="15">
      <c r="B334" s="396"/>
      <c r="C334" s="71"/>
      <c r="D334" s="71"/>
      <c r="F334" s="71"/>
      <c r="G334" s="71"/>
      <c r="H334" s="71"/>
      <c r="I334" s="73"/>
      <c r="J334" s="65" t="s">
        <v>331</v>
      </c>
    </row>
    <row r="335" spans="2:10" ht="15">
      <c r="B335" s="396"/>
      <c r="C335" s="71"/>
      <c r="D335" s="71"/>
      <c r="F335" s="71"/>
      <c r="G335" s="71"/>
      <c r="H335" s="71"/>
      <c r="I335" s="73"/>
      <c r="J335" s="65" t="s">
        <v>331</v>
      </c>
    </row>
    <row r="336" spans="2:10" ht="15">
      <c r="B336" s="396"/>
      <c r="C336" s="71"/>
      <c r="D336" s="71"/>
      <c r="F336" s="71"/>
      <c r="G336" s="71"/>
      <c r="H336" s="71"/>
      <c r="I336" s="73"/>
      <c r="J336" s="65" t="s">
        <v>331</v>
      </c>
    </row>
    <row r="337" spans="2:10" ht="15">
      <c r="B337" s="396"/>
      <c r="C337" s="71"/>
      <c r="D337" s="71"/>
      <c r="F337" s="71"/>
      <c r="G337" s="71"/>
      <c r="H337" s="71"/>
      <c r="I337" s="73"/>
      <c r="J337" s="65" t="s">
        <v>331</v>
      </c>
    </row>
    <row r="338" spans="2:10" ht="15">
      <c r="B338" s="396"/>
      <c r="C338" s="71"/>
      <c r="D338" s="71"/>
      <c r="F338" s="71"/>
      <c r="G338" s="71"/>
      <c r="H338" s="71"/>
      <c r="I338" s="73"/>
      <c r="J338" s="65" t="s">
        <v>331</v>
      </c>
    </row>
    <row r="339" spans="2:10" ht="15">
      <c r="B339" s="396"/>
      <c r="C339" s="71"/>
      <c r="D339" s="71"/>
      <c r="F339" s="71"/>
      <c r="G339" s="71"/>
      <c r="H339" s="71"/>
      <c r="I339" s="73"/>
      <c r="J339" s="65" t="s">
        <v>331</v>
      </c>
    </row>
    <row r="340" spans="2:10" ht="15">
      <c r="B340" s="396"/>
      <c r="C340" s="71"/>
      <c r="D340" s="71"/>
      <c r="F340" s="71"/>
      <c r="G340" s="71"/>
      <c r="H340" s="71"/>
      <c r="I340" s="73"/>
      <c r="J340" s="65" t="s">
        <v>331</v>
      </c>
    </row>
    <row r="341" spans="2:10" ht="15">
      <c r="B341" s="396"/>
      <c r="C341" s="71"/>
      <c r="D341" s="71"/>
      <c r="F341" s="71"/>
      <c r="G341" s="71"/>
      <c r="H341" s="71"/>
      <c r="I341" s="73"/>
      <c r="J341" s="65" t="s">
        <v>331</v>
      </c>
    </row>
    <row r="342" spans="2:10" ht="15">
      <c r="B342" s="396"/>
      <c r="C342" s="71"/>
      <c r="D342" s="71"/>
      <c r="F342" s="71"/>
      <c r="G342" s="71"/>
      <c r="H342" s="71"/>
      <c r="I342" s="73"/>
      <c r="J342" s="65" t="s">
        <v>331</v>
      </c>
    </row>
    <row r="343" spans="2:10" ht="15">
      <c r="B343" s="396"/>
      <c r="C343" s="71"/>
      <c r="D343" s="71"/>
      <c r="F343" s="71"/>
      <c r="G343" s="71"/>
      <c r="H343" s="71"/>
      <c r="I343" s="73"/>
      <c r="J343" s="65" t="s">
        <v>331</v>
      </c>
    </row>
    <row r="344" spans="2:10" ht="15">
      <c r="B344" s="396"/>
      <c r="C344" s="71"/>
      <c r="D344" s="71"/>
      <c r="F344" s="71"/>
      <c r="G344" s="71"/>
      <c r="H344" s="71"/>
      <c r="I344" s="73"/>
      <c r="J344" s="65" t="s">
        <v>331</v>
      </c>
    </row>
    <row r="345" spans="2:10" ht="15">
      <c r="B345" s="396"/>
      <c r="C345" s="71"/>
      <c r="D345" s="71"/>
      <c r="F345" s="71"/>
      <c r="G345" s="71"/>
      <c r="H345" s="71"/>
      <c r="I345" s="73"/>
      <c r="J345" s="65" t="s">
        <v>331</v>
      </c>
    </row>
    <row r="346" spans="2:10" ht="15">
      <c r="B346" s="396"/>
      <c r="C346" s="71"/>
      <c r="D346" s="71"/>
      <c r="F346" s="71"/>
      <c r="G346" s="71"/>
      <c r="H346" s="71"/>
      <c r="I346" s="73"/>
      <c r="J346" s="65" t="s">
        <v>331</v>
      </c>
    </row>
    <row r="347" spans="2:10" ht="15">
      <c r="B347" s="396"/>
      <c r="C347" s="71"/>
      <c r="D347" s="71"/>
      <c r="F347" s="71"/>
      <c r="G347" s="71"/>
      <c r="H347" s="71"/>
      <c r="I347" s="73"/>
      <c r="J347" s="65" t="s">
        <v>331</v>
      </c>
    </row>
    <row r="348" spans="2:10" ht="15">
      <c r="B348" s="396"/>
      <c r="C348" s="71"/>
      <c r="D348" s="71"/>
      <c r="F348" s="71"/>
      <c r="G348" s="71"/>
      <c r="H348" s="71"/>
      <c r="I348" s="73"/>
      <c r="J348" s="65" t="s">
        <v>331</v>
      </c>
    </row>
    <row r="349" spans="2:10" ht="15">
      <c r="B349" s="396"/>
      <c r="C349" s="71"/>
      <c r="D349" s="71"/>
      <c r="F349" s="71"/>
      <c r="G349" s="71"/>
      <c r="H349" s="71"/>
      <c r="I349" s="73"/>
      <c r="J349" s="65" t="s">
        <v>331</v>
      </c>
    </row>
    <row r="350" spans="2:10" ht="15">
      <c r="B350" s="396"/>
      <c r="C350" s="71"/>
      <c r="D350" s="71"/>
      <c r="F350" s="71"/>
      <c r="G350" s="71"/>
      <c r="H350" s="71"/>
      <c r="I350" s="73"/>
      <c r="J350" s="65" t="s">
        <v>331</v>
      </c>
    </row>
    <row r="351" spans="2:10" ht="15">
      <c r="B351" s="396"/>
      <c r="C351" s="71"/>
      <c r="D351" s="71"/>
      <c r="F351" s="71"/>
      <c r="G351" s="71"/>
      <c r="H351" s="71"/>
      <c r="I351" s="73"/>
      <c r="J351" s="65" t="s">
        <v>331</v>
      </c>
    </row>
    <row r="352" spans="2:10" ht="15">
      <c r="B352" s="396"/>
      <c r="C352" s="71"/>
      <c r="D352" s="71"/>
      <c r="F352" s="71"/>
      <c r="G352" s="71"/>
      <c r="H352" s="71"/>
      <c r="I352" s="73"/>
      <c r="J352" s="65" t="s">
        <v>331</v>
      </c>
    </row>
    <row r="353" spans="2:10" ht="15">
      <c r="B353" s="396"/>
      <c r="C353" s="71"/>
      <c r="D353" s="71"/>
      <c r="F353" s="71"/>
      <c r="G353" s="71"/>
      <c r="H353" s="71"/>
      <c r="I353" s="73"/>
      <c r="J353" s="65" t="s">
        <v>331</v>
      </c>
    </row>
    <row r="354" spans="2:10" ht="15">
      <c r="B354" s="396"/>
      <c r="C354" s="71"/>
      <c r="D354" s="71"/>
      <c r="F354" s="71"/>
      <c r="G354" s="71"/>
      <c r="H354" s="71"/>
      <c r="I354" s="73"/>
      <c r="J354" s="65" t="s">
        <v>331</v>
      </c>
    </row>
    <row r="355" spans="2:10" ht="15">
      <c r="B355" s="396"/>
      <c r="C355" s="71"/>
      <c r="D355" s="71"/>
      <c r="F355" s="71"/>
      <c r="G355" s="71"/>
      <c r="H355" s="71"/>
      <c r="I355" s="73"/>
      <c r="J355" s="65" t="s">
        <v>331</v>
      </c>
    </row>
    <row r="356" spans="2:10" ht="15">
      <c r="B356" s="396"/>
      <c r="C356" s="71"/>
      <c r="D356" s="71"/>
      <c r="F356" s="71"/>
      <c r="G356" s="71"/>
      <c r="H356" s="71"/>
      <c r="I356" s="73"/>
      <c r="J356" s="65" t="s">
        <v>331</v>
      </c>
    </row>
    <row r="357" spans="2:10" ht="15">
      <c r="B357" s="396"/>
      <c r="C357" s="71"/>
      <c r="D357" s="71"/>
      <c r="F357" s="71"/>
      <c r="G357" s="71"/>
      <c r="H357" s="71"/>
      <c r="I357" s="73"/>
      <c r="J357" s="65" t="s">
        <v>331</v>
      </c>
    </row>
    <row r="358" spans="2:10" ht="15">
      <c r="B358" s="396"/>
      <c r="C358" s="71"/>
      <c r="D358" s="71"/>
      <c r="F358" s="71"/>
      <c r="G358" s="71"/>
      <c r="H358" s="71"/>
      <c r="I358" s="73"/>
      <c r="J358" s="65" t="s">
        <v>331</v>
      </c>
    </row>
    <row r="359" spans="2:10" ht="15">
      <c r="B359" s="396"/>
      <c r="C359" s="71"/>
      <c r="D359" s="71"/>
      <c r="F359" s="71"/>
      <c r="G359" s="71"/>
      <c r="H359" s="71"/>
      <c r="I359" s="73"/>
      <c r="J359" s="65" t="s">
        <v>331</v>
      </c>
    </row>
    <row r="360" spans="2:10" ht="15">
      <c r="B360" s="396"/>
      <c r="C360" s="71"/>
      <c r="D360" s="71"/>
      <c r="F360" s="71"/>
      <c r="G360" s="71"/>
      <c r="H360" s="71"/>
      <c r="I360" s="73"/>
      <c r="J360" s="65" t="s">
        <v>331</v>
      </c>
    </row>
    <row r="361" spans="2:10" ht="15">
      <c r="B361" s="396"/>
      <c r="C361" s="71"/>
      <c r="D361" s="71"/>
      <c r="F361" s="71"/>
      <c r="G361" s="71"/>
      <c r="H361" s="71"/>
      <c r="I361" s="73"/>
      <c r="J361" s="65" t="s">
        <v>331</v>
      </c>
    </row>
    <row r="362" spans="2:10" ht="15">
      <c r="B362" s="396"/>
      <c r="C362" s="71"/>
      <c r="D362" s="71"/>
      <c r="F362" s="71"/>
      <c r="G362" s="71"/>
      <c r="H362" s="71"/>
      <c r="I362" s="73"/>
      <c r="J362" s="65" t="s">
        <v>331</v>
      </c>
    </row>
    <row r="363" spans="2:10" ht="15">
      <c r="B363" s="396"/>
      <c r="C363" s="71"/>
      <c r="D363" s="71"/>
      <c r="F363" s="71"/>
      <c r="G363" s="71"/>
      <c r="H363" s="71"/>
      <c r="I363" s="73"/>
      <c r="J363" s="65" t="s">
        <v>331</v>
      </c>
    </row>
    <row r="364" spans="2:10" ht="15">
      <c r="B364" s="396"/>
      <c r="C364" s="71"/>
      <c r="D364" s="71"/>
      <c r="F364" s="71"/>
      <c r="G364" s="71"/>
      <c r="H364" s="71"/>
      <c r="I364" s="73"/>
      <c r="J364" s="65" t="s">
        <v>331</v>
      </c>
    </row>
    <row r="365" spans="2:10" ht="15">
      <c r="B365" s="396"/>
      <c r="C365" s="71"/>
      <c r="D365" s="71"/>
      <c r="F365" s="71"/>
      <c r="G365" s="71"/>
      <c r="H365" s="71"/>
      <c r="I365" s="73"/>
      <c r="J365" s="65" t="s">
        <v>331</v>
      </c>
    </row>
    <row r="366" spans="2:10" ht="15">
      <c r="B366" s="396"/>
      <c r="C366" s="71"/>
      <c r="D366" s="71"/>
      <c r="F366" s="71"/>
      <c r="G366" s="71"/>
      <c r="H366" s="71"/>
      <c r="I366" s="73"/>
      <c r="J366" s="65" t="s">
        <v>331</v>
      </c>
    </row>
    <row r="367" spans="2:10" ht="15">
      <c r="B367" s="396"/>
      <c r="C367" s="71"/>
      <c r="D367" s="71"/>
      <c r="F367" s="71"/>
      <c r="G367" s="71"/>
      <c r="H367" s="71"/>
      <c r="I367" s="73"/>
      <c r="J367" s="65" t="s">
        <v>331</v>
      </c>
    </row>
    <row r="368" spans="2:10" ht="15">
      <c r="B368" s="396"/>
      <c r="C368" s="71"/>
      <c r="D368" s="71"/>
      <c r="F368" s="71"/>
      <c r="G368" s="71"/>
      <c r="H368" s="71"/>
      <c r="I368" s="73"/>
      <c r="J368" s="65" t="s">
        <v>331</v>
      </c>
    </row>
    <row r="369" spans="2:10" ht="15">
      <c r="B369" s="396"/>
      <c r="C369" s="71"/>
      <c r="D369" s="71"/>
      <c r="F369" s="71"/>
      <c r="G369" s="71"/>
      <c r="H369" s="71"/>
      <c r="I369" s="73"/>
      <c r="J369" s="65" t="s">
        <v>331</v>
      </c>
    </row>
    <row r="370" spans="2:10" ht="15">
      <c r="B370" s="396"/>
      <c r="C370" s="71"/>
      <c r="D370" s="71"/>
      <c r="F370" s="71"/>
      <c r="G370" s="71"/>
      <c r="H370" s="71"/>
      <c r="I370" s="73"/>
      <c r="J370" s="65" t="s">
        <v>331</v>
      </c>
    </row>
    <row r="371" spans="2:10" ht="15">
      <c r="B371" s="396"/>
      <c r="C371" s="71"/>
      <c r="D371" s="71"/>
      <c r="F371" s="71"/>
      <c r="G371" s="71"/>
      <c r="H371" s="71"/>
      <c r="I371" s="73"/>
      <c r="J371" s="65" t="s">
        <v>331</v>
      </c>
    </row>
    <row r="372" spans="2:10" ht="15">
      <c r="B372" s="396"/>
      <c r="C372" s="71"/>
      <c r="D372" s="71"/>
      <c r="F372" s="71"/>
      <c r="G372" s="71"/>
      <c r="H372" s="71"/>
      <c r="I372" s="73"/>
      <c r="J372" s="65" t="s">
        <v>331</v>
      </c>
    </row>
    <row r="373" spans="2:10" ht="15">
      <c r="B373" s="396"/>
      <c r="C373" s="71"/>
      <c r="D373" s="71"/>
      <c r="F373" s="71"/>
      <c r="G373" s="71"/>
      <c r="H373" s="71"/>
      <c r="I373" s="73"/>
      <c r="J373" s="65" t="s">
        <v>331</v>
      </c>
    </row>
    <row r="374" spans="2:10" ht="15">
      <c r="B374" s="396"/>
      <c r="C374" s="71"/>
      <c r="D374" s="71"/>
      <c r="F374" s="71"/>
      <c r="G374" s="71"/>
      <c r="H374" s="71"/>
      <c r="I374" s="73"/>
      <c r="J374" s="65" t="s">
        <v>331</v>
      </c>
    </row>
    <row r="375" spans="2:10" ht="15">
      <c r="B375" s="396"/>
      <c r="C375" s="71"/>
      <c r="D375" s="71"/>
      <c r="F375" s="71"/>
      <c r="G375" s="71"/>
      <c r="H375" s="71"/>
      <c r="I375" s="73"/>
      <c r="J375" s="65" t="s">
        <v>331</v>
      </c>
    </row>
    <row r="376" spans="2:10" ht="15">
      <c r="B376" s="396"/>
      <c r="C376" s="71"/>
      <c r="D376" s="71"/>
      <c r="F376" s="71"/>
      <c r="G376" s="71"/>
      <c r="H376" s="71"/>
      <c r="I376" s="73"/>
      <c r="J376" s="65" t="s">
        <v>331</v>
      </c>
    </row>
    <row r="377" spans="2:10" ht="15">
      <c r="B377" s="396"/>
      <c r="C377" s="71"/>
      <c r="D377" s="71"/>
      <c r="F377" s="71"/>
      <c r="G377" s="71"/>
      <c r="H377" s="71"/>
      <c r="I377" s="73"/>
      <c r="J377" s="65" t="s">
        <v>331</v>
      </c>
    </row>
    <row r="378" spans="2:10" ht="15">
      <c r="B378" s="396"/>
      <c r="C378" s="71"/>
      <c r="D378" s="71"/>
      <c r="F378" s="71"/>
      <c r="G378" s="71"/>
      <c r="H378" s="71"/>
      <c r="I378" s="73"/>
      <c r="J378" s="65" t="s">
        <v>331</v>
      </c>
    </row>
    <row r="379" spans="2:10" ht="15">
      <c r="B379" s="396"/>
      <c r="C379" s="71"/>
      <c r="D379" s="71"/>
      <c r="F379" s="71"/>
      <c r="G379" s="71"/>
      <c r="H379" s="71"/>
      <c r="I379" s="73"/>
      <c r="J379" s="65" t="s">
        <v>331</v>
      </c>
    </row>
    <row r="380" spans="2:10" ht="15">
      <c r="B380" s="396"/>
      <c r="C380" s="71"/>
      <c r="D380" s="71"/>
      <c r="F380" s="71"/>
      <c r="G380" s="71"/>
      <c r="H380" s="71"/>
      <c r="I380" s="73"/>
      <c r="J380" s="65" t="s">
        <v>331</v>
      </c>
    </row>
    <row r="381" spans="2:10" ht="15">
      <c r="B381" s="396"/>
      <c r="C381" s="71"/>
      <c r="D381" s="71"/>
      <c r="F381" s="71"/>
      <c r="G381" s="71"/>
      <c r="H381" s="71"/>
      <c r="I381" s="73"/>
      <c r="J381" s="65" t="s">
        <v>331</v>
      </c>
    </row>
    <row r="382" spans="2:10" ht="15">
      <c r="B382" s="396"/>
      <c r="C382" s="71"/>
      <c r="D382" s="71"/>
      <c r="F382" s="71"/>
      <c r="G382" s="71"/>
      <c r="H382" s="71"/>
      <c r="I382" s="73"/>
      <c r="J382" s="65" t="s">
        <v>331</v>
      </c>
    </row>
    <row r="383" spans="2:10" ht="15">
      <c r="B383" s="396"/>
      <c r="C383" s="71"/>
      <c r="D383" s="71"/>
      <c r="F383" s="71"/>
      <c r="G383" s="71"/>
      <c r="H383" s="71"/>
      <c r="I383" s="73"/>
      <c r="J383" s="65" t="s">
        <v>331</v>
      </c>
    </row>
    <row r="384" spans="2:10" ht="15">
      <c r="B384" s="396"/>
      <c r="C384" s="71"/>
      <c r="D384" s="71"/>
      <c r="F384" s="71"/>
      <c r="G384" s="71"/>
      <c r="H384" s="71"/>
      <c r="I384" s="73"/>
      <c r="J384" s="65" t="s">
        <v>331</v>
      </c>
    </row>
    <row r="385" spans="2:10" ht="15">
      <c r="B385" s="396"/>
      <c r="C385" s="71"/>
      <c r="D385" s="71"/>
      <c r="F385" s="71"/>
      <c r="G385" s="71"/>
      <c r="H385" s="71"/>
      <c r="I385" s="73"/>
      <c r="J385" s="65" t="s">
        <v>331</v>
      </c>
    </row>
    <row r="386" spans="2:10" ht="15">
      <c r="B386" s="396"/>
      <c r="C386" s="71"/>
      <c r="D386" s="71"/>
      <c r="F386" s="71"/>
      <c r="G386" s="71"/>
      <c r="H386" s="71"/>
      <c r="I386" s="73"/>
      <c r="J386" s="65" t="s">
        <v>331</v>
      </c>
    </row>
    <row r="387" spans="2:10" ht="15">
      <c r="B387" s="396"/>
      <c r="C387" s="71"/>
      <c r="D387" s="71"/>
      <c r="F387" s="71"/>
      <c r="G387" s="71"/>
      <c r="H387" s="71"/>
      <c r="I387" s="73"/>
      <c r="J387" s="65" t="s">
        <v>331</v>
      </c>
    </row>
    <row r="388" spans="2:10" ht="15">
      <c r="B388" s="396"/>
      <c r="C388" s="71"/>
      <c r="D388" s="71"/>
      <c r="F388" s="71"/>
      <c r="G388" s="71"/>
      <c r="H388" s="71"/>
      <c r="I388" s="73"/>
      <c r="J388" s="65" t="s">
        <v>331</v>
      </c>
    </row>
    <row r="389" spans="2:10" ht="15">
      <c r="B389" s="396"/>
      <c r="C389" s="71"/>
      <c r="D389" s="71"/>
      <c r="F389" s="71"/>
      <c r="G389" s="71"/>
      <c r="H389" s="71"/>
      <c r="I389" s="73"/>
      <c r="J389" s="65" t="s">
        <v>331</v>
      </c>
    </row>
    <row r="390" spans="2:10" ht="15">
      <c r="B390" s="396"/>
      <c r="C390" s="71"/>
      <c r="D390" s="71"/>
      <c r="F390" s="71"/>
      <c r="G390" s="71"/>
      <c r="H390" s="71"/>
      <c r="I390" s="73"/>
      <c r="J390" s="65" t="s">
        <v>331</v>
      </c>
    </row>
    <row r="391" spans="2:10" ht="15">
      <c r="B391" s="396"/>
      <c r="C391" s="71"/>
      <c r="D391" s="71"/>
      <c r="F391" s="71"/>
      <c r="G391" s="71"/>
      <c r="H391" s="71"/>
      <c r="I391" s="73"/>
      <c r="J391" s="65" t="s">
        <v>331</v>
      </c>
    </row>
    <row r="392" spans="2:10" ht="15">
      <c r="B392" s="396"/>
      <c r="C392" s="71"/>
      <c r="D392" s="71"/>
      <c r="F392" s="71"/>
      <c r="G392" s="71"/>
      <c r="H392" s="71"/>
      <c r="I392" s="73"/>
      <c r="J392" s="65" t="s">
        <v>331</v>
      </c>
    </row>
    <row r="393" spans="2:10" ht="15">
      <c r="B393" s="396"/>
      <c r="C393" s="71"/>
      <c r="D393" s="71"/>
      <c r="F393" s="71"/>
      <c r="G393" s="71"/>
      <c r="H393" s="71"/>
      <c r="I393" s="73"/>
      <c r="J393" s="65" t="s">
        <v>331</v>
      </c>
    </row>
    <row r="394" spans="2:10" ht="15">
      <c r="B394" s="396"/>
      <c r="C394" s="71"/>
      <c r="D394" s="71"/>
      <c r="F394" s="71"/>
      <c r="G394" s="71"/>
      <c r="H394" s="71"/>
      <c r="I394" s="73"/>
      <c r="J394" s="65" t="s">
        <v>331</v>
      </c>
    </row>
    <row r="395" spans="2:10" ht="15">
      <c r="B395" s="396"/>
      <c r="C395" s="71"/>
      <c r="D395" s="71"/>
      <c r="F395" s="71"/>
      <c r="G395" s="71"/>
      <c r="H395" s="71"/>
      <c r="I395" s="73"/>
      <c r="J395" s="65" t="s">
        <v>331</v>
      </c>
    </row>
    <row r="396" spans="2:10" ht="15">
      <c r="B396" s="396"/>
      <c r="C396" s="71"/>
      <c r="D396" s="71"/>
      <c r="F396" s="71"/>
      <c r="G396" s="71"/>
      <c r="H396" s="71"/>
      <c r="I396" s="73"/>
      <c r="J396" s="65" t="s">
        <v>331</v>
      </c>
    </row>
    <row r="397" spans="2:10" ht="15">
      <c r="B397" s="396"/>
      <c r="C397" s="71"/>
      <c r="D397" s="71"/>
      <c r="F397" s="71"/>
      <c r="G397" s="71"/>
      <c r="H397" s="71"/>
      <c r="I397" s="73"/>
      <c r="J397" s="65" t="s">
        <v>331</v>
      </c>
    </row>
    <row r="398" spans="2:10" ht="15">
      <c r="B398" s="396"/>
      <c r="C398" s="71"/>
      <c r="D398" s="71"/>
      <c r="F398" s="71"/>
      <c r="G398" s="71"/>
      <c r="H398" s="71"/>
      <c r="I398" s="73"/>
      <c r="J398" s="65" t="s">
        <v>331</v>
      </c>
    </row>
    <row r="399" spans="2:10" ht="15">
      <c r="B399" s="396"/>
      <c r="C399" s="71"/>
      <c r="D399" s="71"/>
      <c r="F399" s="71"/>
      <c r="G399" s="71"/>
      <c r="H399" s="71"/>
      <c r="I399" s="73"/>
      <c r="J399" s="65" t="s">
        <v>331</v>
      </c>
    </row>
    <row r="400" spans="2:10" ht="15">
      <c r="B400" s="396"/>
      <c r="C400" s="71"/>
      <c r="D400" s="71"/>
      <c r="F400" s="71"/>
      <c r="G400" s="71"/>
      <c r="H400" s="71"/>
      <c r="I400" s="73"/>
      <c r="J400" s="65" t="s">
        <v>331</v>
      </c>
    </row>
    <row r="401" spans="2:10" ht="15">
      <c r="B401" s="396"/>
      <c r="C401" s="71"/>
      <c r="D401" s="71"/>
      <c r="F401" s="71"/>
      <c r="G401" s="71"/>
      <c r="H401" s="71"/>
      <c r="I401" s="73"/>
      <c r="J401" s="65" t="s">
        <v>331</v>
      </c>
    </row>
    <row r="402" spans="2:10" ht="15">
      <c r="B402" s="396"/>
      <c r="C402" s="71"/>
      <c r="D402" s="71"/>
      <c r="F402" s="71"/>
      <c r="G402" s="71"/>
      <c r="H402" s="71"/>
      <c r="I402" s="73"/>
      <c r="J402" s="65" t="s">
        <v>331</v>
      </c>
    </row>
    <row r="403" spans="2:10" ht="15">
      <c r="B403" s="396"/>
      <c r="C403" s="71"/>
      <c r="D403" s="71"/>
      <c r="F403" s="71"/>
      <c r="G403" s="71"/>
      <c r="H403" s="71"/>
      <c r="I403" s="73"/>
      <c r="J403" s="65" t="s">
        <v>331</v>
      </c>
    </row>
    <row r="404" spans="2:10" ht="15">
      <c r="B404" s="396"/>
      <c r="C404" s="71"/>
      <c r="D404" s="71"/>
      <c r="F404" s="71"/>
      <c r="G404" s="71"/>
      <c r="H404" s="71"/>
      <c r="I404" s="73"/>
      <c r="J404" s="65" t="s">
        <v>331</v>
      </c>
    </row>
    <row r="405" spans="2:10" ht="15">
      <c r="B405" s="396"/>
      <c r="C405" s="71"/>
      <c r="D405" s="71"/>
      <c r="F405" s="71"/>
      <c r="G405" s="71"/>
      <c r="H405" s="71"/>
      <c r="I405" s="73"/>
      <c r="J405" s="65" t="s">
        <v>331</v>
      </c>
    </row>
    <row r="406" spans="2:10" ht="15">
      <c r="B406" s="396"/>
      <c r="C406" s="71"/>
      <c r="D406" s="71"/>
      <c r="F406" s="71"/>
      <c r="G406" s="71"/>
      <c r="H406" s="71"/>
      <c r="I406" s="73"/>
      <c r="J406" s="65" t="s">
        <v>331</v>
      </c>
    </row>
    <row r="407" spans="2:10" ht="15">
      <c r="B407" s="396"/>
      <c r="C407" s="71"/>
      <c r="D407" s="71"/>
      <c r="F407" s="71"/>
      <c r="G407" s="71"/>
      <c r="H407" s="71"/>
      <c r="I407" s="73"/>
      <c r="J407" s="65" t="s">
        <v>331</v>
      </c>
    </row>
    <row r="408" spans="2:10" ht="15">
      <c r="B408" s="396"/>
      <c r="C408" s="71"/>
      <c r="D408" s="71"/>
      <c r="F408" s="71"/>
      <c r="G408" s="71"/>
      <c r="H408" s="71"/>
      <c r="I408" s="73"/>
      <c r="J408" s="65" t="s">
        <v>331</v>
      </c>
    </row>
    <row r="409" spans="2:10" ht="15">
      <c r="B409" s="396"/>
      <c r="C409" s="71"/>
      <c r="D409" s="71"/>
      <c r="F409" s="71"/>
      <c r="G409" s="71"/>
      <c r="H409" s="71"/>
      <c r="I409" s="73"/>
      <c r="J409" s="65" t="s">
        <v>331</v>
      </c>
    </row>
    <row r="410" spans="2:10" ht="15">
      <c r="B410" s="396"/>
      <c r="C410" s="71"/>
      <c r="D410" s="71"/>
      <c r="F410" s="71"/>
      <c r="G410" s="71"/>
      <c r="H410" s="71"/>
      <c r="I410" s="73"/>
      <c r="J410" s="65" t="s">
        <v>331</v>
      </c>
    </row>
    <row r="411" spans="2:10" ht="15">
      <c r="B411" s="396"/>
      <c r="C411" s="71"/>
      <c r="D411" s="71"/>
      <c r="F411" s="71"/>
      <c r="G411" s="71"/>
      <c r="H411" s="71"/>
      <c r="I411" s="73"/>
      <c r="J411" s="65" t="s">
        <v>331</v>
      </c>
    </row>
    <row r="412" spans="2:10" ht="15">
      <c r="B412" s="396"/>
      <c r="C412" s="71"/>
      <c r="D412" s="71"/>
      <c r="F412" s="71"/>
      <c r="G412" s="71"/>
      <c r="H412" s="71"/>
      <c r="I412" s="73"/>
      <c r="J412" s="65" t="s">
        <v>331</v>
      </c>
    </row>
    <row r="413" spans="2:10" ht="15">
      <c r="B413" s="396"/>
      <c r="C413" s="71"/>
      <c r="D413" s="71"/>
      <c r="F413" s="71"/>
      <c r="G413" s="71"/>
      <c r="H413" s="71"/>
      <c r="I413" s="73"/>
      <c r="J413" s="65" t="s">
        <v>331</v>
      </c>
    </row>
    <row r="414" spans="2:10" ht="15">
      <c r="B414" s="396"/>
      <c r="C414" s="71"/>
      <c r="D414" s="71"/>
      <c r="F414" s="71"/>
      <c r="G414" s="71"/>
      <c r="H414" s="71"/>
      <c r="I414" s="73"/>
      <c r="J414" s="65" t="s">
        <v>331</v>
      </c>
    </row>
    <row r="415" spans="2:10" ht="15">
      <c r="B415" s="396"/>
      <c r="C415" s="71"/>
      <c r="D415" s="71"/>
      <c r="F415" s="71"/>
      <c r="G415" s="71"/>
      <c r="H415" s="71"/>
      <c r="I415" s="73"/>
      <c r="J415" s="65" t="s">
        <v>331</v>
      </c>
    </row>
    <row r="416" spans="2:10" ht="15">
      <c r="B416" s="396"/>
      <c r="C416" s="71"/>
      <c r="D416" s="71"/>
      <c r="F416" s="71"/>
      <c r="G416" s="71"/>
      <c r="H416" s="71"/>
      <c r="I416" s="73"/>
      <c r="J416" s="65" t="s">
        <v>331</v>
      </c>
    </row>
    <row r="417" spans="2:10" ht="15">
      <c r="B417" s="396"/>
      <c r="C417" s="71"/>
      <c r="D417" s="71"/>
      <c r="F417" s="71"/>
      <c r="G417" s="71"/>
      <c r="H417" s="71"/>
      <c r="I417" s="73"/>
      <c r="J417" s="65" t="s">
        <v>331</v>
      </c>
    </row>
    <row r="418" spans="2:10" ht="15">
      <c r="B418" s="396"/>
      <c r="C418" s="71"/>
      <c r="D418" s="71"/>
      <c r="F418" s="71"/>
      <c r="G418" s="71"/>
      <c r="H418" s="71"/>
      <c r="I418" s="73"/>
      <c r="J418" s="65" t="s">
        <v>331</v>
      </c>
    </row>
    <row r="419" spans="2:10" ht="15">
      <c r="B419" s="396"/>
      <c r="C419" s="71"/>
      <c r="D419" s="71"/>
      <c r="F419" s="71"/>
      <c r="G419" s="71"/>
      <c r="H419" s="71"/>
      <c r="I419" s="73"/>
      <c r="J419" s="65" t="s">
        <v>331</v>
      </c>
    </row>
    <row r="420" spans="2:10" ht="15">
      <c r="B420" s="396"/>
      <c r="C420" s="71"/>
      <c r="D420" s="71"/>
      <c r="F420" s="71"/>
      <c r="G420" s="71"/>
      <c r="H420" s="71"/>
      <c r="I420" s="73"/>
      <c r="J420" s="65" t="s">
        <v>331</v>
      </c>
    </row>
    <row r="421" spans="2:10" ht="15">
      <c r="B421" s="396"/>
      <c r="C421" s="71"/>
      <c r="D421" s="71"/>
      <c r="F421" s="71"/>
      <c r="G421" s="71"/>
      <c r="H421" s="71"/>
      <c r="I421" s="73"/>
      <c r="J421" s="65" t="s">
        <v>331</v>
      </c>
    </row>
    <row r="422" spans="2:10" ht="15">
      <c r="B422" s="396"/>
      <c r="C422" s="71"/>
      <c r="D422" s="71"/>
      <c r="F422" s="71"/>
      <c r="G422" s="71"/>
      <c r="H422" s="71"/>
      <c r="I422" s="73"/>
      <c r="J422" s="65" t="s">
        <v>331</v>
      </c>
    </row>
    <row r="423" spans="2:10" ht="15">
      <c r="B423" s="396"/>
      <c r="C423" s="71"/>
      <c r="D423" s="71"/>
      <c r="F423" s="71"/>
      <c r="G423" s="71"/>
      <c r="H423" s="71"/>
      <c r="I423" s="73"/>
      <c r="J423" s="65" t="s">
        <v>331</v>
      </c>
    </row>
    <row r="424" spans="2:10" ht="15">
      <c r="B424" s="396"/>
      <c r="C424" s="71"/>
      <c r="D424" s="71"/>
      <c r="F424" s="71"/>
      <c r="G424" s="71"/>
      <c r="H424" s="71"/>
      <c r="I424" s="73"/>
      <c r="J424" s="65" t="s">
        <v>331</v>
      </c>
    </row>
    <row r="425" spans="2:10" ht="15">
      <c r="B425" s="396"/>
      <c r="C425" s="71"/>
      <c r="D425" s="71"/>
      <c r="F425" s="71"/>
      <c r="G425" s="71"/>
      <c r="H425" s="71"/>
      <c r="I425" s="73"/>
      <c r="J425" s="65" t="s">
        <v>331</v>
      </c>
    </row>
    <row r="426" spans="2:10" ht="15">
      <c r="B426" s="396"/>
      <c r="C426" s="71"/>
      <c r="D426" s="71"/>
      <c r="F426" s="71"/>
      <c r="G426" s="71"/>
      <c r="H426" s="71"/>
      <c r="I426" s="73"/>
      <c r="J426" s="65" t="s">
        <v>331</v>
      </c>
    </row>
    <row r="427" spans="2:10" ht="15">
      <c r="B427" s="396"/>
      <c r="C427" s="71"/>
      <c r="D427" s="71"/>
      <c r="F427" s="71"/>
      <c r="G427" s="71"/>
      <c r="H427" s="71"/>
      <c r="I427" s="73"/>
      <c r="J427" s="65" t="s">
        <v>331</v>
      </c>
    </row>
    <row r="428" spans="2:10" ht="15">
      <c r="B428" s="396"/>
      <c r="C428" s="71"/>
      <c r="D428" s="71"/>
      <c r="F428" s="71"/>
      <c r="G428" s="71"/>
      <c r="H428" s="71"/>
      <c r="I428" s="73"/>
      <c r="J428" s="65" t="s">
        <v>331</v>
      </c>
    </row>
    <row r="429" spans="2:10" ht="15">
      <c r="B429" s="396"/>
      <c r="C429" s="71"/>
      <c r="D429" s="71"/>
      <c r="F429" s="71"/>
      <c r="G429" s="71"/>
      <c r="H429" s="71"/>
      <c r="I429" s="73"/>
      <c r="J429" s="65" t="s">
        <v>331</v>
      </c>
    </row>
    <row r="430" spans="2:10" ht="15">
      <c r="B430" s="396"/>
      <c r="C430" s="71"/>
      <c r="D430" s="71"/>
      <c r="F430" s="71"/>
      <c r="G430" s="71"/>
      <c r="H430" s="71"/>
      <c r="I430" s="73"/>
      <c r="J430" s="65" t="s">
        <v>331</v>
      </c>
    </row>
    <row r="431" spans="2:10" ht="15">
      <c r="B431" s="396"/>
      <c r="C431" s="71"/>
      <c r="D431" s="71"/>
      <c r="F431" s="71"/>
      <c r="G431" s="71"/>
      <c r="H431" s="71"/>
      <c r="I431" s="73"/>
      <c r="J431" s="65" t="s">
        <v>331</v>
      </c>
    </row>
    <row r="432" spans="2:10" ht="15">
      <c r="B432" s="396"/>
      <c r="C432" s="71"/>
      <c r="D432" s="71"/>
      <c r="F432" s="71"/>
      <c r="G432" s="71"/>
      <c r="H432" s="71"/>
      <c r="I432" s="73"/>
      <c r="J432" s="65" t="s">
        <v>331</v>
      </c>
    </row>
    <row r="433" spans="2:10" ht="15">
      <c r="B433" s="396"/>
      <c r="C433" s="71"/>
      <c r="D433" s="71"/>
      <c r="F433" s="71"/>
      <c r="G433" s="71"/>
      <c r="H433" s="71"/>
      <c r="I433" s="73"/>
      <c r="J433" s="65" t="s">
        <v>331</v>
      </c>
    </row>
    <row r="434" spans="2:10" ht="15">
      <c r="B434" s="396"/>
      <c r="C434" s="71"/>
      <c r="D434" s="71"/>
      <c r="F434" s="71"/>
      <c r="G434" s="71"/>
      <c r="H434" s="71"/>
      <c r="I434" s="73"/>
      <c r="J434" s="65" t="s">
        <v>331</v>
      </c>
    </row>
    <row r="435" spans="2:10" ht="15">
      <c r="B435" s="396"/>
      <c r="C435" s="71"/>
      <c r="D435" s="71"/>
      <c r="F435" s="71"/>
      <c r="G435" s="71"/>
      <c r="H435" s="71"/>
      <c r="I435" s="73"/>
      <c r="J435" s="65" t="s">
        <v>331</v>
      </c>
    </row>
    <row r="436" spans="2:10" ht="15">
      <c r="B436" s="396"/>
      <c r="C436" s="71"/>
      <c r="D436" s="71"/>
      <c r="F436" s="71"/>
      <c r="G436" s="71"/>
      <c r="H436" s="71"/>
      <c r="I436" s="73"/>
      <c r="J436" s="65" t="s">
        <v>331</v>
      </c>
    </row>
    <row r="437" spans="2:10" ht="15">
      <c r="B437" s="396"/>
      <c r="C437" s="71"/>
      <c r="D437" s="71"/>
      <c r="F437" s="71"/>
      <c r="G437" s="71"/>
      <c r="H437" s="71"/>
      <c r="I437" s="73"/>
      <c r="J437" s="65" t="s">
        <v>331</v>
      </c>
    </row>
    <row r="438" spans="2:10" ht="15">
      <c r="B438" s="396"/>
      <c r="C438" s="71"/>
      <c r="D438" s="71"/>
      <c r="F438" s="71"/>
      <c r="G438" s="71"/>
      <c r="H438" s="71"/>
      <c r="I438" s="73"/>
      <c r="J438" s="65" t="s">
        <v>331</v>
      </c>
    </row>
    <row r="439" spans="2:10" ht="15">
      <c r="B439" s="396"/>
      <c r="C439" s="71"/>
      <c r="D439" s="71"/>
      <c r="F439" s="71"/>
      <c r="G439" s="71"/>
      <c r="H439" s="71"/>
      <c r="I439" s="73"/>
      <c r="J439" s="65" t="s">
        <v>331</v>
      </c>
    </row>
    <row r="440" spans="2:10" ht="15">
      <c r="B440" s="396"/>
      <c r="C440" s="71"/>
      <c r="D440" s="71"/>
      <c r="F440" s="71"/>
      <c r="G440" s="71"/>
      <c r="H440" s="71"/>
      <c r="I440" s="73"/>
      <c r="J440" s="65" t="s">
        <v>331</v>
      </c>
    </row>
    <row r="441" spans="2:10" ht="15">
      <c r="B441" s="396"/>
      <c r="C441" s="71"/>
      <c r="D441" s="71"/>
      <c r="F441" s="71"/>
      <c r="G441" s="71"/>
      <c r="H441" s="71"/>
      <c r="I441" s="73"/>
      <c r="J441" s="65" t="s">
        <v>331</v>
      </c>
    </row>
    <row r="442" spans="2:10" ht="15">
      <c r="B442" s="396"/>
      <c r="C442" s="71"/>
      <c r="D442" s="71"/>
      <c r="F442" s="71"/>
      <c r="G442" s="71"/>
      <c r="H442" s="71"/>
      <c r="I442" s="73"/>
      <c r="J442" s="65" t="s">
        <v>331</v>
      </c>
    </row>
    <row r="443" spans="2:10" ht="15">
      <c r="B443" s="396"/>
      <c r="C443" s="71"/>
      <c r="D443" s="71"/>
      <c r="F443" s="71"/>
      <c r="G443" s="71"/>
      <c r="H443" s="71"/>
      <c r="I443" s="73"/>
      <c r="J443" s="65" t="s">
        <v>331</v>
      </c>
    </row>
    <row r="444" spans="2:10" ht="15">
      <c r="B444" s="396"/>
      <c r="C444" s="71"/>
      <c r="D444" s="71"/>
      <c r="F444" s="71"/>
      <c r="G444" s="71"/>
      <c r="H444" s="71"/>
      <c r="I444" s="73"/>
      <c r="J444" s="65" t="s">
        <v>331</v>
      </c>
    </row>
    <row r="445" spans="2:10" ht="15">
      <c r="B445" s="396"/>
      <c r="C445" s="71"/>
      <c r="D445" s="71"/>
      <c r="F445" s="71"/>
      <c r="G445" s="71"/>
      <c r="H445" s="71"/>
      <c r="I445" s="73"/>
      <c r="J445" s="65" t="s">
        <v>331</v>
      </c>
    </row>
    <row r="446" spans="2:10" ht="15">
      <c r="B446" s="396"/>
      <c r="C446" s="71"/>
      <c r="D446" s="71"/>
      <c r="F446" s="71"/>
      <c r="G446" s="71"/>
      <c r="H446" s="71"/>
      <c r="I446" s="73"/>
      <c r="J446" s="65" t="s">
        <v>331</v>
      </c>
    </row>
    <row r="447" spans="2:10" ht="15">
      <c r="B447" s="396"/>
      <c r="C447" s="71"/>
      <c r="D447" s="71"/>
      <c r="F447" s="71"/>
      <c r="G447" s="71"/>
      <c r="H447" s="71"/>
      <c r="I447" s="73"/>
      <c r="J447" s="65" t="s">
        <v>331</v>
      </c>
    </row>
    <row r="448" spans="2:10" ht="15">
      <c r="B448" s="396"/>
      <c r="C448" s="71"/>
      <c r="D448" s="71"/>
      <c r="F448" s="71"/>
      <c r="G448" s="71"/>
      <c r="H448" s="71"/>
      <c r="I448" s="73"/>
      <c r="J448" s="65" t="s">
        <v>331</v>
      </c>
    </row>
    <row r="449" spans="2:10" ht="15">
      <c r="B449" s="396"/>
      <c r="C449" s="71"/>
      <c r="D449" s="71"/>
      <c r="F449" s="71"/>
      <c r="G449" s="71"/>
      <c r="H449" s="71"/>
      <c r="I449" s="73"/>
      <c r="J449" s="65" t="s">
        <v>331</v>
      </c>
    </row>
    <row r="450" spans="2:10" ht="15">
      <c r="B450" s="396"/>
      <c r="C450" s="71"/>
      <c r="D450" s="71"/>
      <c r="F450" s="71"/>
      <c r="G450" s="71"/>
      <c r="H450" s="71"/>
      <c r="I450" s="73"/>
      <c r="J450" s="65" t="s">
        <v>331</v>
      </c>
    </row>
    <row r="451" spans="2:10" ht="15">
      <c r="B451" s="396"/>
      <c r="C451" s="71"/>
      <c r="D451" s="71"/>
      <c r="F451" s="71"/>
      <c r="G451" s="71"/>
      <c r="H451" s="71"/>
      <c r="I451" s="73"/>
      <c r="J451" s="65" t="s">
        <v>331</v>
      </c>
    </row>
    <row r="452" spans="2:10" ht="15">
      <c r="B452" s="396"/>
      <c r="C452" s="71"/>
      <c r="D452" s="71"/>
      <c r="F452" s="71"/>
      <c r="G452" s="71"/>
      <c r="H452" s="71"/>
      <c r="I452" s="73"/>
      <c r="J452" s="65" t="s">
        <v>331</v>
      </c>
    </row>
    <row r="453" spans="2:10" ht="15">
      <c r="B453" s="396"/>
      <c r="C453" s="71"/>
      <c r="D453" s="71"/>
      <c r="F453" s="71"/>
      <c r="G453" s="71"/>
      <c r="H453" s="71"/>
      <c r="I453" s="73"/>
      <c r="J453" s="65" t="s">
        <v>331</v>
      </c>
    </row>
    <row r="454" spans="2:10" ht="15">
      <c r="B454" s="396"/>
      <c r="C454" s="71"/>
      <c r="D454" s="71"/>
      <c r="F454" s="71"/>
      <c r="G454" s="71"/>
      <c r="H454" s="71"/>
      <c r="I454" s="73"/>
      <c r="J454" s="65" t="s">
        <v>331</v>
      </c>
    </row>
    <row r="455" spans="2:10" ht="15">
      <c r="B455" s="396"/>
      <c r="C455" s="71"/>
      <c r="D455" s="71"/>
      <c r="F455" s="71"/>
      <c r="G455" s="71"/>
      <c r="H455" s="71"/>
      <c r="I455" s="73"/>
      <c r="J455" s="65" t="s">
        <v>331</v>
      </c>
    </row>
    <row r="456" spans="2:10" ht="15">
      <c r="B456" s="396"/>
      <c r="C456" s="71"/>
      <c r="D456" s="71"/>
      <c r="F456" s="71"/>
      <c r="G456" s="71"/>
      <c r="H456" s="71"/>
      <c r="I456" s="73"/>
      <c r="J456" s="65" t="s">
        <v>331</v>
      </c>
    </row>
    <row r="457" spans="2:10" ht="15">
      <c r="B457" s="396"/>
      <c r="C457" s="71"/>
      <c r="D457" s="71"/>
      <c r="F457" s="71"/>
      <c r="G457" s="71"/>
      <c r="H457" s="71"/>
      <c r="I457" s="73"/>
      <c r="J457" s="65" t="s">
        <v>331</v>
      </c>
    </row>
    <row r="458" spans="2:10" ht="15">
      <c r="B458" s="396"/>
      <c r="C458" s="71"/>
      <c r="D458" s="71"/>
      <c r="F458" s="71"/>
      <c r="G458" s="71"/>
      <c r="H458" s="71"/>
      <c r="I458" s="73"/>
      <c r="J458" s="65" t="s">
        <v>331</v>
      </c>
    </row>
    <row r="459" spans="2:10" ht="15">
      <c r="B459" s="396"/>
      <c r="C459" s="71"/>
      <c r="D459" s="71"/>
      <c r="F459" s="71"/>
      <c r="G459" s="71"/>
      <c r="H459" s="71"/>
      <c r="I459" s="73"/>
      <c r="J459" s="65" t="s">
        <v>331</v>
      </c>
    </row>
    <row r="460" spans="2:10" ht="15">
      <c r="B460" s="396"/>
      <c r="C460" s="71"/>
      <c r="D460" s="71"/>
      <c r="F460" s="71"/>
      <c r="G460" s="71"/>
      <c r="H460" s="71"/>
      <c r="I460" s="73"/>
      <c r="J460" s="65" t="s">
        <v>331</v>
      </c>
    </row>
    <row r="461" spans="2:10" ht="15">
      <c r="B461" s="396"/>
      <c r="C461" s="71"/>
      <c r="D461" s="71"/>
      <c r="F461" s="71"/>
      <c r="G461" s="71"/>
      <c r="H461" s="71"/>
      <c r="I461" s="73"/>
      <c r="J461" s="65" t="s">
        <v>331</v>
      </c>
    </row>
    <row r="462" spans="2:10" ht="15">
      <c r="B462" s="396"/>
      <c r="C462" s="71"/>
      <c r="D462" s="71"/>
      <c r="F462" s="71"/>
      <c r="G462" s="71"/>
      <c r="H462" s="71"/>
      <c r="I462" s="73"/>
      <c r="J462" s="65" t="s">
        <v>331</v>
      </c>
    </row>
    <row r="463" spans="2:10" ht="15">
      <c r="B463" s="396"/>
      <c r="C463" s="71"/>
      <c r="D463" s="71"/>
      <c r="F463" s="71"/>
      <c r="G463" s="71"/>
      <c r="H463" s="71"/>
      <c r="I463" s="73"/>
      <c r="J463" s="65" t="s">
        <v>331</v>
      </c>
    </row>
    <row r="464" spans="2:10" ht="15">
      <c r="B464" s="396"/>
      <c r="C464" s="71"/>
      <c r="D464" s="71"/>
      <c r="F464" s="71"/>
      <c r="G464" s="71"/>
      <c r="H464" s="71"/>
      <c r="I464" s="73"/>
      <c r="J464" s="65" t="s">
        <v>331</v>
      </c>
    </row>
    <row r="465" spans="2:10" ht="15">
      <c r="B465" s="396"/>
      <c r="C465" s="71"/>
      <c r="D465" s="71"/>
      <c r="F465" s="71"/>
      <c r="G465" s="71"/>
      <c r="H465" s="71"/>
      <c r="I465" s="73"/>
      <c r="J465" s="65" t="s">
        <v>331</v>
      </c>
    </row>
    <row r="466" spans="2:10" ht="15">
      <c r="B466" s="396"/>
      <c r="C466" s="71"/>
      <c r="D466" s="71"/>
      <c r="F466" s="71"/>
      <c r="G466" s="71"/>
      <c r="H466" s="71"/>
      <c r="I466" s="73"/>
      <c r="J466" s="65" t="s">
        <v>331</v>
      </c>
    </row>
    <row r="467" spans="2:10" ht="15">
      <c r="B467" s="396"/>
      <c r="C467" s="71"/>
      <c r="D467" s="71"/>
      <c r="F467" s="71"/>
      <c r="G467" s="71"/>
      <c r="H467" s="71"/>
      <c r="I467" s="73"/>
      <c r="J467" s="65" t="s">
        <v>331</v>
      </c>
    </row>
    <row r="468" spans="2:10" ht="15">
      <c r="B468" s="396"/>
      <c r="C468" s="71"/>
      <c r="D468" s="71"/>
      <c r="F468" s="71"/>
      <c r="G468" s="71"/>
      <c r="H468" s="71"/>
      <c r="I468" s="73"/>
      <c r="J468" s="65" t="s">
        <v>331</v>
      </c>
    </row>
    <row r="469" spans="2:10" ht="15">
      <c r="B469" s="396"/>
      <c r="C469" s="71"/>
      <c r="D469" s="71"/>
      <c r="F469" s="71"/>
      <c r="G469" s="71"/>
      <c r="H469" s="71"/>
      <c r="I469" s="73"/>
      <c r="J469" s="65" t="s">
        <v>331</v>
      </c>
    </row>
    <row r="470" spans="2:10" ht="15">
      <c r="B470" s="396"/>
      <c r="C470" s="71"/>
      <c r="D470" s="71"/>
      <c r="F470" s="71"/>
      <c r="G470" s="71"/>
      <c r="H470" s="71"/>
      <c r="I470" s="73"/>
      <c r="J470" s="65" t="s">
        <v>331</v>
      </c>
    </row>
    <row r="471" spans="2:10" ht="15">
      <c r="B471" s="396"/>
      <c r="C471" s="71"/>
      <c r="D471" s="71"/>
      <c r="F471" s="71"/>
      <c r="G471" s="71"/>
      <c r="H471" s="71"/>
      <c r="I471" s="73"/>
      <c r="J471" s="65" t="s">
        <v>331</v>
      </c>
    </row>
    <row r="472" spans="2:10" ht="15">
      <c r="B472" s="396"/>
      <c r="C472" s="71"/>
      <c r="D472" s="71"/>
      <c r="F472" s="71"/>
      <c r="G472" s="71"/>
      <c r="H472" s="71"/>
      <c r="I472" s="73"/>
      <c r="J472" s="65" t="s">
        <v>331</v>
      </c>
    </row>
    <row r="473" spans="2:10" ht="15">
      <c r="B473" s="396"/>
      <c r="C473" s="71"/>
      <c r="D473" s="71"/>
      <c r="F473" s="71"/>
      <c r="G473" s="71"/>
      <c r="H473" s="71"/>
      <c r="I473" s="73"/>
      <c r="J473" s="65" t="s">
        <v>331</v>
      </c>
    </row>
    <row r="474" spans="2:10" ht="15">
      <c r="B474" s="396"/>
      <c r="C474" s="71"/>
      <c r="D474" s="71"/>
      <c r="F474" s="71"/>
      <c r="G474" s="71"/>
      <c r="H474" s="71"/>
      <c r="I474" s="73"/>
      <c r="J474" s="65" t="s">
        <v>331</v>
      </c>
    </row>
    <row r="475" spans="2:10" ht="15">
      <c r="B475" s="396"/>
      <c r="C475" s="71"/>
      <c r="D475" s="71"/>
      <c r="F475" s="71"/>
      <c r="G475" s="71"/>
      <c r="H475" s="71"/>
      <c r="I475" s="73"/>
      <c r="J475" s="65" t="s">
        <v>331</v>
      </c>
    </row>
    <row r="476" spans="2:10" ht="15">
      <c r="B476" s="396"/>
      <c r="C476" s="71"/>
      <c r="D476" s="71"/>
      <c r="F476" s="71"/>
      <c r="G476" s="71"/>
      <c r="H476" s="71"/>
      <c r="I476" s="73"/>
      <c r="J476" s="65" t="s">
        <v>331</v>
      </c>
    </row>
    <row r="477" spans="2:10" ht="15">
      <c r="B477" s="396"/>
      <c r="C477" s="71"/>
      <c r="D477" s="71"/>
      <c r="F477" s="71"/>
      <c r="G477" s="71"/>
      <c r="H477" s="71"/>
      <c r="I477" s="73"/>
      <c r="J477" s="65" t="s">
        <v>331</v>
      </c>
    </row>
    <row r="478" spans="2:10" ht="15">
      <c r="B478" s="396"/>
      <c r="C478" s="71"/>
      <c r="D478" s="71"/>
      <c r="F478" s="71"/>
      <c r="G478" s="71"/>
      <c r="H478" s="71"/>
      <c r="I478" s="73"/>
      <c r="J478" s="65" t="s">
        <v>331</v>
      </c>
    </row>
    <row r="479" spans="2:10" ht="15">
      <c r="B479" s="396"/>
      <c r="C479" s="71"/>
      <c r="D479" s="71"/>
      <c r="F479" s="71"/>
      <c r="G479" s="71"/>
      <c r="H479" s="71"/>
      <c r="I479" s="73"/>
      <c r="J479" s="65" t="s">
        <v>331</v>
      </c>
    </row>
    <row r="480" spans="2:10" ht="15">
      <c r="B480" s="396"/>
      <c r="C480" s="71"/>
      <c r="D480" s="71"/>
      <c r="F480" s="71"/>
      <c r="G480" s="71"/>
      <c r="H480" s="71"/>
      <c r="I480" s="73"/>
      <c r="J480" s="65" t="s">
        <v>331</v>
      </c>
    </row>
    <row r="481" spans="2:10" ht="15">
      <c r="B481" s="396"/>
      <c r="C481" s="71"/>
      <c r="D481" s="71"/>
      <c r="F481" s="71"/>
      <c r="G481" s="71"/>
      <c r="H481" s="71"/>
      <c r="I481" s="73"/>
      <c r="J481" s="65" t="s">
        <v>331</v>
      </c>
    </row>
    <row r="482" spans="2:10" ht="15">
      <c r="B482" s="396"/>
      <c r="C482" s="71"/>
      <c r="D482" s="71"/>
      <c r="F482" s="71"/>
      <c r="G482" s="71"/>
      <c r="H482" s="71"/>
      <c r="I482" s="73"/>
      <c r="J482" s="65" t="s">
        <v>331</v>
      </c>
    </row>
    <row r="483" spans="2:10" ht="15">
      <c r="B483" s="396"/>
      <c r="C483" s="71"/>
      <c r="D483" s="71"/>
      <c r="F483" s="71"/>
      <c r="G483" s="71"/>
      <c r="H483" s="71"/>
      <c r="I483" s="73"/>
      <c r="J483" s="65" t="s">
        <v>331</v>
      </c>
    </row>
    <row r="484" spans="2:10" ht="15">
      <c r="B484" s="396"/>
      <c r="C484" s="71"/>
      <c r="D484" s="71"/>
      <c r="F484" s="71"/>
      <c r="G484" s="71"/>
      <c r="H484" s="71"/>
      <c r="I484" s="73"/>
      <c r="J484" s="65" t="s">
        <v>331</v>
      </c>
    </row>
    <row r="485" spans="2:10" ht="15">
      <c r="B485" s="396"/>
      <c r="C485" s="71"/>
      <c r="D485" s="71"/>
      <c r="F485" s="71"/>
      <c r="G485" s="71"/>
      <c r="H485" s="71"/>
      <c r="I485" s="73"/>
      <c r="J485" s="65" t="s">
        <v>331</v>
      </c>
    </row>
    <row r="486" spans="2:10" ht="15">
      <c r="B486" s="396"/>
      <c r="C486" s="71"/>
      <c r="D486" s="71"/>
      <c r="F486" s="71"/>
      <c r="G486" s="71"/>
      <c r="H486" s="71"/>
      <c r="I486" s="73"/>
      <c r="J486" s="65" t="s">
        <v>331</v>
      </c>
    </row>
    <row r="487" spans="2:10" ht="15">
      <c r="B487" s="396"/>
      <c r="C487" s="71"/>
      <c r="D487" s="71"/>
      <c r="F487" s="71"/>
      <c r="G487" s="71"/>
      <c r="H487" s="71"/>
      <c r="I487" s="73"/>
      <c r="J487" s="65" t="s">
        <v>331</v>
      </c>
    </row>
    <row r="488" spans="2:10" ht="15">
      <c r="B488" s="396"/>
      <c r="C488" s="71"/>
      <c r="D488" s="71"/>
      <c r="F488" s="71"/>
      <c r="G488" s="71"/>
      <c r="H488" s="71"/>
      <c r="I488" s="73"/>
      <c r="J488" s="65" t="s">
        <v>331</v>
      </c>
    </row>
    <row r="489" spans="2:10" ht="15">
      <c r="B489" s="396"/>
      <c r="C489" s="71"/>
      <c r="D489" s="71"/>
      <c r="F489" s="71"/>
      <c r="G489" s="71"/>
      <c r="H489" s="71"/>
      <c r="I489" s="73"/>
      <c r="J489" s="65" t="s">
        <v>331</v>
      </c>
    </row>
    <row r="490" spans="2:10" ht="15">
      <c r="B490" s="396"/>
      <c r="C490" s="71"/>
      <c r="D490" s="71"/>
      <c r="F490" s="71"/>
      <c r="G490" s="71"/>
      <c r="H490" s="71"/>
      <c r="I490" s="73"/>
      <c r="J490" s="65" t="s">
        <v>331</v>
      </c>
    </row>
    <row r="491" spans="2:10" ht="15">
      <c r="B491" s="396"/>
      <c r="C491" s="71"/>
      <c r="D491" s="71"/>
      <c r="F491" s="71"/>
      <c r="G491" s="71"/>
      <c r="H491" s="71"/>
      <c r="I491" s="73"/>
      <c r="J491" s="65" t="s">
        <v>331</v>
      </c>
    </row>
    <row r="492" spans="2:10" ht="15">
      <c r="B492" s="396"/>
      <c r="C492" s="71"/>
      <c r="D492" s="71"/>
      <c r="F492" s="71"/>
      <c r="G492" s="71"/>
      <c r="H492" s="71"/>
      <c r="I492" s="73"/>
      <c r="J492" s="65" t="s">
        <v>331</v>
      </c>
    </row>
    <row r="493" spans="2:10" ht="15">
      <c r="B493" s="396"/>
      <c r="C493" s="71"/>
      <c r="D493" s="71"/>
      <c r="F493" s="71"/>
      <c r="G493" s="71"/>
      <c r="H493" s="71"/>
      <c r="I493" s="73"/>
      <c r="J493" s="65" t="s">
        <v>331</v>
      </c>
    </row>
    <row r="494" spans="2:10" ht="15">
      <c r="B494" s="396"/>
      <c r="C494" s="71"/>
      <c r="D494" s="71"/>
      <c r="F494" s="71"/>
      <c r="G494" s="71"/>
      <c r="H494" s="71"/>
      <c r="I494" s="73"/>
      <c r="J494" s="65" t="s">
        <v>331</v>
      </c>
    </row>
    <row r="495" spans="2:10" ht="15">
      <c r="B495" s="396"/>
      <c r="C495" s="71"/>
      <c r="D495" s="71"/>
      <c r="F495" s="71"/>
      <c r="G495" s="71"/>
      <c r="H495" s="71"/>
      <c r="I495" s="73"/>
      <c r="J495" s="65" t="s">
        <v>331</v>
      </c>
    </row>
    <row r="496" spans="2:10" ht="15">
      <c r="B496" s="396"/>
      <c r="C496" s="71"/>
      <c r="D496" s="71"/>
      <c r="F496" s="71"/>
      <c r="G496" s="71"/>
      <c r="H496" s="71"/>
      <c r="I496" s="73"/>
      <c r="J496" s="65" t="s">
        <v>331</v>
      </c>
    </row>
    <row r="497" spans="2:10" ht="15">
      <c r="B497" s="396"/>
      <c r="C497" s="71"/>
      <c r="D497" s="71"/>
      <c r="F497" s="71"/>
      <c r="G497" s="71"/>
      <c r="H497" s="71"/>
      <c r="I497" s="73"/>
      <c r="J497" s="65" t="s">
        <v>331</v>
      </c>
    </row>
    <row r="498" spans="2:10" ht="15">
      <c r="B498" s="396"/>
      <c r="C498" s="71"/>
      <c r="D498" s="71"/>
      <c r="F498" s="71"/>
      <c r="G498" s="71"/>
      <c r="H498" s="71"/>
      <c r="I498" s="73"/>
      <c r="J498" s="65" t="s">
        <v>331</v>
      </c>
    </row>
    <row r="499" spans="2:10" ht="15">
      <c r="B499" s="396"/>
      <c r="C499" s="71"/>
      <c r="D499" s="71"/>
      <c r="F499" s="71"/>
      <c r="G499" s="71"/>
      <c r="H499" s="71"/>
      <c r="I499" s="73"/>
      <c r="J499" s="65" t="s">
        <v>331</v>
      </c>
    </row>
    <row r="500" spans="2:10" ht="15">
      <c r="B500" s="396"/>
      <c r="C500" s="71"/>
      <c r="D500" s="71"/>
      <c r="F500" s="71"/>
      <c r="G500" s="71"/>
      <c r="H500" s="71"/>
      <c r="I500" s="73"/>
      <c r="J500" s="65" t="s">
        <v>331</v>
      </c>
    </row>
    <row r="501" spans="2:10" ht="15">
      <c r="B501" s="396"/>
      <c r="C501" s="71"/>
      <c r="D501" s="71"/>
      <c r="F501" s="71"/>
      <c r="G501" s="71"/>
      <c r="H501" s="71"/>
      <c r="I501" s="73"/>
      <c r="J501" s="65" t="s">
        <v>331</v>
      </c>
    </row>
    <row r="502" spans="2:10" ht="15">
      <c r="B502" s="396"/>
      <c r="C502" s="71"/>
      <c r="D502" s="71"/>
      <c r="F502" s="71"/>
      <c r="G502" s="71"/>
      <c r="H502" s="71"/>
      <c r="I502" s="73"/>
      <c r="J502" s="65" t="s">
        <v>331</v>
      </c>
    </row>
    <row r="503" spans="2:10" ht="15">
      <c r="B503" s="396"/>
      <c r="C503" s="71"/>
      <c r="D503" s="71"/>
      <c r="F503" s="71"/>
      <c r="G503" s="71"/>
      <c r="H503" s="71"/>
      <c r="I503" s="73"/>
      <c r="J503" s="65" t="s">
        <v>331</v>
      </c>
    </row>
    <row r="504" spans="2:10" ht="15">
      <c r="B504" s="396"/>
      <c r="C504" s="71"/>
      <c r="D504" s="71"/>
      <c r="F504" s="71"/>
      <c r="G504" s="71"/>
      <c r="H504" s="71"/>
      <c r="I504" s="73"/>
      <c r="J504" s="65" t="s">
        <v>331</v>
      </c>
    </row>
    <row r="505" spans="2:10" ht="15">
      <c r="B505" s="396"/>
      <c r="C505" s="71"/>
      <c r="D505" s="71"/>
      <c r="F505" s="71"/>
      <c r="G505" s="71"/>
      <c r="H505" s="71"/>
      <c r="I505" s="73"/>
      <c r="J505" s="65" t="s">
        <v>331</v>
      </c>
    </row>
    <row r="506" spans="2:10" ht="15">
      <c r="B506" s="396"/>
      <c r="C506" s="71"/>
      <c r="D506" s="71"/>
      <c r="F506" s="71"/>
      <c r="G506" s="71"/>
      <c r="H506" s="71"/>
      <c r="I506" s="73"/>
      <c r="J506" s="65" t="s">
        <v>331</v>
      </c>
    </row>
    <row r="507" spans="2:10" ht="15">
      <c r="B507" s="396"/>
      <c r="C507" s="71"/>
      <c r="D507" s="71"/>
      <c r="F507" s="71"/>
      <c r="G507" s="71"/>
      <c r="H507" s="71"/>
      <c r="I507" s="73"/>
      <c r="J507" s="65" t="s">
        <v>331</v>
      </c>
    </row>
    <row r="508" spans="2:10" ht="15">
      <c r="B508" s="396"/>
      <c r="C508" s="71"/>
      <c r="D508" s="71"/>
      <c r="F508" s="71"/>
      <c r="G508" s="71"/>
      <c r="H508" s="71"/>
      <c r="I508" s="73"/>
      <c r="J508" s="65" t="s">
        <v>331</v>
      </c>
    </row>
    <row r="509" spans="2:10" ht="15">
      <c r="B509" s="396"/>
      <c r="C509" s="71"/>
      <c r="D509" s="71"/>
      <c r="F509" s="71"/>
      <c r="G509" s="71"/>
      <c r="H509" s="71"/>
      <c r="I509" s="73"/>
      <c r="J509" s="65" t="s">
        <v>331</v>
      </c>
    </row>
    <row r="510" spans="2:10" ht="15">
      <c r="B510" s="396"/>
      <c r="C510" s="71"/>
      <c r="D510" s="71"/>
      <c r="F510" s="71"/>
      <c r="G510" s="71"/>
      <c r="H510" s="71"/>
      <c r="I510" s="73"/>
      <c r="J510" s="65" t="s">
        <v>331</v>
      </c>
    </row>
    <row r="511" spans="2:10" ht="15">
      <c r="B511" s="396"/>
      <c r="C511" s="71"/>
      <c r="D511" s="71"/>
      <c r="F511" s="71"/>
      <c r="G511" s="71"/>
      <c r="H511" s="71"/>
      <c r="I511" s="73"/>
      <c r="J511" s="65" t="s">
        <v>331</v>
      </c>
    </row>
    <row r="512" spans="2:10" ht="15">
      <c r="B512" s="396"/>
      <c r="C512" s="71"/>
      <c r="D512" s="71"/>
      <c r="F512" s="71"/>
      <c r="G512" s="71"/>
      <c r="H512" s="71"/>
      <c r="I512" s="73"/>
      <c r="J512" s="65" t="s">
        <v>331</v>
      </c>
    </row>
    <row r="513" spans="2:10" ht="15">
      <c r="B513" s="396"/>
      <c r="C513" s="71"/>
      <c r="D513" s="71"/>
      <c r="F513" s="71"/>
      <c r="G513" s="71"/>
      <c r="H513" s="71"/>
      <c r="I513" s="73"/>
      <c r="J513" s="65" t="s">
        <v>331</v>
      </c>
    </row>
    <row r="514" spans="2:10" ht="15">
      <c r="B514" s="396"/>
      <c r="C514" s="71"/>
      <c r="D514" s="71"/>
      <c r="F514" s="71"/>
      <c r="G514" s="71"/>
      <c r="H514" s="71"/>
      <c r="I514" s="73"/>
      <c r="J514" s="65" t="s">
        <v>331</v>
      </c>
    </row>
    <row r="515" spans="2:10" ht="15">
      <c r="B515" s="396"/>
      <c r="C515" s="71"/>
      <c r="D515" s="71"/>
      <c r="F515" s="71"/>
      <c r="G515" s="71"/>
      <c r="H515" s="71"/>
      <c r="I515" s="73"/>
      <c r="J515" s="65" t="s">
        <v>331</v>
      </c>
    </row>
    <row r="516" spans="2:10" ht="15">
      <c r="B516" s="396"/>
      <c r="C516" s="71"/>
      <c r="D516" s="71"/>
      <c r="F516" s="71"/>
      <c r="G516" s="71"/>
      <c r="H516" s="71"/>
      <c r="I516" s="73"/>
      <c r="J516" s="65" t="s">
        <v>331</v>
      </c>
    </row>
    <row r="517" spans="2:10" ht="15">
      <c r="B517" s="396"/>
      <c r="C517" s="71"/>
      <c r="D517" s="71"/>
      <c r="F517" s="71"/>
      <c r="G517" s="71"/>
      <c r="H517" s="71"/>
      <c r="I517" s="73"/>
      <c r="J517" s="65" t="s">
        <v>331</v>
      </c>
    </row>
    <row r="518" spans="2:10" ht="15">
      <c r="B518" s="396"/>
      <c r="C518" s="71"/>
      <c r="D518" s="71"/>
      <c r="F518" s="71"/>
      <c r="G518" s="71"/>
      <c r="H518" s="71"/>
      <c r="I518" s="73"/>
      <c r="J518" s="65" t="s">
        <v>331</v>
      </c>
    </row>
    <row r="519" spans="2:10" ht="15">
      <c r="B519" s="396"/>
      <c r="C519" s="71"/>
      <c r="D519" s="71"/>
      <c r="F519" s="71"/>
      <c r="G519" s="71"/>
      <c r="H519" s="71"/>
      <c r="I519" s="73"/>
      <c r="J519" s="65" t="s">
        <v>331</v>
      </c>
    </row>
    <row r="520" spans="2:10" ht="15">
      <c r="B520" s="396"/>
      <c r="C520" s="71"/>
      <c r="D520" s="71"/>
      <c r="F520" s="71"/>
      <c r="G520" s="71"/>
      <c r="H520" s="71"/>
      <c r="I520" s="73"/>
      <c r="J520" s="65" t="s">
        <v>331</v>
      </c>
    </row>
    <row r="521" spans="2:10" ht="15">
      <c r="B521" s="396"/>
      <c r="C521" s="71"/>
      <c r="D521" s="71"/>
      <c r="F521" s="71"/>
      <c r="G521" s="71"/>
      <c r="H521" s="71"/>
      <c r="I521" s="73"/>
      <c r="J521" s="65" t="s">
        <v>331</v>
      </c>
    </row>
    <row r="522" spans="2:10" ht="15">
      <c r="B522" s="396"/>
      <c r="C522" s="71"/>
      <c r="D522" s="71"/>
      <c r="F522" s="71"/>
      <c r="G522" s="71"/>
      <c r="H522" s="71"/>
      <c r="I522" s="73"/>
      <c r="J522" s="65" t="s">
        <v>331</v>
      </c>
    </row>
    <row r="523" spans="2:10" ht="15">
      <c r="B523" s="396"/>
      <c r="C523" s="71"/>
      <c r="D523" s="71"/>
      <c r="F523" s="71"/>
      <c r="G523" s="71"/>
      <c r="H523" s="71"/>
      <c r="I523" s="73"/>
      <c r="J523" s="65" t="s">
        <v>331</v>
      </c>
    </row>
    <row r="524" spans="2:10" ht="15">
      <c r="B524" s="396"/>
      <c r="C524" s="71"/>
      <c r="D524" s="71"/>
      <c r="F524" s="71"/>
      <c r="G524" s="71"/>
      <c r="H524" s="71"/>
      <c r="I524" s="73"/>
      <c r="J524" s="65" t="s">
        <v>331</v>
      </c>
    </row>
    <row r="525" spans="2:10" ht="15">
      <c r="B525" s="396"/>
      <c r="C525" s="71"/>
      <c r="D525" s="71"/>
      <c r="F525" s="71"/>
      <c r="G525" s="71"/>
      <c r="H525" s="71"/>
      <c r="I525" s="73"/>
      <c r="J525" s="65" t="s">
        <v>331</v>
      </c>
    </row>
    <row r="526" spans="2:10" ht="15">
      <c r="B526" s="396"/>
      <c r="C526" s="71"/>
      <c r="D526" s="71"/>
      <c r="F526" s="71"/>
      <c r="G526" s="71"/>
      <c r="H526" s="71"/>
      <c r="I526" s="73"/>
      <c r="J526" s="65" t="s">
        <v>331</v>
      </c>
    </row>
    <row r="527" spans="2:10" ht="15">
      <c r="B527" s="396"/>
      <c r="C527" s="71"/>
      <c r="D527" s="71"/>
      <c r="F527" s="71"/>
      <c r="G527" s="71"/>
      <c r="H527" s="71"/>
      <c r="I527" s="73"/>
      <c r="J527" s="65" t="s">
        <v>331</v>
      </c>
    </row>
    <row r="528" spans="2:10" ht="15">
      <c r="B528" s="396"/>
      <c r="C528" s="71"/>
      <c r="D528" s="71"/>
      <c r="F528" s="71"/>
      <c r="G528" s="71"/>
      <c r="H528" s="71"/>
      <c r="I528" s="73"/>
      <c r="J528" s="65" t="s">
        <v>331</v>
      </c>
    </row>
    <row r="529" spans="2:10" ht="15">
      <c r="B529" s="396"/>
      <c r="C529" s="71"/>
      <c r="D529" s="71"/>
      <c r="F529" s="71"/>
      <c r="G529" s="71"/>
      <c r="H529" s="71"/>
      <c r="I529" s="73"/>
      <c r="J529" s="65" t="s">
        <v>331</v>
      </c>
    </row>
    <row r="530" spans="2:10" ht="15">
      <c r="B530" s="396"/>
      <c r="C530" s="71"/>
      <c r="D530" s="71"/>
      <c r="F530" s="71"/>
      <c r="G530" s="71"/>
      <c r="H530" s="71"/>
      <c r="I530" s="73"/>
      <c r="J530" s="65" t="s">
        <v>331</v>
      </c>
    </row>
    <row r="531" spans="2:10" ht="15">
      <c r="B531" s="396"/>
      <c r="C531" s="71"/>
      <c r="D531" s="71"/>
      <c r="F531" s="71"/>
      <c r="G531" s="71"/>
      <c r="H531" s="71"/>
      <c r="I531" s="73"/>
      <c r="J531" s="65" t="s">
        <v>331</v>
      </c>
    </row>
    <row r="532" spans="2:10" ht="15">
      <c r="B532" s="396"/>
      <c r="C532" s="71"/>
      <c r="D532" s="71"/>
      <c r="F532" s="71"/>
      <c r="G532" s="71"/>
      <c r="H532" s="71"/>
      <c r="I532" s="73"/>
      <c r="J532" s="65" t="s">
        <v>331</v>
      </c>
    </row>
    <row r="533" spans="2:10" ht="15">
      <c r="B533" s="396"/>
      <c r="C533" s="71"/>
      <c r="D533" s="71"/>
      <c r="F533" s="71"/>
      <c r="G533" s="71"/>
      <c r="H533" s="71"/>
      <c r="I533" s="73"/>
      <c r="J533" s="65" t="s">
        <v>331</v>
      </c>
    </row>
    <row r="534" spans="2:10" ht="15">
      <c r="B534" s="396"/>
      <c r="C534" s="71"/>
      <c r="D534" s="71"/>
      <c r="F534" s="71"/>
      <c r="G534" s="71"/>
      <c r="H534" s="71"/>
      <c r="I534" s="73"/>
      <c r="J534" s="65" t="s">
        <v>331</v>
      </c>
    </row>
    <row r="535" spans="2:10" ht="15">
      <c r="B535" s="396"/>
      <c r="C535" s="71"/>
      <c r="D535" s="71"/>
      <c r="F535" s="71"/>
      <c r="G535" s="71"/>
      <c r="H535" s="71"/>
      <c r="I535" s="73"/>
      <c r="J535" s="65" t="s">
        <v>331</v>
      </c>
    </row>
    <row r="536" spans="2:10" ht="15">
      <c r="B536" s="396"/>
      <c r="C536" s="71"/>
      <c r="D536" s="71"/>
      <c r="F536" s="71"/>
      <c r="G536" s="71"/>
      <c r="H536" s="71"/>
      <c r="I536" s="73"/>
      <c r="J536" s="65" t="s">
        <v>331</v>
      </c>
    </row>
    <row r="537" spans="2:10" ht="15">
      <c r="B537" s="396"/>
      <c r="C537" s="71"/>
      <c r="D537" s="71"/>
      <c r="F537" s="71"/>
      <c r="G537" s="71"/>
      <c r="H537" s="71"/>
      <c r="I537" s="73"/>
      <c r="J537" s="65" t="s">
        <v>331</v>
      </c>
    </row>
    <row r="538" spans="2:10" ht="15">
      <c r="B538" s="396"/>
      <c r="C538" s="71"/>
      <c r="D538" s="71"/>
      <c r="F538" s="71"/>
      <c r="G538" s="71"/>
      <c r="H538" s="71"/>
      <c r="I538" s="73"/>
      <c r="J538" s="65" t="s">
        <v>331</v>
      </c>
    </row>
    <row r="539" spans="2:10" ht="15">
      <c r="B539" s="396"/>
      <c r="C539" s="71"/>
      <c r="D539" s="71"/>
      <c r="F539" s="71"/>
      <c r="G539" s="71"/>
      <c r="H539" s="71"/>
      <c r="I539" s="73"/>
      <c r="J539" s="65" t="s">
        <v>331</v>
      </c>
    </row>
    <row r="540" spans="2:10" ht="15">
      <c r="B540" s="396"/>
      <c r="C540" s="71"/>
      <c r="D540" s="71"/>
      <c r="F540" s="71"/>
      <c r="G540" s="71"/>
      <c r="H540" s="71"/>
      <c r="I540" s="73"/>
      <c r="J540" s="65" t="s">
        <v>331</v>
      </c>
    </row>
    <row r="541" spans="2:10" ht="15">
      <c r="B541" s="396"/>
      <c r="C541" s="71"/>
      <c r="D541" s="71"/>
      <c r="F541" s="71"/>
      <c r="G541" s="71"/>
      <c r="H541" s="71"/>
      <c r="I541" s="73"/>
      <c r="J541" s="65" t="s">
        <v>331</v>
      </c>
    </row>
    <row r="542" spans="2:10" ht="15">
      <c r="B542" s="396"/>
      <c r="C542" s="71"/>
      <c r="D542" s="71"/>
      <c r="F542" s="71"/>
      <c r="G542" s="71"/>
      <c r="H542" s="71"/>
      <c r="I542" s="73"/>
      <c r="J542" s="65" t="s">
        <v>331</v>
      </c>
    </row>
    <row r="543" spans="2:10" ht="15">
      <c r="B543" s="396"/>
      <c r="C543" s="71"/>
      <c r="D543" s="71"/>
      <c r="F543" s="71"/>
      <c r="G543" s="71"/>
      <c r="H543" s="71"/>
      <c r="I543" s="73"/>
      <c r="J543" s="65" t="s">
        <v>331</v>
      </c>
    </row>
    <row r="544" spans="2:10" ht="15">
      <c r="B544" s="396"/>
      <c r="C544" s="71"/>
      <c r="D544" s="71"/>
      <c r="F544" s="71"/>
      <c r="G544" s="71"/>
      <c r="H544" s="71"/>
      <c r="I544" s="73"/>
      <c r="J544" s="65" t="s">
        <v>331</v>
      </c>
    </row>
    <row r="545" spans="2:10" ht="15">
      <c r="B545" s="396"/>
      <c r="C545" s="71"/>
      <c r="D545" s="71"/>
      <c r="F545" s="71"/>
      <c r="G545" s="71"/>
      <c r="H545" s="71"/>
      <c r="I545" s="73"/>
      <c r="J545" s="65" t="s">
        <v>331</v>
      </c>
    </row>
    <row r="546" spans="2:10" ht="15">
      <c r="B546" s="396"/>
      <c r="C546" s="71"/>
      <c r="D546" s="71"/>
      <c r="F546" s="71"/>
      <c r="G546" s="71"/>
      <c r="H546" s="71"/>
      <c r="I546" s="73"/>
      <c r="J546" s="65" t="s">
        <v>331</v>
      </c>
    </row>
    <row r="547" spans="2:10" ht="15">
      <c r="B547" s="396"/>
      <c r="C547" s="71"/>
      <c r="D547" s="71"/>
      <c r="F547" s="71"/>
      <c r="G547" s="71"/>
      <c r="H547" s="71"/>
      <c r="I547" s="73"/>
      <c r="J547" s="65" t="s">
        <v>331</v>
      </c>
    </row>
    <row r="548" spans="2:10" ht="15">
      <c r="B548" s="396"/>
      <c r="C548" s="71"/>
      <c r="D548" s="71"/>
      <c r="F548" s="71"/>
      <c r="G548" s="71"/>
      <c r="H548" s="71"/>
      <c r="I548" s="73"/>
      <c r="J548" s="65" t="s">
        <v>331</v>
      </c>
    </row>
    <row r="549" spans="2:10" ht="15">
      <c r="B549" s="396"/>
      <c r="C549" s="71"/>
      <c r="D549" s="71"/>
      <c r="F549" s="71"/>
      <c r="G549" s="71"/>
      <c r="H549" s="71"/>
      <c r="I549" s="73"/>
      <c r="J549" s="65" t="s">
        <v>331</v>
      </c>
    </row>
    <row r="550" spans="2:10" ht="15">
      <c r="B550" s="396"/>
      <c r="C550" s="71"/>
      <c r="D550" s="71"/>
      <c r="F550" s="71"/>
      <c r="G550" s="71"/>
      <c r="H550" s="71"/>
      <c r="I550" s="73"/>
      <c r="J550" s="65" t="s">
        <v>331</v>
      </c>
    </row>
    <row r="551" spans="2:10" ht="15">
      <c r="B551" s="396"/>
      <c r="C551" s="71"/>
      <c r="D551" s="71"/>
      <c r="F551" s="71"/>
      <c r="G551" s="71"/>
      <c r="H551" s="71"/>
      <c r="I551" s="73"/>
      <c r="J551" s="65" t="s">
        <v>331</v>
      </c>
    </row>
    <row r="552" spans="2:10" ht="15">
      <c r="B552" s="396"/>
      <c r="C552" s="71"/>
      <c r="D552" s="71"/>
      <c r="F552" s="71"/>
      <c r="G552" s="71"/>
      <c r="H552" s="71"/>
      <c r="I552" s="73"/>
      <c r="J552" s="65" t="s">
        <v>331</v>
      </c>
    </row>
    <row r="553" spans="2:10" ht="15">
      <c r="B553" s="396"/>
      <c r="C553" s="71"/>
      <c r="D553" s="71"/>
      <c r="F553" s="71"/>
      <c r="G553" s="71"/>
      <c r="H553" s="71"/>
      <c r="I553" s="73"/>
      <c r="J553" s="65" t="s">
        <v>331</v>
      </c>
    </row>
    <row r="554" spans="2:10" ht="15">
      <c r="B554" s="396"/>
      <c r="C554" s="71"/>
      <c r="D554" s="71"/>
      <c r="F554" s="71"/>
      <c r="G554" s="71"/>
      <c r="H554" s="71"/>
      <c r="I554" s="73"/>
      <c r="J554" s="65" t="s">
        <v>331</v>
      </c>
    </row>
    <row r="555" spans="2:10" ht="15">
      <c r="B555" s="396"/>
      <c r="C555" s="71"/>
      <c r="D555" s="71"/>
      <c r="F555" s="71"/>
      <c r="G555" s="71"/>
      <c r="H555" s="71"/>
      <c r="I555" s="73"/>
      <c r="J555" s="65" t="s">
        <v>331</v>
      </c>
    </row>
    <row r="556" spans="2:10" ht="15">
      <c r="B556" s="396"/>
      <c r="C556" s="71"/>
      <c r="D556" s="71"/>
      <c r="F556" s="71"/>
      <c r="G556" s="71"/>
      <c r="H556" s="71"/>
      <c r="I556" s="73"/>
      <c r="J556" s="65" t="s">
        <v>331</v>
      </c>
    </row>
    <row r="557" spans="2:10" ht="15">
      <c r="B557" s="396"/>
      <c r="C557" s="71"/>
      <c r="D557" s="71"/>
      <c r="F557" s="71"/>
      <c r="G557" s="71"/>
      <c r="H557" s="71"/>
      <c r="I557" s="73"/>
      <c r="J557" s="65" t="s">
        <v>331</v>
      </c>
    </row>
    <row r="558" spans="2:10" ht="15">
      <c r="B558" s="396"/>
      <c r="C558" s="71"/>
      <c r="D558" s="71"/>
      <c r="F558" s="71"/>
      <c r="G558" s="71"/>
      <c r="H558" s="71"/>
      <c r="I558" s="73"/>
      <c r="J558" s="65" t="s">
        <v>331</v>
      </c>
    </row>
    <row r="559" spans="2:10" ht="15">
      <c r="B559" s="396"/>
      <c r="C559" s="71"/>
      <c r="D559" s="71"/>
      <c r="F559" s="71"/>
      <c r="G559" s="71"/>
      <c r="H559" s="71"/>
      <c r="I559" s="73"/>
      <c r="J559" s="65" t="s">
        <v>331</v>
      </c>
    </row>
    <row r="560" spans="2:10" ht="15">
      <c r="B560" s="396"/>
      <c r="C560" s="71"/>
      <c r="D560" s="71"/>
      <c r="F560" s="71"/>
      <c r="G560" s="71"/>
      <c r="H560" s="71"/>
      <c r="I560" s="73"/>
      <c r="J560" s="65" t="s">
        <v>331</v>
      </c>
    </row>
    <row r="561" spans="2:10" ht="15">
      <c r="B561" s="396"/>
      <c r="C561" s="71"/>
      <c r="D561" s="71"/>
      <c r="F561" s="71"/>
      <c r="G561" s="71"/>
      <c r="H561" s="71"/>
      <c r="I561" s="73"/>
      <c r="J561" s="65" t="s">
        <v>331</v>
      </c>
    </row>
    <row r="562" spans="2:10" ht="15">
      <c r="B562" s="396"/>
      <c r="C562" s="71"/>
      <c r="D562" s="71"/>
      <c r="F562" s="71"/>
      <c r="G562" s="71"/>
      <c r="H562" s="71"/>
      <c r="I562" s="73"/>
      <c r="J562" s="65" t="s">
        <v>331</v>
      </c>
    </row>
    <row r="563" spans="2:10" ht="15">
      <c r="B563" s="396"/>
      <c r="C563" s="71"/>
      <c r="D563" s="71"/>
      <c r="F563" s="71"/>
      <c r="G563" s="71"/>
      <c r="H563" s="71"/>
      <c r="I563" s="73"/>
      <c r="J563" s="65" t="s">
        <v>331</v>
      </c>
    </row>
    <row r="564" spans="2:10" ht="15">
      <c r="B564" s="396"/>
      <c r="C564" s="71"/>
      <c r="D564" s="71"/>
      <c r="F564" s="71"/>
      <c r="G564" s="71"/>
      <c r="H564" s="71"/>
      <c r="I564" s="73"/>
      <c r="J564" s="65" t="s">
        <v>331</v>
      </c>
    </row>
    <row r="565" spans="2:10" ht="15">
      <c r="B565" s="396"/>
      <c r="C565" s="71"/>
      <c r="D565" s="71"/>
      <c r="F565" s="71"/>
      <c r="G565" s="71"/>
      <c r="H565" s="71"/>
      <c r="I565" s="73"/>
      <c r="J565" s="65" t="s">
        <v>331</v>
      </c>
    </row>
    <row r="566" spans="2:10" ht="15">
      <c r="B566" s="396"/>
      <c r="C566" s="71"/>
      <c r="D566" s="71"/>
      <c r="F566" s="71"/>
      <c r="G566" s="71"/>
      <c r="H566" s="71"/>
      <c r="I566" s="73"/>
      <c r="J566" s="65" t="s">
        <v>331</v>
      </c>
    </row>
    <row r="567" spans="2:10" ht="15">
      <c r="B567" s="396"/>
      <c r="C567" s="71"/>
      <c r="D567" s="71"/>
      <c r="F567" s="71"/>
      <c r="G567" s="71"/>
      <c r="H567" s="71"/>
      <c r="I567" s="73"/>
      <c r="J567" s="65" t="s">
        <v>331</v>
      </c>
    </row>
    <row r="568" spans="2:10" ht="15">
      <c r="B568" s="396"/>
      <c r="C568" s="71"/>
      <c r="D568" s="71"/>
      <c r="F568" s="71"/>
      <c r="G568" s="71"/>
      <c r="H568" s="71"/>
      <c r="I568" s="73"/>
      <c r="J568" s="65" t="s">
        <v>331</v>
      </c>
    </row>
    <row r="569" spans="2:10" ht="15">
      <c r="B569" s="396"/>
      <c r="C569" s="71"/>
      <c r="D569" s="71"/>
      <c r="F569" s="71"/>
      <c r="G569" s="71"/>
      <c r="H569" s="71"/>
      <c r="I569" s="73"/>
      <c r="J569" s="65" t="s">
        <v>331</v>
      </c>
    </row>
    <row r="570" spans="2:10" ht="15">
      <c r="B570" s="396"/>
      <c r="C570" s="71"/>
      <c r="D570" s="71"/>
      <c r="F570" s="71"/>
      <c r="G570" s="71"/>
      <c r="H570" s="71"/>
      <c r="I570" s="73"/>
      <c r="J570" s="65" t="s">
        <v>331</v>
      </c>
    </row>
    <row r="571" spans="2:10" ht="15">
      <c r="B571" s="396"/>
      <c r="C571" s="71"/>
      <c r="D571" s="71"/>
      <c r="F571" s="71"/>
      <c r="G571" s="71"/>
      <c r="H571" s="71"/>
      <c r="I571" s="73"/>
      <c r="J571" s="65" t="s">
        <v>331</v>
      </c>
    </row>
    <row r="572" spans="2:10" ht="15">
      <c r="B572" s="396"/>
      <c r="C572" s="71"/>
      <c r="D572" s="71"/>
      <c r="F572" s="71"/>
      <c r="G572" s="71"/>
      <c r="H572" s="71"/>
      <c r="I572" s="73"/>
      <c r="J572" s="65" t="s">
        <v>331</v>
      </c>
    </row>
    <row r="573" spans="2:10" ht="15">
      <c r="B573" s="396"/>
      <c r="C573" s="71"/>
      <c r="D573" s="71"/>
      <c r="F573" s="71"/>
      <c r="G573" s="71"/>
      <c r="H573" s="71"/>
      <c r="I573" s="73"/>
      <c r="J573" s="65" t="s">
        <v>331</v>
      </c>
    </row>
    <row r="574" spans="2:10" ht="15">
      <c r="B574" s="396"/>
      <c r="C574" s="71"/>
      <c r="D574" s="71"/>
      <c r="F574" s="71"/>
      <c r="G574" s="71"/>
      <c r="H574" s="71"/>
      <c r="I574" s="73"/>
      <c r="J574" s="65" t="s">
        <v>331</v>
      </c>
    </row>
    <row r="575" spans="2:10" ht="15">
      <c r="B575" s="396"/>
      <c r="C575" s="71"/>
      <c r="D575" s="71"/>
      <c r="F575" s="71"/>
      <c r="G575" s="71"/>
      <c r="H575" s="71"/>
      <c r="I575" s="73"/>
      <c r="J575" s="65" t="s">
        <v>331</v>
      </c>
    </row>
    <row r="576" spans="2:10" ht="15">
      <c r="B576" s="396"/>
      <c r="C576" s="71"/>
      <c r="D576" s="71"/>
      <c r="F576" s="71"/>
      <c r="G576" s="71"/>
      <c r="H576" s="71"/>
      <c r="I576" s="73"/>
      <c r="J576" s="65" t="s">
        <v>331</v>
      </c>
    </row>
    <row r="577" spans="2:10" ht="15">
      <c r="B577" s="396"/>
      <c r="C577" s="71"/>
      <c r="D577" s="71"/>
      <c r="F577" s="71"/>
      <c r="G577" s="71"/>
      <c r="H577" s="71"/>
      <c r="I577" s="73"/>
      <c r="J577" s="65" t="s">
        <v>331</v>
      </c>
    </row>
    <row r="578" spans="2:10" ht="15">
      <c r="B578" s="396"/>
      <c r="C578" s="71"/>
      <c r="D578" s="71"/>
      <c r="F578" s="71"/>
      <c r="G578" s="71"/>
      <c r="H578" s="71"/>
      <c r="I578" s="73"/>
      <c r="J578" s="65" t="s">
        <v>331</v>
      </c>
    </row>
    <row r="579" spans="2:10" ht="15">
      <c r="B579" s="396"/>
      <c r="C579" s="71"/>
      <c r="D579" s="71"/>
      <c r="F579" s="71"/>
      <c r="G579" s="71"/>
      <c r="H579" s="71"/>
      <c r="I579" s="73"/>
      <c r="J579" s="65" t="s">
        <v>331</v>
      </c>
    </row>
    <row r="580" spans="2:10" ht="15">
      <c r="B580" s="396"/>
      <c r="C580" s="71"/>
      <c r="D580" s="71"/>
      <c r="F580" s="71"/>
      <c r="G580" s="71"/>
      <c r="H580" s="71"/>
      <c r="I580" s="73"/>
      <c r="J580" s="65" t="s">
        <v>331</v>
      </c>
    </row>
    <row r="581" spans="2:10" ht="15">
      <c r="B581" s="396"/>
      <c r="C581" s="71"/>
      <c r="D581" s="71"/>
      <c r="F581" s="71"/>
      <c r="G581" s="71"/>
      <c r="H581" s="71"/>
      <c r="I581" s="73"/>
      <c r="J581" s="65" t="s">
        <v>331</v>
      </c>
    </row>
    <row r="582" spans="2:10" ht="15">
      <c r="B582" s="396"/>
      <c r="C582" s="71"/>
      <c r="D582" s="71"/>
      <c r="F582" s="71"/>
      <c r="G582" s="71"/>
      <c r="H582" s="71"/>
      <c r="I582" s="73"/>
      <c r="J582" s="65" t="s">
        <v>331</v>
      </c>
    </row>
    <row r="583" spans="2:10" ht="15">
      <c r="B583" s="396"/>
      <c r="C583" s="71"/>
      <c r="D583" s="71"/>
      <c r="F583" s="71"/>
      <c r="G583" s="71"/>
      <c r="H583" s="71"/>
      <c r="I583" s="73"/>
      <c r="J583" s="65" t="s">
        <v>331</v>
      </c>
    </row>
    <row r="584" spans="2:10" ht="15">
      <c r="B584" s="396"/>
      <c r="C584" s="71"/>
      <c r="D584" s="71"/>
      <c r="F584" s="71"/>
      <c r="G584" s="71"/>
      <c r="H584" s="71"/>
      <c r="I584" s="73"/>
      <c r="J584" s="65" t="s">
        <v>331</v>
      </c>
    </row>
    <row r="585" spans="2:10" ht="15">
      <c r="B585" s="396"/>
      <c r="C585" s="71"/>
      <c r="D585" s="71"/>
      <c r="F585" s="71"/>
      <c r="G585" s="71"/>
      <c r="H585" s="71"/>
      <c r="I585" s="73"/>
      <c r="J585" s="65" t="s">
        <v>331</v>
      </c>
    </row>
    <row r="586" spans="2:10" ht="15">
      <c r="B586" s="396"/>
      <c r="C586" s="71"/>
      <c r="D586" s="71"/>
      <c r="F586" s="71"/>
      <c r="G586" s="71"/>
      <c r="H586" s="71"/>
      <c r="I586" s="73"/>
      <c r="J586" s="65" t="s">
        <v>331</v>
      </c>
    </row>
    <row r="587" spans="2:10" ht="15">
      <c r="B587" s="396"/>
      <c r="C587" s="71"/>
      <c r="D587" s="71"/>
      <c r="F587" s="71"/>
      <c r="G587" s="71"/>
      <c r="H587" s="71"/>
      <c r="I587" s="73"/>
      <c r="J587" s="65" t="s">
        <v>331</v>
      </c>
    </row>
    <row r="588" spans="2:10" ht="15">
      <c r="B588" s="396"/>
      <c r="C588" s="71"/>
      <c r="D588" s="71"/>
      <c r="F588" s="71"/>
      <c r="G588" s="71"/>
      <c r="H588" s="71"/>
      <c r="I588" s="73"/>
      <c r="J588" s="65" t="s">
        <v>331</v>
      </c>
    </row>
    <row r="589" spans="2:10" ht="15">
      <c r="B589" s="396"/>
      <c r="C589" s="71"/>
      <c r="D589" s="71"/>
      <c r="F589" s="71"/>
      <c r="G589" s="71"/>
      <c r="H589" s="71"/>
      <c r="I589" s="73"/>
      <c r="J589" s="65" t="s">
        <v>331</v>
      </c>
    </row>
    <row r="590" spans="2:10" ht="15">
      <c r="B590" s="396"/>
      <c r="C590" s="71"/>
      <c r="D590" s="71"/>
      <c r="F590" s="71"/>
      <c r="G590" s="71"/>
      <c r="H590" s="71"/>
      <c r="I590" s="73"/>
      <c r="J590" s="65" t="s">
        <v>331</v>
      </c>
    </row>
    <row r="591" spans="2:10" ht="15">
      <c r="B591" s="396"/>
      <c r="C591" s="71"/>
      <c r="D591" s="71"/>
      <c r="F591" s="71"/>
      <c r="G591" s="71"/>
      <c r="H591" s="71"/>
      <c r="I591" s="73"/>
      <c r="J591" s="65" t="s">
        <v>331</v>
      </c>
    </row>
    <row r="592" spans="2:10" ht="15">
      <c r="B592" s="396"/>
      <c r="C592" s="71"/>
      <c r="D592" s="71"/>
      <c r="F592" s="71"/>
      <c r="G592" s="71"/>
      <c r="H592" s="71"/>
      <c r="I592" s="73"/>
      <c r="J592" s="65" t="s">
        <v>331</v>
      </c>
    </row>
    <row r="593" spans="2:10" ht="15">
      <c r="B593" s="396"/>
      <c r="C593" s="71"/>
      <c r="D593" s="71"/>
      <c r="F593" s="71"/>
      <c r="G593" s="71"/>
      <c r="H593" s="71"/>
      <c r="I593" s="73"/>
      <c r="J593" s="65" t="s">
        <v>331</v>
      </c>
    </row>
    <row r="594" spans="2:10" ht="15">
      <c r="B594" s="396"/>
      <c r="C594" s="71"/>
      <c r="D594" s="71"/>
      <c r="F594" s="71"/>
      <c r="G594" s="71"/>
      <c r="H594" s="71"/>
      <c r="I594" s="73"/>
      <c r="J594" s="65" t="s">
        <v>331</v>
      </c>
    </row>
    <row r="595" spans="2:10" ht="15">
      <c r="B595" s="396"/>
      <c r="C595" s="71"/>
      <c r="D595" s="71"/>
      <c r="F595" s="71"/>
      <c r="G595" s="71"/>
      <c r="H595" s="71"/>
      <c r="I595" s="73"/>
      <c r="J595" s="65" t="s">
        <v>331</v>
      </c>
    </row>
    <row r="596" spans="2:10" ht="15">
      <c r="B596" s="396"/>
      <c r="C596" s="71"/>
      <c r="D596" s="71"/>
      <c r="F596" s="71"/>
      <c r="G596" s="71"/>
      <c r="H596" s="71"/>
      <c r="I596" s="73"/>
      <c r="J596" s="65" t="s">
        <v>331</v>
      </c>
    </row>
    <row r="597" spans="2:10" ht="15">
      <c r="B597" s="396"/>
      <c r="C597" s="71"/>
      <c r="D597" s="71"/>
      <c r="F597" s="71"/>
      <c r="G597" s="71"/>
      <c r="H597" s="71"/>
      <c r="I597" s="73"/>
      <c r="J597" s="65" t="s">
        <v>331</v>
      </c>
    </row>
    <row r="598" spans="2:10" ht="15">
      <c r="B598" s="396"/>
      <c r="C598" s="71"/>
      <c r="D598" s="71"/>
      <c r="F598" s="71"/>
      <c r="G598" s="71"/>
      <c r="H598" s="71"/>
      <c r="I598" s="73"/>
      <c r="J598" s="65" t="s">
        <v>331</v>
      </c>
    </row>
    <row r="599" spans="2:10" ht="15">
      <c r="B599" s="396"/>
      <c r="C599" s="71"/>
      <c r="D599" s="71"/>
      <c r="F599" s="71"/>
      <c r="G599" s="71"/>
      <c r="H599" s="71"/>
      <c r="I599" s="73"/>
      <c r="J599" s="65" t="s">
        <v>331</v>
      </c>
    </row>
    <row r="600" spans="2:10" ht="15">
      <c r="B600" s="396"/>
      <c r="C600" s="71"/>
      <c r="D600" s="71"/>
      <c r="F600" s="71"/>
      <c r="G600" s="71"/>
      <c r="H600" s="71"/>
      <c r="I600" s="73"/>
      <c r="J600" s="65" t="s">
        <v>331</v>
      </c>
    </row>
    <row r="601" spans="2:10" ht="15">
      <c r="B601" s="396"/>
      <c r="C601" s="71"/>
      <c r="D601" s="71"/>
      <c r="F601" s="71"/>
      <c r="G601" s="71"/>
      <c r="H601" s="71"/>
      <c r="I601" s="73"/>
      <c r="J601" s="65" t="s">
        <v>331</v>
      </c>
    </row>
    <row r="602" spans="2:10" ht="15">
      <c r="B602" s="396"/>
      <c r="C602" s="71"/>
      <c r="D602" s="71"/>
      <c r="F602" s="71"/>
      <c r="G602" s="71"/>
      <c r="H602" s="71"/>
      <c r="I602" s="73"/>
      <c r="J602" s="65" t="s">
        <v>331</v>
      </c>
    </row>
    <row r="603" spans="2:10" ht="15">
      <c r="B603" s="396"/>
      <c r="C603" s="71"/>
      <c r="D603" s="71"/>
      <c r="F603" s="71"/>
      <c r="G603" s="71"/>
      <c r="H603" s="71"/>
      <c r="I603" s="73"/>
      <c r="J603" s="65" t="s">
        <v>331</v>
      </c>
    </row>
    <row r="604" spans="2:10" ht="15">
      <c r="B604" s="396"/>
      <c r="C604" s="71"/>
      <c r="D604" s="71"/>
      <c r="F604" s="71"/>
      <c r="G604" s="71"/>
      <c r="H604" s="71"/>
      <c r="I604" s="73"/>
      <c r="J604" s="65" t="s">
        <v>331</v>
      </c>
    </row>
    <row r="605" spans="2:10" ht="15">
      <c r="B605" s="396"/>
      <c r="C605" s="71"/>
      <c r="D605" s="71"/>
      <c r="F605" s="71"/>
      <c r="G605" s="71"/>
      <c r="H605" s="71"/>
      <c r="I605" s="73"/>
      <c r="J605" s="65" t="s">
        <v>331</v>
      </c>
    </row>
    <row r="606" spans="2:10" ht="15">
      <c r="B606" s="396"/>
      <c r="C606" s="71"/>
      <c r="D606" s="71"/>
      <c r="F606" s="71"/>
      <c r="G606" s="71"/>
      <c r="H606" s="71"/>
      <c r="I606" s="73"/>
      <c r="J606" s="65" t="s">
        <v>331</v>
      </c>
    </row>
    <row r="607" spans="2:10" ht="15">
      <c r="B607" s="396"/>
      <c r="C607" s="71"/>
      <c r="D607" s="71"/>
      <c r="F607" s="71"/>
      <c r="G607" s="71"/>
      <c r="H607" s="71"/>
      <c r="I607" s="73"/>
      <c r="J607" s="65" t="s">
        <v>331</v>
      </c>
    </row>
    <row r="608" spans="2:10" ht="15">
      <c r="B608" s="396"/>
      <c r="C608" s="71"/>
      <c r="D608" s="71"/>
      <c r="F608" s="71"/>
      <c r="G608" s="71"/>
      <c r="H608" s="71"/>
      <c r="I608" s="73"/>
      <c r="J608" s="65" t="s">
        <v>331</v>
      </c>
    </row>
    <row r="609" spans="2:10" ht="15">
      <c r="B609" s="396"/>
      <c r="C609" s="71"/>
      <c r="D609" s="71"/>
      <c r="F609" s="71"/>
      <c r="G609" s="71"/>
      <c r="H609" s="71"/>
      <c r="I609" s="73"/>
      <c r="J609" s="65" t="s">
        <v>331</v>
      </c>
    </row>
    <row r="610" spans="2:10" ht="15">
      <c r="B610" s="396"/>
      <c r="C610" s="71"/>
      <c r="D610" s="71"/>
      <c r="F610" s="71"/>
      <c r="G610" s="71"/>
      <c r="H610" s="71"/>
      <c r="I610" s="73"/>
      <c r="J610" s="65" t="s">
        <v>331</v>
      </c>
    </row>
    <row r="611" spans="2:10" ht="15">
      <c r="B611" s="396"/>
      <c r="C611" s="71"/>
      <c r="D611" s="71"/>
      <c r="F611" s="71"/>
      <c r="G611" s="71"/>
      <c r="H611" s="71"/>
      <c r="I611" s="73"/>
      <c r="J611" s="65" t="s">
        <v>331</v>
      </c>
    </row>
    <row r="612" spans="2:10" ht="15">
      <c r="B612" s="396"/>
      <c r="C612" s="71"/>
      <c r="D612" s="71"/>
      <c r="F612" s="71"/>
      <c r="G612" s="71"/>
      <c r="H612" s="71"/>
      <c r="I612" s="73"/>
      <c r="J612" s="65" t="s">
        <v>331</v>
      </c>
    </row>
    <row r="613" spans="2:10" ht="15">
      <c r="B613" s="396"/>
      <c r="C613" s="71"/>
      <c r="D613" s="71"/>
      <c r="F613" s="71"/>
      <c r="G613" s="71"/>
      <c r="H613" s="71"/>
      <c r="I613" s="73"/>
      <c r="J613" s="65" t="s">
        <v>331</v>
      </c>
    </row>
    <row r="614" spans="2:10" ht="15">
      <c r="B614" s="396"/>
      <c r="C614" s="71"/>
      <c r="D614" s="71"/>
      <c r="F614" s="71"/>
      <c r="G614" s="71"/>
      <c r="H614" s="71"/>
      <c r="I614" s="73"/>
      <c r="J614" s="65" t="s">
        <v>331</v>
      </c>
    </row>
    <row r="615" spans="2:10" ht="15">
      <c r="B615" s="396"/>
      <c r="C615" s="71"/>
      <c r="D615" s="71"/>
      <c r="F615" s="71"/>
      <c r="G615" s="71"/>
      <c r="H615" s="71"/>
      <c r="I615" s="73"/>
      <c r="J615" s="65" t="s">
        <v>331</v>
      </c>
    </row>
    <row r="616" spans="2:10" ht="15">
      <c r="B616" s="396"/>
      <c r="C616" s="71"/>
      <c r="D616" s="71"/>
      <c r="F616" s="71"/>
      <c r="G616" s="71"/>
      <c r="H616" s="71"/>
      <c r="I616" s="73"/>
      <c r="J616" s="65" t="s">
        <v>331</v>
      </c>
    </row>
    <row r="617" spans="2:10" ht="15">
      <c r="B617" s="396"/>
      <c r="C617" s="71"/>
      <c r="D617" s="71"/>
      <c r="F617" s="71"/>
      <c r="G617" s="71"/>
      <c r="H617" s="71"/>
      <c r="I617" s="73"/>
      <c r="J617" s="65" t="s">
        <v>331</v>
      </c>
    </row>
    <row r="618" spans="2:10" ht="15">
      <c r="B618" s="396"/>
      <c r="C618" s="71"/>
      <c r="D618" s="71"/>
      <c r="F618" s="71"/>
      <c r="G618" s="71"/>
      <c r="H618" s="71"/>
      <c r="I618" s="73"/>
      <c r="J618" s="65" t="s">
        <v>331</v>
      </c>
    </row>
    <row r="619" spans="2:10" ht="15">
      <c r="B619" s="396"/>
      <c r="C619" s="71"/>
      <c r="D619" s="71"/>
      <c r="F619" s="71"/>
      <c r="G619" s="71"/>
      <c r="H619" s="71"/>
      <c r="I619" s="73"/>
      <c r="J619" s="65" t="s">
        <v>331</v>
      </c>
    </row>
    <row r="620" spans="2:10" ht="15">
      <c r="B620" s="396"/>
      <c r="C620" s="71"/>
      <c r="D620" s="71"/>
      <c r="F620" s="71"/>
      <c r="G620" s="71"/>
      <c r="H620" s="71"/>
      <c r="I620" s="73"/>
      <c r="J620" s="65" t="s">
        <v>331</v>
      </c>
    </row>
    <row r="621" spans="2:10" ht="15">
      <c r="B621" s="396"/>
      <c r="C621" s="71"/>
      <c r="D621" s="71"/>
      <c r="F621" s="71"/>
      <c r="G621" s="71"/>
      <c r="H621" s="71"/>
      <c r="I621" s="73"/>
      <c r="J621" s="65" t="s">
        <v>331</v>
      </c>
    </row>
    <row r="622" spans="2:10" ht="15">
      <c r="B622" s="396"/>
      <c r="C622" s="71"/>
      <c r="D622" s="71"/>
      <c r="F622" s="71"/>
      <c r="G622" s="71"/>
      <c r="H622" s="71"/>
      <c r="I622" s="73"/>
      <c r="J622" s="65" t="s">
        <v>331</v>
      </c>
    </row>
    <row r="623" spans="2:10" ht="15">
      <c r="B623" s="396"/>
      <c r="C623" s="71"/>
      <c r="D623" s="71"/>
      <c r="F623" s="71"/>
      <c r="G623" s="71"/>
      <c r="H623" s="71"/>
      <c r="I623" s="73"/>
      <c r="J623" s="65" t="s">
        <v>331</v>
      </c>
    </row>
    <row r="624" spans="2:10" ht="15">
      <c r="B624" s="396"/>
      <c r="C624" s="71"/>
      <c r="D624" s="71"/>
      <c r="F624" s="71"/>
      <c r="G624" s="71"/>
      <c r="H624" s="71"/>
      <c r="I624" s="73"/>
      <c r="J624" s="65" t="s">
        <v>331</v>
      </c>
    </row>
    <row r="625" spans="2:10" ht="15">
      <c r="B625" s="396"/>
      <c r="C625" s="71"/>
      <c r="D625" s="71"/>
      <c r="F625" s="71"/>
      <c r="G625" s="71"/>
      <c r="H625" s="71"/>
      <c r="I625" s="73"/>
      <c r="J625" s="65" t="s">
        <v>331</v>
      </c>
    </row>
    <row r="626" spans="2:10" ht="15">
      <c r="B626" s="396"/>
      <c r="C626" s="71"/>
      <c r="D626" s="71"/>
      <c r="F626" s="71"/>
      <c r="G626" s="71"/>
      <c r="H626" s="71"/>
      <c r="I626" s="73"/>
      <c r="J626" s="65" t="s">
        <v>331</v>
      </c>
    </row>
    <row r="627" spans="2:10" ht="15">
      <c r="B627" s="396"/>
      <c r="C627" s="71"/>
      <c r="D627" s="71"/>
      <c r="F627" s="71"/>
      <c r="G627" s="71"/>
      <c r="H627" s="71"/>
      <c r="I627" s="73"/>
      <c r="J627" s="65" t="s">
        <v>331</v>
      </c>
    </row>
    <row r="628" spans="2:10" ht="15">
      <c r="B628" s="396"/>
      <c r="C628" s="71"/>
      <c r="D628" s="71"/>
      <c r="F628" s="71"/>
      <c r="G628" s="71"/>
      <c r="H628" s="71"/>
      <c r="I628" s="73"/>
      <c r="J628" s="65" t="s">
        <v>331</v>
      </c>
    </row>
    <row r="629" spans="2:10" ht="15">
      <c r="B629" s="396"/>
      <c r="C629" s="71"/>
      <c r="D629" s="71"/>
      <c r="F629" s="71"/>
      <c r="G629" s="71"/>
      <c r="H629" s="71"/>
      <c r="I629" s="73"/>
      <c r="J629" s="65" t="s">
        <v>331</v>
      </c>
    </row>
    <row r="630" spans="2:10" ht="15">
      <c r="B630" s="396"/>
      <c r="C630" s="71"/>
      <c r="D630" s="71"/>
      <c r="F630" s="71"/>
      <c r="G630" s="71"/>
      <c r="H630" s="71"/>
      <c r="I630" s="73"/>
      <c r="J630" s="65" t="s">
        <v>331</v>
      </c>
    </row>
    <row r="631" spans="2:10" ht="15">
      <c r="B631" s="396"/>
      <c r="C631" s="71"/>
      <c r="D631" s="71"/>
      <c r="F631" s="71"/>
      <c r="G631" s="71"/>
      <c r="H631" s="71"/>
      <c r="I631" s="73"/>
      <c r="J631" s="65" t="s">
        <v>331</v>
      </c>
    </row>
    <row r="632" spans="2:10" ht="15">
      <c r="B632" s="396"/>
      <c r="C632" s="71"/>
      <c r="D632" s="71"/>
      <c r="F632" s="71"/>
      <c r="G632" s="71"/>
      <c r="H632" s="71"/>
      <c r="I632" s="73"/>
      <c r="J632" s="65" t="s">
        <v>331</v>
      </c>
    </row>
    <row r="633" spans="2:10" ht="15">
      <c r="B633" s="396"/>
      <c r="C633" s="71"/>
      <c r="D633" s="71"/>
      <c r="F633" s="71"/>
      <c r="G633" s="71"/>
      <c r="H633" s="71"/>
      <c r="I633" s="73"/>
      <c r="J633" s="65" t="s">
        <v>331</v>
      </c>
    </row>
    <row r="634" spans="2:10" ht="15">
      <c r="B634" s="396"/>
      <c r="C634" s="71"/>
      <c r="D634" s="71"/>
      <c r="F634" s="71"/>
      <c r="G634" s="71"/>
      <c r="H634" s="71"/>
      <c r="I634" s="73"/>
      <c r="J634" s="65" t="s">
        <v>331</v>
      </c>
    </row>
    <row r="635" spans="2:10" ht="15">
      <c r="B635" s="396"/>
      <c r="C635" s="71"/>
      <c r="D635" s="71"/>
      <c r="F635" s="71"/>
      <c r="G635" s="71"/>
      <c r="H635" s="71"/>
      <c r="I635" s="73"/>
      <c r="J635" s="65" t="s">
        <v>331</v>
      </c>
    </row>
    <row r="636" spans="2:10" ht="15">
      <c r="B636" s="396"/>
      <c r="C636" s="71"/>
      <c r="D636" s="71"/>
      <c r="F636" s="71"/>
      <c r="G636" s="71"/>
      <c r="H636" s="71"/>
      <c r="I636" s="73"/>
      <c r="J636" s="65" t="s">
        <v>331</v>
      </c>
    </row>
    <row r="637" spans="2:10" ht="15">
      <c r="B637" s="396"/>
      <c r="C637" s="71"/>
      <c r="D637" s="71"/>
      <c r="F637" s="71"/>
      <c r="G637" s="71"/>
      <c r="H637" s="71"/>
      <c r="I637" s="73"/>
      <c r="J637" s="65" t="s">
        <v>331</v>
      </c>
    </row>
    <row r="638" spans="2:10" ht="15">
      <c r="B638" s="396"/>
      <c r="C638" s="71"/>
      <c r="D638" s="71"/>
      <c r="F638" s="71"/>
      <c r="G638" s="71"/>
      <c r="H638" s="71"/>
      <c r="I638" s="73"/>
      <c r="J638" s="65" t="s">
        <v>331</v>
      </c>
    </row>
    <row r="639" spans="2:10" ht="15">
      <c r="B639" s="396"/>
      <c r="C639" s="71"/>
      <c r="D639" s="71"/>
      <c r="F639" s="71"/>
      <c r="G639" s="71"/>
      <c r="H639" s="71"/>
      <c r="I639" s="73"/>
      <c r="J639" s="65" t="s">
        <v>331</v>
      </c>
    </row>
    <row r="640" spans="2:10" ht="15">
      <c r="B640" s="396"/>
      <c r="C640" s="71"/>
      <c r="D640" s="71"/>
      <c r="F640" s="71"/>
      <c r="G640" s="71"/>
      <c r="H640" s="71"/>
      <c r="I640" s="73"/>
      <c r="J640" s="65" t="s">
        <v>331</v>
      </c>
    </row>
    <row r="641" spans="2:10" ht="15">
      <c r="B641" s="396"/>
      <c r="C641" s="71"/>
      <c r="D641" s="71"/>
      <c r="F641" s="71"/>
      <c r="G641" s="71"/>
      <c r="H641" s="71"/>
      <c r="I641" s="73"/>
      <c r="J641" s="65" t="s">
        <v>331</v>
      </c>
    </row>
    <row r="642" spans="2:10" ht="15">
      <c r="B642" s="396"/>
      <c r="C642" s="71"/>
      <c r="D642" s="71"/>
      <c r="F642" s="71"/>
      <c r="G642" s="71"/>
      <c r="H642" s="71"/>
      <c r="I642" s="73"/>
      <c r="J642" s="65" t="s">
        <v>331</v>
      </c>
    </row>
    <row r="643" spans="2:10" ht="15">
      <c r="B643" s="396"/>
      <c r="C643" s="71"/>
      <c r="D643" s="71"/>
      <c r="F643" s="71"/>
      <c r="G643" s="71"/>
      <c r="H643" s="71"/>
      <c r="I643" s="73"/>
      <c r="J643" s="65" t="s">
        <v>331</v>
      </c>
    </row>
    <row r="644" spans="2:10" ht="15">
      <c r="B644" s="396"/>
      <c r="C644" s="71"/>
      <c r="D644" s="71"/>
      <c r="F644" s="71"/>
      <c r="G644" s="71"/>
      <c r="H644" s="71"/>
      <c r="I644" s="73"/>
      <c r="J644" s="65" t="s">
        <v>331</v>
      </c>
    </row>
    <row r="645" spans="2:10" ht="15">
      <c r="B645" s="396"/>
      <c r="C645" s="71"/>
      <c r="D645" s="71"/>
      <c r="F645" s="71"/>
      <c r="G645" s="71"/>
      <c r="H645" s="71"/>
      <c r="I645" s="73"/>
      <c r="J645" s="65" t="s">
        <v>331</v>
      </c>
    </row>
    <row r="646" spans="2:10" ht="15">
      <c r="B646" s="396"/>
      <c r="C646" s="71"/>
      <c r="D646" s="71"/>
      <c r="F646" s="71"/>
      <c r="G646" s="71"/>
      <c r="H646" s="71"/>
      <c r="I646" s="73"/>
      <c r="J646" s="65" t="s">
        <v>331</v>
      </c>
    </row>
    <row r="647" spans="2:10" ht="15">
      <c r="B647" s="396"/>
      <c r="C647" s="71"/>
      <c r="D647" s="71"/>
      <c r="F647" s="71"/>
      <c r="G647" s="71"/>
      <c r="H647" s="71"/>
      <c r="I647" s="73"/>
      <c r="J647" s="65" t="s">
        <v>331</v>
      </c>
    </row>
    <row r="648" spans="2:10" ht="15">
      <c r="B648" s="396"/>
      <c r="C648" s="71"/>
      <c r="D648" s="71"/>
      <c r="F648" s="71"/>
      <c r="G648" s="71"/>
      <c r="H648" s="71"/>
      <c r="I648" s="73"/>
      <c r="J648" s="65" t="s">
        <v>331</v>
      </c>
    </row>
    <row r="649" spans="2:10" ht="15">
      <c r="B649" s="396"/>
      <c r="C649" s="71"/>
      <c r="D649" s="71"/>
      <c r="F649" s="71"/>
      <c r="G649" s="71"/>
      <c r="H649" s="71"/>
      <c r="I649" s="73"/>
      <c r="J649" s="65" t="s">
        <v>331</v>
      </c>
    </row>
    <row r="650" spans="2:10" ht="15">
      <c r="B650" s="396"/>
      <c r="C650" s="71"/>
      <c r="D650" s="71"/>
      <c r="F650" s="71"/>
      <c r="G650" s="71"/>
      <c r="H650" s="71"/>
      <c r="I650" s="73"/>
      <c r="J650" s="65" t="s">
        <v>331</v>
      </c>
    </row>
    <row r="651" spans="2:10" ht="15">
      <c r="B651" s="396"/>
      <c r="C651" s="71"/>
      <c r="D651" s="71"/>
      <c r="F651" s="71"/>
      <c r="G651" s="71"/>
      <c r="H651" s="71"/>
      <c r="I651" s="73"/>
      <c r="J651" s="65" t="s">
        <v>331</v>
      </c>
    </row>
    <row r="652" spans="2:10" ht="15">
      <c r="B652" s="396"/>
      <c r="C652" s="71"/>
      <c r="D652" s="71"/>
      <c r="F652" s="71"/>
      <c r="G652" s="71"/>
      <c r="H652" s="71"/>
      <c r="I652" s="73"/>
      <c r="J652" s="65" t="s">
        <v>331</v>
      </c>
    </row>
    <row r="653" spans="2:10" ht="15">
      <c r="B653" s="396"/>
      <c r="C653" s="71"/>
      <c r="D653" s="71"/>
      <c r="F653" s="71"/>
      <c r="G653" s="71"/>
      <c r="H653" s="71"/>
      <c r="I653" s="73"/>
      <c r="J653" s="65" t="s">
        <v>331</v>
      </c>
    </row>
    <row r="654" spans="2:10" ht="15">
      <c r="B654" s="396"/>
      <c r="C654" s="71"/>
      <c r="D654" s="71"/>
      <c r="F654" s="71"/>
      <c r="G654" s="71"/>
      <c r="H654" s="71"/>
      <c r="I654" s="73"/>
      <c r="J654" s="65" t="s">
        <v>331</v>
      </c>
    </row>
    <row r="655" spans="2:10" ht="15">
      <c r="B655" s="396"/>
      <c r="C655" s="71"/>
      <c r="D655" s="71"/>
      <c r="F655" s="71"/>
      <c r="G655" s="71"/>
      <c r="H655" s="71"/>
      <c r="I655" s="73"/>
      <c r="J655" s="65" t="s">
        <v>331</v>
      </c>
    </row>
    <row r="656" spans="2:10" ht="15">
      <c r="B656" s="396"/>
      <c r="C656" s="71"/>
      <c r="D656" s="71"/>
      <c r="F656" s="71"/>
      <c r="G656" s="71"/>
      <c r="H656" s="71"/>
      <c r="I656" s="73"/>
      <c r="J656" s="65" t="s">
        <v>331</v>
      </c>
    </row>
    <row r="657" spans="2:10" ht="15">
      <c r="B657" s="396"/>
      <c r="C657" s="71"/>
      <c r="D657" s="71"/>
      <c r="F657" s="71"/>
      <c r="G657" s="71"/>
      <c r="H657" s="71"/>
      <c r="I657" s="73"/>
      <c r="J657" s="65" t="s">
        <v>331</v>
      </c>
    </row>
    <row r="658" spans="2:10" ht="15">
      <c r="B658" s="396"/>
      <c r="C658" s="71"/>
      <c r="D658" s="71"/>
      <c r="F658" s="71"/>
      <c r="G658" s="71"/>
      <c r="H658" s="71"/>
      <c r="I658" s="73"/>
      <c r="J658" s="65" t="s">
        <v>331</v>
      </c>
    </row>
    <row r="659" spans="2:10" ht="15">
      <c r="B659" s="396"/>
      <c r="C659" s="71"/>
      <c r="D659" s="71"/>
      <c r="F659" s="71"/>
      <c r="G659" s="71"/>
      <c r="H659" s="71"/>
      <c r="I659" s="73"/>
      <c r="J659" s="65" t="s">
        <v>331</v>
      </c>
    </row>
    <row r="660" spans="2:10" ht="15">
      <c r="B660" s="396"/>
      <c r="C660" s="71"/>
      <c r="D660" s="71"/>
      <c r="F660" s="71"/>
      <c r="G660" s="71"/>
      <c r="H660" s="71"/>
      <c r="I660" s="73"/>
      <c r="J660" s="65" t="s">
        <v>331</v>
      </c>
    </row>
    <row r="661" spans="2:10" ht="15">
      <c r="B661" s="396"/>
      <c r="C661" s="71"/>
      <c r="D661" s="71"/>
      <c r="F661" s="71"/>
      <c r="G661" s="71"/>
      <c r="H661" s="71"/>
      <c r="I661" s="73"/>
      <c r="J661" s="65" t="s">
        <v>331</v>
      </c>
    </row>
    <row r="662" spans="2:10" ht="15">
      <c r="B662" s="396"/>
      <c r="C662" s="71"/>
      <c r="D662" s="71"/>
      <c r="F662" s="71"/>
      <c r="G662" s="71"/>
      <c r="H662" s="71"/>
      <c r="I662" s="73"/>
      <c r="J662" s="65" t="s">
        <v>331</v>
      </c>
    </row>
    <row r="663" spans="2:10" ht="15">
      <c r="B663" s="396"/>
      <c r="C663" s="71"/>
      <c r="D663" s="71"/>
      <c r="F663" s="71"/>
      <c r="G663" s="71"/>
      <c r="H663" s="71"/>
      <c r="I663" s="73"/>
      <c r="J663" s="65" t="s">
        <v>331</v>
      </c>
    </row>
    <row r="664" spans="2:10" ht="15">
      <c r="B664" s="396"/>
      <c r="C664" s="71"/>
      <c r="D664" s="71"/>
      <c r="F664" s="71"/>
      <c r="G664" s="71"/>
      <c r="H664" s="71"/>
      <c r="I664" s="73"/>
      <c r="J664" s="65" t="s">
        <v>331</v>
      </c>
    </row>
    <row r="665" spans="2:10" ht="15">
      <c r="B665" s="396"/>
      <c r="C665" s="71"/>
      <c r="D665" s="71"/>
      <c r="F665" s="71"/>
      <c r="G665" s="71"/>
      <c r="H665" s="71"/>
      <c r="I665" s="73"/>
      <c r="J665" s="65" t="s">
        <v>331</v>
      </c>
    </row>
    <row r="666" spans="2:10" ht="15">
      <c r="B666" s="396"/>
      <c r="C666" s="71"/>
      <c r="D666" s="71"/>
      <c r="F666" s="71"/>
      <c r="G666" s="71"/>
      <c r="H666" s="71"/>
      <c r="I666" s="73"/>
      <c r="J666" s="65" t="s">
        <v>331</v>
      </c>
    </row>
    <row r="667" spans="2:10" ht="15">
      <c r="B667" s="396"/>
      <c r="C667" s="71"/>
      <c r="D667" s="71"/>
      <c r="F667" s="71"/>
      <c r="G667" s="71"/>
      <c r="H667" s="71"/>
      <c r="I667" s="73"/>
      <c r="J667" s="65" t="s">
        <v>331</v>
      </c>
    </row>
    <row r="668" spans="2:10" ht="15">
      <c r="B668" s="396"/>
      <c r="C668" s="71"/>
      <c r="D668" s="71"/>
      <c r="F668" s="71"/>
      <c r="G668" s="71"/>
      <c r="H668" s="71"/>
      <c r="I668" s="73"/>
      <c r="J668" s="65" t="s">
        <v>331</v>
      </c>
    </row>
    <row r="669" spans="2:10" ht="15">
      <c r="B669" s="396"/>
      <c r="C669" s="71"/>
      <c r="D669" s="71"/>
      <c r="F669" s="71"/>
      <c r="G669" s="71"/>
      <c r="H669" s="71"/>
      <c r="I669" s="73"/>
      <c r="J669" s="65" t="s">
        <v>331</v>
      </c>
    </row>
    <row r="670" spans="2:10" ht="15">
      <c r="B670" s="396"/>
      <c r="C670" s="71"/>
      <c r="D670" s="71"/>
      <c r="F670" s="71"/>
      <c r="G670" s="71"/>
      <c r="H670" s="71"/>
      <c r="I670" s="73"/>
      <c r="J670" s="65" t="s">
        <v>331</v>
      </c>
    </row>
    <row r="671" spans="2:10" ht="15">
      <c r="B671" s="396"/>
      <c r="C671" s="71"/>
      <c r="D671" s="71"/>
      <c r="F671" s="71"/>
      <c r="G671" s="71"/>
      <c r="H671" s="71"/>
      <c r="I671" s="73"/>
      <c r="J671" s="65" t="s">
        <v>331</v>
      </c>
    </row>
    <row r="672" spans="2:10" ht="15">
      <c r="B672" s="396"/>
      <c r="C672" s="71"/>
      <c r="D672" s="71"/>
      <c r="F672" s="71"/>
      <c r="G672" s="71"/>
      <c r="H672" s="71"/>
      <c r="I672" s="73"/>
      <c r="J672" s="65" t="s">
        <v>331</v>
      </c>
    </row>
    <row r="673" spans="2:10" ht="15">
      <c r="B673" s="396"/>
      <c r="C673" s="71"/>
      <c r="D673" s="71"/>
      <c r="F673" s="71"/>
      <c r="G673" s="71"/>
      <c r="H673" s="71"/>
      <c r="I673" s="73"/>
      <c r="J673" s="65" t="s">
        <v>331</v>
      </c>
    </row>
    <row r="674" spans="2:10" ht="15">
      <c r="B674" s="396"/>
      <c r="C674" s="71"/>
      <c r="D674" s="71"/>
      <c r="F674" s="71"/>
      <c r="G674" s="71"/>
      <c r="H674" s="71"/>
      <c r="I674" s="73"/>
      <c r="J674" s="65" t="s">
        <v>331</v>
      </c>
    </row>
    <row r="675" spans="2:10" ht="15">
      <c r="B675" s="396"/>
      <c r="C675" s="71"/>
      <c r="D675" s="71"/>
      <c r="F675" s="71"/>
      <c r="G675" s="71"/>
      <c r="H675" s="71"/>
      <c r="I675" s="73"/>
      <c r="J675" s="65" t="s">
        <v>331</v>
      </c>
    </row>
    <row r="676" spans="2:10" ht="15">
      <c r="B676" s="396"/>
      <c r="C676" s="71"/>
      <c r="D676" s="71"/>
      <c r="F676" s="71"/>
      <c r="G676" s="71"/>
      <c r="H676" s="71"/>
      <c r="I676" s="73"/>
      <c r="J676" s="65" t="s">
        <v>331</v>
      </c>
    </row>
    <row r="677" spans="2:10" ht="15">
      <c r="B677" s="396"/>
      <c r="C677" s="71"/>
      <c r="D677" s="71"/>
      <c r="F677" s="71"/>
      <c r="G677" s="71"/>
      <c r="H677" s="71"/>
      <c r="I677" s="73"/>
      <c r="J677" s="65" t="s">
        <v>331</v>
      </c>
    </row>
    <row r="678" spans="2:10" ht="15">
      <c r="B678" s="396"/>
      <c r="C678" s="71"/>
      <c r="D678" s="71"/>
      <c r="F678" s="71"/>
      <c r="G678" s="71"/>
      <c r="H678" s="71"/>
      <c r="I678" s="73"/>
      <c r="J678" s="65" t="s">
        <v>331</v>
      </c>
    </row>
    <row r="679" spans="2:10" ht="15">
      <c r="B679" s="396"/>
      <c r="C679" s="71"/>
      <c r="D679" s="71"/>
      <c r="F679" s="71"/>
      <c r="G679" s="71"/>
      <c r="H679" s="71"/>
      <c r="I679" s="73"/>
      <c r="J679" s="65" t="s">
        <v>331</v>
      </c>
    </row>
    <row r="680" spans="2:10" ht="15">
      <c r="B680" s="396"/>
      <c r="C680" s="71"/>
      <c r="D680" s="71"/>
      <c r="F680" s="71"/>
      <c r="G680" s="71"/>
      <c r="H680" s="71"/>
      <c r="I680" s="73"/>
      <c r="J680" s="65" t="s">
        <v>331</v>
      </c>
    </row>
    <row r="681" spans="2:10" ht="15">
      <c r="B681" s="396"/>
      <c r="C681" s="71"/>
      <c r="D681" s="71"/>
      <c r="F681" s="71"/>
      <c r="G681" s="71"/>
      <c r="H681" s="71"/>
      <c r="I681" s="73"/>
      <c r="J681" s="65" t="s">
        <v>331</v>
      </c>
    </row>
    <row r="682" spans="2:10" ht="15">
      <c r="B682" s="396"/>
      <c r="C682" s="71"/>
      <c r="D682" s="71"/>
      <c r="F682" s="71"/>
      <c r="G682" s="71"/>
      <c r="H682" s="71"/>
      <c r="I682" s="73"/>
      <c r="J682" s="65" t="s">
        <v>331</v>
      </c>
    </row>
    <row r="683" spans="2:10" ht="15">
      <c r="B683" s="396"/>
      <c r="C683" s="71"/>
      <c r="D683" s="71"/>
      <c r="F683" s="71"/>
      <c r="G683" s="71"/>
      <c r="H683" s="71"/>
      <c r="I683" s="73"/>
      <c r="J683" s="65" t="s">
        <v>331</v>
      </c>
    </row>
    <row r="684" spans="2:10" ht="15">
      <c r="B684" s="396"/>
      <c r="C684" s="71"/>
      <c r="D684" s="71"/>
      <c r="F684" s="71"/>
      <c r="G684" s="71"/>
      <c r="H684" s="71"/>
      <c r="I684" s="73"/>
      <c r="J684" s="65" t="s">
        <v>331</v>
      </c>
    </row>
    <row r="685" spans="2:10" ht="15">
      <c r="B685" s="396"/>
      <c r="C685" s="71"/>
      <c r="D685" s="71"/>
      <c r="F685" s="71"/>
      <c r="G685" s="71"/>
      <c r="H685" s="71"/>
      <c r="I685" s="73"/>
      <c r="J685" s="65" t="s">
        <v>331</v>
      </c>
    </row>
    <row r="686" spans="2:10" ht="15">
      <c r="B686" s="396"/>
      <c r="C686" s="71"/>
      <c r="D686" s="71"/>
      <c r="F686" s="71"/>
      <c r="G686" s="71"/>
      <c r="H686" s="71"/>
      <c r="I686" s="73"/>
      <c r="J686" s="65" t="s">
        <v>331</v>
      </c>
    </row>
    <row r="687" spans="2:10" ht="15">
      <c r="B687" s="396"/>
      <c r="C687" s="71"/>
      <c r="D687" s="71"/>
      <c r="F687" s="71"/>
      <c r="G687" s="71"/>
      <c r="H687" s="71"/>
      <c r="I687" s="73"/>
      <c r="J687" s="65" t="s">
        <v>331</v>
      </c>
    </row>
    <row r="688" spans="2:10" ht="15">
      <c r="B688" s="396"/>
      <c r="C688" s="71"/>
      <c r="D688" s="71"/>
      <c r="F688" s="71"/>
      <c r="G688" s="71"/>
      <c r="H688" s="71"/>
      <c r="I688" s="73"/>
      <c r="J688" s="65" t="s">
        <v>331</v>
      </c>
    </row>
    <row r="689" spans="2:10" ht="15">
      <c r="B689" s="396"/>
      <c r="C689" s="71"/>
      <c r="D689" s="71"/>
      <c r="F689" s="71"/>
      <c r="G689" s="71"/>
      <c r="H689" s="71"/>
      <c r="I689" s="73"/>
      <c r="J689" s="65" t="s">
        <v>331</v>
      </c>
    </row>
    <row r="690" spans="2:10" ht="15">
      <c r="B690" s="396"/>
      <c r="C690" s="71"/>
      <c r="D690" s="71"/>
      <c r="F690" s="71"/>
      <c r="G690" s="71"/>
      <c r="H690" s="71"/>
      <c r="I690" s="73"/>
      <c r="J690" s="65" t="s">
        <v>331</v>
      </c>
    </row>
    <row r="691" spans="2:10" ht="15">
      <c r="B691" s="396"/>
      <c r="C691" s="71"/>
      <c r="D691" s="71"/>
      <c r="F691" s="71"/>
      <c r="G691" s="71"/>
      <c r="H691" s="71"/>
      <c r="I691" s="73"/>
      <c r="J691" s="65" t="s">
        <v>331</v>
      </c>
    </row>
    <row r="692" spans="2:10" ht="15">
      <c r="B692" s="396"/>
      <c r="C692" s="71"/>
      <c r="D692" s="71"/>
      <c r="F692" s="71"/>
      <c r="G692" s="71"/>
      <c r="H692" s="71"/>
      <c r="I692" s="73"/>
      <c r="J692" s="65" t="s">
        <v>331</v>
      </c>
    </row>
    <row r="693" spans="2:10" ht="15">
      <c r="B693" s="396"/>
      <c r="C693" s="71"/>
      <c r="D693" s="71"/>
      <c r="F693" s="71"/>
      <c r="G693" s="71"/>
      <c r="H693" s="71"/>
      <c r="I693" s="73"/>
      <c r="J693" s="65" t="s">
        <v>331</v>
      </c>
    </row>
    <row r="694" spans="2:10" ht="15">
      <c r="B694" s="396"/>
      <c r="C694" s="71"/>
      <c r="D694" s="71"/>
      <c r="F694" s="71"/>
      <c r="G694" s="71"/>
      <c r="H694" s="71"/>
      <c r="I694" s="73"/>
      <c r="J694" s="65" t="s">
        <v>331</v>
      </c>
    </row>
    <row r="695" spans="2:10" ht="15">
      <c r="B695" s="396"/>
      <c r="C695" s="71"/>
      <c r="D695" s="71"/>
      <c r="F695" s="71"/>
      <c r="G695" s="71"/>
      <c r="H695" s="71"/>
      <c r="I695" s="73"/>
      <c r="J695" s="65" t="s">
        <v>331</v>
      </c>
    </row>
    <row r="696" spans="2:10" ht="15">
      <c r="B696" s="396"/>
      <c r="C696" s="71"/>
      <c r="D696" s="71"/>
      <c r="F696" s="71"/>
      <c r="G696" s="71"/>
      <c r="H696" s="71"/>
      <c r="I696" s="73"/>
      <c r="J696" s="65" t="s">
        <v>331</v>
      </c>
    </row>
    <row r="697" spans="2:10" ht="15">
      <c r="B697" s="396"/>
      <c r="C697" s="71"/>
      <c r="D697" s="71"/>
      <c r="F697" s="71"/>
      <c r="G697" s="71"/>
      <c r="H697" s="71"/>
      <c r="I697" s="73"/>
      <c r="J697" s="65" t="s">
        <v>331</v>
      </c>
    </row>
    <row r="698" spans="2:10" ht="15">
      <c r="B698" s="396"/>
      <c r="C698" s="71"/>
      <c r="D698" s="71"/>
      <c r="F698" s="71"/>
      <c r="G698" s="71"/>
      <c r="H698" s="71"/>
      <c r="I698" s="73"/>
      <c r="J698" s="65" t="s">
        <v>331</v>
      </c>
    </row>
    <row r="699" spans="2:10" ht="15">
      <c r="B699" s="396"/>
      <c r="C699" s="71"/>
      <c r="D699" s="71"/>
      <c r="F699" s="71"/>
      <c r="G699" s="71"/>
      <c r="H699" s="71"/>
      <c r="I699" s="73"/>
      <c r="J699" s="65" t="s">
        <v>331</v>
      </c>
    </row>
    <row r="700" spans="2:10" ht="15">
      <c r="B700" s="396"/>
      <c r="C700" s="71"/>
      <c r="D700" s="71"/>
      <c r="F700" s="71"/>
      <c r="G700" s="71"/>
      <c r="H700" s="71"/>
      <c r="I700" s="73"/>
      <c r="J700" s="65" t="s">
        <v>331</v>
      </c>
    </row>
    <row r="701" spans="2:10" ht="15">
      <c r="B701" s="396"/>
      <c r="C701" s="71"/>
      <c r="D701" s="71"/>
      <c r="F701" s="71"/>
      <c r="G701" s="71"/>
      <c r="H701" s="71"/>
      <c r="I701" s="73"/>
      <c r="J701" s="65" t="s">
        <v>331</v>
      </c>
    </row>
    <row r="702" spans="2:10" ht="15">
      <c r="B702" s="396"/>
      <c r="C702" s="71"/>
      <c r="D702" s="71"/>
      <c r="F702" s="71"/>
      <c r="G702" s="71"/>
      <c r="H702" s="71"/>
      <c r="I702" s="73"/>
      <c r="J702" s="65" t="s">
        <v>331</v>
      </c>
    </row>
    <row r="703" spans="2:10" ht="15">
      <c r="B703" s="396"/>
      <c r="C703" s="71"/>
      <c r="D703" s="71"/>
      <c r="F703" s="71"/>
      <c r="G703" s="71"/>
      <c r="H703" s="71"/>
      <c r="I703" s="73"/>
      <c r="J703" s="65" t="s">
        <v>331</v>
      </c>
    </row>
    <row r="704" spans="2:10" ht="15">
      <c r="B704" s="396"/>
      <c r="C704" s="71"/>
      <c r="D704" s="71"/>
      <c r="F704" s="71"/>
      <c r="G704" s="71"/>
      <c r="H704" s="71"/>
      <c r="I704" s="73"/>
      <c r="J704" s="65" t="s">
        <v>331</v>
      </c>
    </row>
    <row r="705" spans="2:10" ht="15">
      <c r="B705" s="396"/>
      <c r="C705" s="71"/>
      <c r="D705" s="71"/>
      <c r="F705" s="71"/>
      <c r="G705" s="71"/>
      <c r="H705" s="71"/>
      <c r="I705" s="73"/>
      <c r="J705" s="65" t="s">
        <v>331</v>
      </c>
    </row>
    <row r="706" spans="2:10" ht="15">
      <c r="B706" s="396"/>
      <c r="C706" s="71"/>
      <c r="D706" s="71"/>
      <c r="F706" s="71"/>
      <c r="G706" s="71"/>
      <c r="H706" s="71"/>
      <c r="I706" s="73"/>
      <c r="J706" s="65" t="s">
        <v>331</v>
      </c>
    </row>
    <row r="707" spans="2:10" ht="15">
      <c r="B707" s="396"/>
      <c r="C707" s="71"/>
      <c r="D707" s="71"/>
      <c r="F707" s="71"/>
      <c r="G707" s="71"/>
      <c r="H707" s="71"/>
      <c r="I707" s="73"/>
      <c r="J707" s="65" t="s">
        <v>331</v>
      </c>
    </row>
    <row r="708" spans="2:10" ht="15">
      <c r="B708" s="396"/>
      <c r="C708" s="71"/>
      <c r="D708" s="71"/>
      <c r="F708" s="71"/>
      <c r="G708" s="71"/>
      <c r="H708" s="71"/>
      <c r="I708" s="73"/>
      <c r="J708" s="65" t="s">
        <v>331</v>
      </c>
    </row>
    <row r="709" spans="2:10" ht="15">
      <c r="B709" s="396"/>
      <c r="C709" s="71"/>
      <c r="D709" s="71"/>
      <c r="F709" s="71"/>
      <c r="G709" s="71"/>
      <c r="H709" s="71"/>
      <c r="I709" s="73"/>
      <c r="J709" s="65" t="s">
        <v>331</v>
      </c>
    </row>
    <row r="710" spans="2:10" ht="15">
      <c r="B710" s="396"/>
      <c r="C710" s="71"/>
      <c r="D710" s="71"/>
      <c r="F710" s="71"/>
      <c r="G710" s="71"/>
      <c r="H710" s="71"/>
      <c r="I710" s="73"/>
      <c r="J710" s="65" t="s">
        <v>331</v>
      </c>
    </row>
    <row r="711" spans="2:10" ht="15">
      <c r="B711" s="396"/>
      <c r="C711" s="71"/>
      <c r="D711" s="71"/>
      <c r="F711" s="71"/>
      <c r="G711" s="71"/>
      <c r="H711" s="71"/>
      <c r="I711" s="73"/>
      <c r="J711" s="65" t="s">
        <v>331</v>
      </c>
    </row>
    <row r="712" spans="2:10" ht="15">
      <c r="B712" s="396"/>
      <c r="C712" s="71"/>
      <c r="D712" s="71"/>
      <c r="F712" s="71"/>
      <c r="G712" s="71"/>
      <c r="H712" s="71"/>
      <c r="I712" s="73"/>
      <c r="J712" s="65" t="s">
        <v>331</v>
      </c>
    </row>
    <row r="713" spans="2:10" ht="15">
      <c r="B713" s="396"/>
      <c r="C713" s="71"/>
      <c r="D713" s="71"/>
      <c r="F713" s="71"/>
      <c r="G713" s="71"/>
      <c r="H713" s="71"/>
      <c r="I713" s="73"/>
      <c r="J713" s="65" t="s">
        <v>331</v>
      </c>
    </row>
    <row r="714" spans="2:10" ht="15">
      <c r="B714" s="396"/>
      <c r="C714" s="71"/>
      <c r="D714" s="71"/>
      <c r="F714" s="71"/>
      <c r="G714" s="71"/>
      <c r="H714" s="71"/>
      <c r="I714" s="73"/>
      <c r="J714" s="65" t="s">
        <v>331</v>
      </c>
    </row>
    <row r="715" spans="2:10" ht="15">
      <c r="B715" s="396"/>
      <c r="C715" s="71"/>
      <c r="D715" s="71"/>
      <c r="F715" s="71"/>
      <c r="G715" s="71"/>
      <c r="H715" s="71"/>
      <c r="I715" s="73"/>
      <c r="J715" s="65" t="s">
        <v>331</v>
      </c>
    </row>
    <row r="716" spans="2:10" ht="15">
      <c r="B716" s="396"/>
      <c r="C716" s="71"/>
      <c r="D716" s="71"/>
      <c r="F716" s="71"/>
      <c r="G716" s="71"/>
      <c r="H716" s="71"/>
      <c r="I716" s="73"/>
      <c r="J716" s="65" t="s">
        <v>331</v>
      </c>
    </row>
    <row r="717" spans="2:10" ht="15">
      <c r="B717" s="396"/>
      <c r="C717" s="71"/>
      <c r="D717" s="71"/>
      <c r="F717" s="71"/>
      <c r="G717" s="71"/>
      <c r="H717" s="71"/>
      <c r="I717" s="73"/>
      <c r="J717" s="65" t="s">
        <v>331</v>
      </c>
    </row>
    <row r="718" spans="2:10" ht="15">
      <c r="B718" s="396"/>
      <c r="C718" s="71"/>
      <c r="D718" s="71"/>
      <c r="F718" s="71"/>
      <c r="G718" s="71"/>
      <c r="H718" s="71"/>
      <c r="I718" s="73"/>
      <c r="J718" s="65" t="s">
        <v>331</v>
      </c>
    </row>
    <row r="719" spans="2:10" ht="15">
      <c r="B719" s="396"/>
      <c r="C719" s="71"/>
      <c r="D719" s="71"/>
      <c r="F719" s="71"/>
      <c r="G719" s="71"/>
      <c r="H719" s="71"/>
      <c r="I719" s="73"/>
      <c r="J719" s="65" t="s">
        <v>331</v>
      </c>
    </row>
    <row r="720" spans="2:10" ht="15">
      <c r="B720" s="396"/>
      <c r="C720" s="71"/>
      <c r="D720" s="71"/>
      <c r="F720" s="71"/>
      <c r="G720" s="71"/>
      <c r="H720" s="71"/>
      <c r="I720" s="73"/>
      <c r="J720" s="65" t="s">
        <v>331</v>
      </c>
    </row>
    <row r="721" spans="2:10" ht="15">
      <c r="B721" s="396"/>
      <c r="C721" s="71"/>
      <c r="D721" s="71"/>
      <c r="F721" s="71"/>
      <c r="G721" s="71"/>
      <c r="H721" s="71"/>
      <c r="I721" s="73"/>
      <c r="J721" s="65" t="s">
        <v>331</v>
      </c>
    </row>
    <row r="722" spans="2:10" ht="15">
      <c r="B722" s="396"/>
      <c r="C722" s="71"/>
      <c r="D722" s="71"/>
      <c r="F722" s="71"/>
      <c r="G722" s="71"/>
      <c r="H722" s="71"/>
      <c r="I722" s="73"/>
      <c r="J722" s="65" t="s">
        <v>331</v>
      </c>
    </row>
    <row r="723" spans="2:10" ht="15">
      <c r="B723" s="396"/>
      <c r="C723" s="71"/>
      <c r="D723" s="71"/>
      <c r="F723" s="71"/>
      <c r="G723" s="71"/>
      <c r="H723" s="71"/>
      <c r="I723" s="73"/>
      <c r="J723" s="65" t="s">
        <v>331</v>
      </c>
    </row>
    <row r="724" spans="2:10" ht="15">
      <c r="B724" s="396"/>
      <c r="C724" s="71"/>
      <c r="D724" s="71"/>
      <c r="F724" s="71"/>
      <c r="G724" s="71"/>
      <c r="H724" s="71"/>
      <c r="I724" s="73"/>
      <c r="J724" s="65" t="s">
        <v>331</v>
      </c>
    </row>
    <row r="725" spans="2:10" ht="15">
      <c r="B725" s="396"/>
      <c r="C725" s="71"/>
      <c r="D725" s="71"/>
      <c r="F725" s="71"/>
      <c r="G725" s="71"/>
      <c r="H725" s="71"/>
      <c r="I725" s="73"/>
      <c r="J725" s="65" t="s">
        <v>331</v>
      </c>
    </row>
    <row r="726" spans="2:10" ht="15">
      <c r="B726" s="396"/>
      <c r="C726" s="71"/>
      <c r="D726" s="71"/>
      <c r="F726" s="71"/>
      <c r="G726" s="71"/>
      <c r="H726" s="71"/>
      <c r="I726" s="73"/>
      <c r="J726" s="65" t="s">
        <v>331</v>
      </c>
    </row>
    <row r="727" spans="2:10" ht="15">
      <c r="B727" s="396"/>
      <c r="C727" s="71"/>
      <c r="D727" s="71"/>
      <c r="F727" s="71"/>
      <c r="G727" s="71"/>
      <c r="H727" s="71"/>
      <c r="I727" s="73"/>
      <c r="J727" s="65" t="s">
        <v>331</v>
      </c>
    </row>
    <row r="728" spans="2:10" ht="15">
      <c r="B728" s="396"/>
      <c r="C728" s="71"/>
      <c r="D728" s="71"/>
      <c r="F728" s="71"/>
      <c r="G728" s="71"/>
      <c r="H728" s="71"/>
      <c r="I728" s="73"/>
      <c r="J728" s="65" t="s">
        <v>331</v>
      </c>
    </row>
    <row r="729" spans="2:10" ht="15">
      <c r="B729" s="396"/>
      <c r="C729" s="71"/>
      <c r="D729" s="71"/>
      <c r="F729" s="71"/>
      <c r="G729" s="71"/>
      <c r="H729" s="71"/>
      <c r="I729" s="73"/>
      <c r="J729" s="65" t="s">
        <v>331</v>
      </c>
    </row>
    <row r="730" spans="2:10" ht="15">
      <c r="B730" s="396"/>
      <c r="C730" s="71"/>
      <c r="D730" s="71"/>
      <c r="F730" s="71"/>
      <c r="G730" s="71"/>
      <c r="H730" s="71"/>
      <c r="I730" s="73"/>
      <c r="J730" s="65" t="s">
        <v>331</v>
      </c>
    </row>
    <row r="731" spans="2:10" ht="15">
      <c r="B731" s="396"/>
      <c r="C731" s="71"/>
      <c r="D731" s="71"/>
      <c r="F731" s="71"/>
      <c r="G731" s="71"/>
      <c r="H731" s="71"/>
      <c r="I731" s="73"/>
      <c r="J731" s="65" t="s">
        <v>331</v>
      </c>
    </row>
    <row r="732" spans="2:10" ht="15">
      <c r="B732" s="396"/>
      <c r="C732" s="71"/>
      <c r="D732" s="71"/>
      <c r="F732" s="71"/>
      <c r="G732" s="71"/>
      <c r="H732" s="71"/>
      <c r="I732" s="73"/>
      <c r="J732" s="65" t="s">
        <v>331</v>
      </c>
    </row>
    <row r="733" spans="2:10" ht="15">
      <c r="B733" s="396"/>
      <c r="C733" s="71"/>
      <c r="D733" s="71"/>
      <c r="F733" s="71"/>
      <c r="G733" s="71"/>
      <c r="H733" s="71"/>
      <c r="I733" s="73"/>
      <c r="J733" s="65" t="s">
        <v>331</v>
      </c>
    </row>
    <row r="734" spans="2:10" ht="15">
      <c r="B734" s="396"/>
      <c r="C734" s="71"/>
      <c r="D734" s="71"/>
      <c r="F734" s="71"/>
      <c r="G734" s="71"/>
      <c r="H734" s="71"/>
      <c r="I734" s="73"/>
      <c r="J734" s="65" t="s">
        <v>331</v>
      </c>
    </row>
    <row r="735" spans="2:10" ht="15">
      <c r="B735" s="396"/>
      <c r="C735" s="71"/>
      <c r="D735" s="71"/>
      <c r="F735" s="71"/>
      <c r="G735" s="71"/>
      <c r="H735" s="71"/>
      <c r="I735" s="73"/>
      <c r="J735" s="65" t="s">
        <v>331</v>
      </c>
    </row>
    <row r="736" spans="2:10" ht="15">
      <c r="B736" s="396"/>
      <c r="C736" s="71"/>
      <c r="D736" s="71"/>
      <c r="F736" s="71"/>
      <c r="G736" s="71"/>
      <c r="H736" s="71"/>
      <c r="I736" s="73"/>
      <c r="J736" s="65" t="s">
        <v>331</v>
      </c>
    </row>
    <row r="737" spans="2:10" ht="15">
      <c r="B737" s="396"/>
      <c r="C737" s="71"/>
      <c r="D737" s="71"/>
      <c r="F737" s="71"/>
      <c r="G737" s="71"/>
      <c r="H737" s="71"/>
      <c r="I737" s="73"/>
      <c r="J737" s="65" t="s">
        <v>331</v>
      </c>
    </row>
    <row r="738" spans="2:10" ht="15">
      <c r="B738" s="396"/>
      <c r="C738" s="71"/>
      <c r="D738" s="71"/>
      <c r="F738" s="71"/>
      <c r="G738" s="71"/>
      <c r="H738" s="71"/>
      <c r="I738" s="73"/>
      <c r="J738" s="65" t="s">
        <v>331</v>
      </c>
    </row>
    <row r="739" spans="2:10" ht="15">
      <c r="B739" s="396"/>
      <c r="C739" s="71"/>
      <c r="D739" s="71"/>
      <c r="F739" s="71"/>
      <c r="G739" s="71"/>
      <c r="H739" s="71"/>
      <c r="I739" s="73"/>
      <c r="J739" s="65" t="s">
        <v>331</v>
      </c>
    </row>
    <row r="740" spans="2:10" ht="15">
      <c r="B740" s="396"/>
      <c r="C740" s="71"/>
      <c r="D740" s="71"/>
      <c r="F740" s="71"/>
      <c r="G740" s="71"/>
      <c r="H740" s="71"/>
      <c r="I740" s="73"/>
      <c r="J740" s="65" t="s">
        <v>331</v>
      </c>
    </row>
    <row r="741" spans="2:10" ht="15">
      <c r="B741" s="396"/>
      <c r="C741" s="71"/>
      <c r="D741" s="71"/>
      <c r="F741" s="71"/>
      <c r="G741" s="71"/>
      <c r="H741" s="71"/>
      <c r="I741" s="73"/>
      <c r="J741" s="65" t="s">
        <v>331</v>
      </c>
    </row>
    <row r="742" spans="2:10" ht="15">
      <c r="B742" s="396"/>
      <c r="C742" s="71"/>
      <c r="D742" s="71"/>
      <c r="F742" s="71"/>
      <c r="G742" s="71"/>
      <c r="H742" s="71"/>
      <c r="I742" s="73"/>
      <c r="J742" s="65" t="s">
        <v>331</v>
      </c>
    </row>
    <row r="743" spans="2:10" ht="15">
      <c r="B743" s="396"/>
      <c r="C743" s="71"/>
      <c r="D743" s="71"/>
      <c r="F743" s="71"/>
      <c r="G743" s="71"/>
      <c r="H743" s="71"/>
      <c r="I743" s="73"/>
      <c r="J743" s="65" t="s">
        <v>331</v>
      </c>
    </row>
    <row r="744" spans="2:10" ht="15">
      <c r="B744" s="396"/>
      <c r="C744" s="71"/>
      <c r="D744" s="71"/>
      <c r="F744" s="71"/>
      <c r="G744" s="71"/>
      <c r="H744" s="71"/>
      <c r="I744" s="73"/>
      <c r="J744" s="65" t="s">
        <v>331</v>
      </c>
    </row>
    <row r="745" spans="2:10" ht="15">
      <c r="B745" s="396"/>
      <c r="C745" s="71"/>
      <c r="D745" s="71"/>
      <c r="F745" s="71"/>
      <c r="G745" s="71"/>
      <c r="H745" s="71"/>
      <c r="I745" s="73"/>
      <c r="J745" s="65" t="s">
        <v>331</v>
      </c>
    </row>
    <row r="746" spans="2:10" ht="15">
      <c r="B746" s="396"/>
      <c r="C746" s="71"/>
      <c r="D746" s="71"/>
      <c r="F746" s="71"/>
      <c r="G746" s="71"/>
      <c r="H746" s="71"/>
      <c r="I746" s="73"/>
      <c r="J746" s="65" t="s">
        <v>331</v>
      </c>
    </row>
    <row r="747" spans="2:10" ht="15">
      <c r="B747" s="396"/>
      <c r="C747" s="71"/>
      <c r="D747" s="71"/>
      <c r="F747" s="71"/>
      <c r="G747" s="71"/>
      <c r="H747" s="71"/>
      <c r="I747" s="73"/>
      <c r="J747" s="65" t="s">
        <v>331</v>
      </c>
    </row>
    <row r="748" spans="2:10" ht="15">
      <c r="B748" s="396"/>
      <c r="C748" s="71"/>
      <c r="D748" s="71"/>
      <c r="F748" s="71"/>
      <c r="G748" s="71"/>
      <c r="H748" s="71"/>
      <c r="I748" s="73"/>
      <c r="J748" s="65" t="s">
        <v>331</v>
      </c>
    </row>
    <row r="749" spans="2:10" ht="15">
      <c r="B749" s="396"/>
      <c r="C749" s="71"/>
      <c r="D749" s="71"/>
      <c r="F749" s="71"/>
      <c r="G749" s="71"/>
      <c r="H749" s="71"/>
      <c r="I749" s="73"/>
      <c r="J749" s="65" t="s">
        <v>331</v>
      </c>
    </row>
    <row r="750" spans="2:10" ht="15">
      <c r="B750" s="396"/>
      <c r="C750" s="71"/>
      <c r="D750" s="71"/>
      <c r="F750" s="71"/>
      <c r="G750" s="71"/>
      <c r="H750" s="71"/>
      <c r="I750" s="73"/>
      <c r="J750" s="65" t="s">
        <v>331</v>
      </c>
    </row>
    <row r="751" spans="2:10" ht="15">
      <c r="B751" s="396"/>
      <c r="C751" s="71"/>
      <c r="D751" s="71"/>
      <c r="F751" s="71"/>
      <c r="G751" s="71"/>
      <c r="H751" s="71"/>
      <c r="I751" s="73"/>
      <c r="J751" s="65" t="s">
        <v>331</v>
      </c>
    </row>
    <row r="752" spans="2:10" ht="15">
      <c r="B752" s="396"/>
      <c r="C752" s="71"/>
      <c r="D752" s="71"/>
      <c r="F752" s="71"/>
      <c r="G752" s="71"/>
      <c r="H752" s="71"/>
      <c r="I752" s="73"/>
      <c r="J752" s="65" t="s">
        <v>331</v>
      </c>
    </row>
    <row r="753" spans="2:10" ht="15">
      <c r="B753" s="396"/>
      <c r="C753" s="71"/>
      <c r="D753" s="71"/>
      <c r="F753" s="71"/>
      <c r="G753" s="71"/>
      <c r="H753" s="71"/>
      <c r="I753" s="73"/>
      <c r="J753" s="65" t="s">
        <v>331</v>
      </c>
    </row>
    <row r="754" spans="2:10" ht="15">
      <c r="B754" s="396"/>
      <c r="C754" s="71"/>
      <c r="D754" s="71"/>
      <c r="F754" s="71"/>
      <c r="G754" s="71"/>
      <c r="H754" s="71"/>
      <c r="I754" s="73"/>
      <c r="J754" s="65" t="s">
        <v>331</v>
      </c>
    </row>
    <row r="755" spans="2:10" ht="15">
      <c r="B755" s="396"/>
      <c r="C755" s="71"/>
      <c r="D755" s="71"/>
      <c r="F755" s="71"/>
      <c r="G755" s="71"/>
      <c r="H755" s="71"/>
      <c r="I755" s="73"/>
      <c r="J755" s="65" t="s">
        <v>331</v>
      </c>
    </row>
    <row r="756" spans="2:10" ht="15">
      <c r="B756" s="396"/>
      <c r="C756" s="71"/>
      <c r="D756" s="71"/>
      <c r="F756" s="71"/>
      <c r="G756" s="71"/>
      <c r="H756" s="71"/>
      <c r="I756" s="73"/>
      <c r="J756" s="65" t="s">
        <v>331</v>
      </c>
    </row>
    <row r="757" spans="2:10" ht="15">
      <c r="B757" s="396"/>
      <c r="C757" s="71"/>
      <c r="D757" s="71"/>
      <c r="F757" s="71"/>
      <c r="G757" s="71"/>
      <c r="H757" s="71"/>
      <c r="I757" s="73"/>
      <c r="J757" s="65" t="s">
        <v>331</v>
      </c>
    </row>
    <row r="758" spans="2:10" ht="15">
      <c r="B758" s="396"/>
      <c r="C758" s="71"/>
      <c r="D758" s="71"/>
      <c r="F758" s="71"/>
      <c r="G758" s="71"/>
      <c r="H758" s="71"/>
      <c r="I758" s="73"/>
      <c r="J758" s="65" t="s">
        <v>331</v>
      </c>
    </row>
    <row r="759" spans="2:10" ht="15">
      <c r="B759" s="396"/>
      <c r="C759" s="71"/>
      <c r="D759" s="71"/>
      <c r="F759" s="71"/>
      <c r="G759" s="71"/>
      <c r="H759" s="71"/>
      <c r="I759" s="73"/>
      <c r="J759" s="65" t="s">
        <v>331</v>
      </c>
    </row>
    <row r="760" spans="2:10" ht="15">
      <c r="B760" s="396"/>
      <c r="C760" s="71"/>
      <c r="D760" s="71"/>
      <c r="F760" s="71"/>
      <c r="G760" s="71"/>
      <c r="H760" s="71"/>
      <c r="I760" s="73"/>
      <c r="J760" s="65" t="s">
        <v>331</v>
      </c>
    </row>
    <row r="761" spans="2:10" ht="15">
      <c r="B761" s="396"/>
      <c r="C761" s="71"/>
      <c r="D761" s="71"/>
      <c r="F761" s="71"/>
      <c r="G761" s="71"/>
      <c r="H761" s="71"/>
      <c r="I761" s="73"/>
      <c r="J761" s="65" t="s">
        <v>331</v>
      </c>
    </row>
    <row r="762" spans="2:10" ht="15">
      <c r="B762" s="396"/>
      <c r="C762" s="71"/>
      <c r="D762" s="71"/>
      <c r="F762" s="71"/>
      <c r="G762" s="71"/>
      <c r="H762" s="71"/>
      <c r="I762" s="73"/>
      <c r="J762" s="65" t="s">
        <v>331</v>
      </c>
    </row>
    <row r="763" spans="2:10" ht="15">
      <c r="B763" s="396"/>
      <c r="C763" s="71"/>
      <c r="D763" s="71"/>
      <c r="F763" s="71"/>
      <c r="G763" s="71"/>
      <c r="H763" s="71"/>
      <c r="I763" s="73"/>
      <c r="J763" s="65" t="s">
        <v>331</v>
      </c>
    </row>
    <row r="764" spans="2:10" ht="15">
      <c r="B764" s="396"/>
      <c r="C764" s="71"/>
      <c r="D764" s="71"/>
      <c r="F764" s="71"/>
      <c r="G764" s="71"/>
      <c r="H764" s="71"/>
      <c r="I764" s="73"/>
      <c r="J764" s="65" t="s">
        <v>331</v>
      </c>
    </row>
    <row r="765" spans="2:10" ht="15">
      <c r="B765" s="396"/>
      <c r="C765" s="71"/>
      <c r="D765" s="71"/>
      <c r="F765" s="71"/>
      <c r="G765" s="71"/>
      <c r="H765" s="71"/>
      <c r="I765" s="73"/>
      <c r="J765" s="65" t="s">
        <v>331</v>
      </c>
    </row>
    <row r="766" spans="2:10" ht="15">
      <c r="B766" s="396"/>
      <c r="C766" s="71"/>
      <c r="D766" s="71"/>
      <c r="F766" s="71"/>
      <c r="G766" s="71"/>
      <c r="H766" s="71"/>
      <c r="I766" s="73"/>
      <c r="J766" s="65" t="s">
        <v>331</v>
      </c>
    </row>
    <row r="767" spans="2:10" ht="15">
      <c r="B767" s="396"/>
      <c r="C767" s="71"/>
      <c r="D767" s="71"/>
      <c r="F767" s="71"/>
      <c r="G767" s="71"/>
      <c r="H767" s="71"/>
      <c r="I767" s="73"/>
      <c r="J767" s="65" t="s">
        <v>331</v>
      </c>
    </row>
    <row r="768" spans="2:10" ht="15">
      <c r="B768" s="396"/>
      <c r="C768" s="71"/>
      <c r="D768" s="71"/>
      <c r="F768" s="71"/>
      <c r="G768" s="71"/>
      <c r="H768" s="71"/>
      <c r="I768" s="73"/>
      <c r="J768" s="65" t="s">
        <v>331</v>
      </c>
    </row>
    <row r="769" spans="2:10" ht="15">
      <c r="B769" s="396"/>
      <c r="C769" s="71"/>
      <c r="D769" s="71"/>
      <c r="F769" s="71"/>
      <c r="G769" s="71"/>
      <c r="H769" s="71"/>
      <c r="I769" s="73"/>
      <c r="J769" s="65" t="s">
        <v>331</v>
      </c>
    </row>
    <row r="770" spans="2:10" ht="15">
      <c r="B770" s="396"/>
      <c r="C770" s="71"/>
      <c r="D770" s="71"/>
      <c r="F770" s="71"/>
      <c r="G770" s="71"/>
      <c r="H770" s="71"/>
      <c r="I770" s="73"/>
      <c r="J770" s="65" t="s">
        <v>331</v>
      </c>
    </row>
    <row r="771" spans="2:10" ht="15">
      <c r="B771" s="396"/>
      <c r="C771" s="71"/>
      <c r="D771" s="71"/>
      <c r="F771" s="71"/>
      <c r="G771" s="71"/>
      <c r="H771" s="71"/>
      <c r="I771" s="73"/>
      <c r="J771" s="65" t="s">
        <v>331</v>
      </c>
    </row>
    <row r="772" spans="2:10" ht="15">
      <c r="B772" s="396"/>
      <c r="C772" s="71"/>
      <c r="D772" s="71"/>
      <c r="F772" s="71"/>
      <c r="G772" s="71"/>
      <c r="H772" s="71"/>
      <c r="I772" s="73"/>
      <c r="J772" s="65" t="s">
        <v>331</v>
      </c>
    </row>
    <row r="773" spans="2:10" ht="15">
      <c r="B773" s="396"/>
      <c r="C773" s="71"/>
      <c r="D773" s="71"/>
      <c r="F773" s="71"/>
      <c r="G773" s="71"/>
      <c r="H773" s="71"/>
      <c r="I773" s="73"/>
      <c r="J773" s="65" t="s">
        <v>331</v>
      </c>
    </row>
    <row r="774" spans="2:10" ht="15">
      <c r="B774" s="396"/>
      <c r="C774" s="71"/>
      <c r="D774" s="71"/>
      <c r="F774" s="71"/>
      <c r="G774" s="71"/>
      <c r="H774" s="71"/>
      <c r="I774" s="73"/>
      <c r="J774" s="65" t="s">
        <v>331</v>
      </c>
    </row>
    <row r="775" spans="2:10" ht="15">
      <c r="B775" s="396"/>
      <c r="C775" s="71"/>
      <c r="D775" s="71"/>
      <c r="F775" s="71"/>
      <c r="G775" s="71"/>
      <c r="H775" s="71"/>
      <c r="I775" s="73"/>
      <c r="J775" s="65" t="s">
        <v>331</v>
      </c>
    </row>
    <row r="776" spans="2:10" ht="15">
      <c r="B776" s="396"/>
      <c r="C776" s="71"/>
      <c r="D776" s="71"/>
      <c r="F776" s="71"/>
      <c r="G776" s="71"/>
      <c r="H776" s="71"/>
      <c r="I776" s="73"/>
      <c r="J776" s="65" t="s">
        <v>331</v>
      </c>
    </row>
    <row r="777" spans="2:10" ht="15">
      <c r="B777" s="396"/>
      <c r="C777" s="71"/>
      <c r="D777" s="71"/>
      <c r="F777" s="71"/>
      <c r="G777" s="71"/>
      <c r="H777" s="71"/>
      <c r="I777" s="73"/>
      <c r="J777" s="65" t="s">
        <v>331</v>
      </c>
    </row>
    <row r="778" spans="2:10" ht="15">
      <c r="B778" s="396"/>
      <c r="C778" s="71"/>
      <c r="D778" s="71"/>
      <c r="F778" s="71"/>
      <c r="G778" s="71"/>
      <c r="H778" s="71"/>
      <c r="I778" s="73"/>
      <c r="J778" s="65" t="s">
        <v>331</v>
      </c>
    </row>
    <row r="779" spans="2:10" ht="15">
      <c r="B779" s="396"/>
      <c r="C779" s="71"/>
      <c r="D779" s="71"/>
      <c r="F779" s="71"/>
      <c r="G779" s="71"/>
      <c r="H779" s="71"/>
      <c r="I779" s="73"/>
      <c r="J779" s="65" t="s">
        <v>331</v>
      </c>
    </row>
    <row r="780" spans="2:10" ht="15">
      <c r="B780" s="396"/>
      <c r="C780" s="71"/>
      <c r="D780" s="71"/>
      <c r="F780" s="71"/>
      <c r="G780" s="71"/>
      <c r="H780" s="71"/>
      <c r="I780" s="73"/>
      <c r="J780" s="65" t="s">
        <v>331</v>
      </c>
    </row>
    <row r="781" spans="2:10" ht="15">
      <c r="B781" s="396"/>
      <c r="C781" s="71"/>
      <c r="D781" s="71"/>
      <c r="F781" s="71"/>
      <c r="G781" s="71"/>
      <c r="H781" s="71"/>
      <c r="I781" s="73"/>
      <c r="J781" s="65" t="s">
        <v>331</v>
      </c>
    </row>
    <row r="782" spans="2:10" ht="15">
      <c r="B782" s="396"/>
      <c r="C782" s="71"/>
      <c r="D782" s="71"/>
      <c r="F782" s="71"/>
      <c r="G782" s="71"/>
      <c r="H782" s="71"/>
      <c r="I782" s="73"/>
      <c r="J782" s="65" t="s">
        <v>331</v>
      </c>
    </row>
    <row r="783" spans="2:10" ht="15">
      <c r="B783" s="396"/>
      <c r="C783" s="71"/>
      <c r="D783" s="71"/>
      <c r="F783" s="71"/>
      <c r="G783" s="71"/>
      <c r="H783" s="71"/>
      <c r="I783" s="73"/>
      <c r="J783" s="65" t="s">
        <v>331</v>
      </c>
    </row>
    <row r="784" spans="2:10" ht="15">
      <c r="B784" s="396"/>
      <c r="C784" s="71"/>
      <c r="D784" s="71"/>
      <c r="F784" s="71"/>
      <c r="G784" s="71"/>
      <c r="H784" s="71"/>
      <c r="I784" s="73"/>
      <c r="J784" s="65" t="s">
        <v>331</v>
      </c>
    </row>
    <row r="785" spans="2:10" ht="15">
      <c r="B785" s="396"/>
      <c r="C785" s="71"/>
      <c r="D785" s="71"/>
      <c r="F785" s="71"/>
      <c r="G785" s="71"/>
      <c r="H785" s="71"/>
      <c r="I785" s="73"/>
      <c r="J785" s="65" t="s">
        <v>331</v>
      </c>
    </row>
    <row r="786" spans="2:10" ht="15">
      <c r="B786" s="396"/>
      <c r="C786" s="71"/>
      <c r="D786" s="71"/>
      <c r="F786" s="71"/>
      <c r="G786" s="71"/>
      <c r="H786" s="71"/>
      <c r="I786" s="73"/>
      <c r="J786" s="65" t="s">
        <v>331</v>
      </c>
    </row>
    <row r="787" spans="2:10" ht="15">
      <c r="B787" s="396"/>
      <c r="C787" s="71"/>
      <c r="D787" s="71"/>
      <c r="F787" s="71"/>
      <c r="G787" s="71"/>
      <c r="H787" s="71"/>
      <c r="I787" s="73"/>
      <c r="J787" s="65" t="s">
        <v>331</v>
      </c>
    </row>
    <row r="788" spans="2:10" ht="15">
      <c r="B788" s="396"/>
      <c r="C788" s="71"/>
      <c r="D788" s="71"/>
      <c r="F788" s="71"/>
      <c r="G788" s="71"/>
      <c r="H788" s="71"/>
      <c r="I788" s="73"/>
      <c r="J788" s="65" t="s">
        <v>331</v>
      </c>
    </row>
    <row r="789" spans="2:10" ht="15">
      <c r="B789" s="396"/>
      <c r="C789" s="71"/>
      <c r="D789" s="71"/>
      <c r="F789" s="71"/>
      <c r="G789" s="71"/>
      <c r="H789" s="71"/>
      <c r="I789" s="73"/>
      <c r="J789" s="65" t="s">
        <v>331</v>
      </c>
    </row>
    <row r="790" spans="2:10" ht="15">
      <c r="B790" s="396"/>
      <c r="C790" s="71"/>
      <c r="D790" s="71"/>
      <c r="F790" s="71"/>
      <c r="G790" s="71"/>
      <c r="H790" s="71"/>
      <c r="I790" s="73"/>
      <c r="J790" s="65" t="s">
        <v>331</v>
      </c>
    </row>
    <row r="791" spans="2:10" ht="15">
      <c r="B791" s="396"/>
      <c r="C791" s="71"/>
      <c r="D791" s="71"/>
      <c r="F791" s="71"/>
      <c r="G791" s="71"/>
      <c r="H791" s="71"/>
      <c r="I791" s="73"/>
      <c r="J791" s="65" t="s">
        <v>331</v>
      </c>
    </row>
    <row r="792" spans="2:10" ht="15">
      <c r="B792" s="396"/>
      <c r="C792" s="71"/>
      <c r="D792" s="71"/>
      <c r="F792" s="71"/>
      <c r="G792" s="71"/>
      <c r="H792" s="71"/>
      <c r="I792" s="73"/>
      <c r="J792" s="65" t="s">
        <v>331</v>
      </c>
    </row>
    <row r="793" spans="2:10" ht="15">
      <c r="B793" s="396"/>
      <c r="C793" s="71"/>
      <c r="D793" s="71"/>
      <c r="F793" s="71"/>
      <c r="G793" s="71"/>
      <c r="H793" s="71"/>
      <c r="I793" s="73"/>
      <c r="J793" s="65" t="s">
        <v>331</v>
      </c>
    </row>
    <row r="794" spans="2:10" ht="15">
      <c r="B794" s="396"/>
      <c r="C794" s="71"/>
      <c r="D794" s="71"/>
      <c r="F794" s="71"/>
      <c r="G794" s="71"/>
      <c r="H794" s="71"/>
      <c r="I794" s="73"/>
      <c r="J794" s="65" t="s">
        <v>331</v>
      </c>
    </row>
    <row r="795" spans="2:10" ht="15">
      <c r="B795" s="396"/>
      <c r="C795" s="71"/>
      <c r="D795" s="71"/>
      <c r="F795" s="71"/>
      <c r="G795" s="71"/>
      <c r="H795" s="71"/>
      <c r="I795" s="73"/>
      <c r="J795" s="65" t="s">
        <v>331</v>
      </c>
    </row>
    <row r="796" spans="2:10" ht="15">
      <c r="B796" s="396"/>
      <c r="C796" s="71"/>
      <c r="D796" s="71"/>
      <c r="F796" s="71"/>
      <c r="G796" s="71"/>
      <c r="H796" s="71"/>
      <c r="I796" s="73"/>
      <c r="J796" s="65" t="s">
        <v>331</v>
      </c>
    </row>
    <row r="797" spans="2:10" ht="15">
      <c r="B797" s="396"/>
      <c r="C797" s="71"/>
      <c r="D797" s="71"/>
      <c r="F797" s="71"/>
      <c r="G797" s="71"/>
      <c r="H797" s="71"/>
      <c r="I797" s="73"/>
      <c r="J797" s="65" t="s">
        <v>331</v>
      </c>
    </row>
    <row r="798" spans="2:10" ht="15">
      <c r="B798" s="396"/>
      <c r="C798" s="71"/>
      <c r="D798" s="71"/>
      <c r="F798" s="71"/>
      <c r="G798" s="71"/>
      <c r="H798" s="71"/>
      <c r="I798" s="73"/>
      <c r="J798" s="65" t="s">
        <v>331</v>
      </c>
    </row>
    <row r="799" spans="2:10" ht="15">
      <c r="B799" s="396"/>
      <c r="C799" s="71"/>
      <c r="D799" s="71"/>
      <c r="F799" s="71"/>
      <c r="G799" s="71"/>
      <c r="H799" s="71"/>
      <c r="I799" s="73"/>
      <c r="J799" s="65" t="s">
        <v>331</v>
      </c>
    </row>
    <row r="800" spans="2:10" ht="15">
      <c r="B800" s="396"/>
      <c r="C800" s="71"/>
      <c r="D800" s="71"/>
      <c r="F800" s="71"/>
      <c r="G800" s="71"/>
      <c r="H800" s="71"/>
      <c r="I800" s="73"/>
      <c r="J800" s="65" t="s">
        <v>331</v>
      </c>
    </row>
    <row r="801" spans="2:10" ht="15">
      <c r="B801" s="396"/>
      <c r="C801" s="71"/>
      <c r="D801" s="71"/>
      <c r="F801" s="71"/>
      <c r="G801" s="71"/>
      <c r="H801" s="71"/>
      <c r="I801" s="73"/>
      <c r="J801" s="65" t="s">
        <v>331</v>
      </c>
    </row>
    <row r="802" spans="2:10" ht="15">
      <c r="B802" s="396"/>
      <c r="C802" s="71"/>
      <c r="D802" s="71"/>
      <c r="F802" s="71"/>
      <c r="G802" s="71"/>
      <c r="H802" s="71"/>
      <c r="I802" s="73"/>
      <c r="J802" s="65" t="s">
        <v>331</v>
      </c>
    </row>
    <row r="803" spans="2:10" ht="15">
      <c r="B803" s="396"/>
      <c r="C803" s="71"/>
      <c r="D803" s="71"/>
      <c r="F803" s="71"/>
      <c r="G803" s="71"/>
      <c r="H803" s="71"/>
      <c r="I803" s="73"/>
      <c r="J803" s="65" t="s">
        <v>331</v>
      </c>
    </row>
    <row r="804" spans="2:10" ht="15">
      <c r="B804" s="396"/>
      <c r="C804" s="71"/>
      <c r="D804" s="71"/>
      <c r="F804" s="71"/>
      <c r="G804" s="71"/>
      <c r="H804" s="71"/>
      <c r="I804" s="73"/>
      <c r="J804" s="65" t="s">
        <v>331</v>
      </c>
    </row>
    <row r="805" spans="2:10" ht="15">
      <c r="B805" s="396"/>
      <c r="C805" s="71"/>
      <c r="D805" s="71"/>
      <c r="F805" s="71"/>
      <c r="G805" s="71"/>
      <c r="H805" s="71"/>
      <c r="I805" s="73"/>
      <c r="J805" s="65" t="s">
        <v>331</v>
      </c>
    </row>
    <row r="806" spans="2:10" ht="15">
      <c r="B806" s="396"/>
      <c r="C806" s="71"/>
      <c r="D806" s="71"/>
      <c r="F806" s="71"/>
      <c r="G806" s="71"/>
      <c r="H806" s="71"/>
      <c r="I806" s="73"/>
      <c r="J806" s="65" t="s">
        <v>331</v>
      </c>
    </row>
    <row r="807" spans="2:10" ht="15">
      <c r="B807" s="396"/>
      <c r="C807" s="71"/>
      <c r="D807" s="71"/>
      <c r="F807" s="71"/>
      <c r="G807" s="71"/>
      <c r="H807" s="71"/>
      <c r="I807" s="73"/>
      <c r="J807" s="65" t="s">
        <v>331</v>
      </c>
    </row>
    <row r="808" spans="2:10" ht="15">
      <c r="B808" s="396"/>
      <c r="C808" s="71"/>
      <c r="D808" s="71"/>
      <c r="F808" s="71"/>
      <c r="G808" s="71"/>
      <c r="H808" s="71"/>
      <c r="I808" s="73"/>
      <c r="J808" s="65" t="s">
        <v>331</v>
      </c>
    </row>
    <row r="809" spans="2:10" ht="15">
      <c r="B809" s="396"/>
      <c r="C809" s="71"/>
      <c r="D809" s="71"/>
      <c r="F809" s="71"/>
      <c r="G809" s="71"/>
      <c r="H809" s="71"/>
      <c r="I809" s="73"/>
      <c r="J809" s="65" t="s">
        <v>331</v>
      </c>
    </row>
    <row r="810" spans="2:10" ht="15">
      <c r="B810" s="396"/>
      <c r="C810" s="71"/>
      <c r="D810" s="71"/>
      <c r="F810" s="71"/>
      <c r="G810" s="71"/>
      <c r="H810" s="71"/>
      <c r="I810" s="73"/>
      <c r="J810" s="65" t="s">
        <v>331</v>
      </c>
    </row>
    <row r="811" spans="2:10" ht="15">
      <c r="B811" s="396"/>
      <c r="C811" s="71"/>
      <c r="D811" s="71"/>
      <c r="F811" s="71"/>
      <c r="G811" s="71"/>
      <c r="H811" s="71"/>
      <c r="I811" s="73"/>
      <c r="J811" s="65" t="s">
        <v>331</v>
      </c>
    </row>
    <row r="812" spans="2:10" ht="15">
      <c r="B812" s="396"/>
      <c r="C812" s="71"/>
      <c r="D812" s="71"/>
      <c r="F812" s="71"/>
      <c r="G812" s="71"/>
      <c r="H812" s="71"/>
      <c r="I812" s="73"/>
      <c r="J812" s="65" t="s">
        <v>331</v>
      </c>
    </row>
    <row r="813" spans="2:10" ht="15">
      <c r="B813" s="396"/>
      <c r="C813" s="71"/>
      <c r="D813" s="71"/>
      <c r="F813" s="71"/>
      <c r="G813" s="71"/>
      <c r="H813" s="71"/>
      <c r="I813" s="73"/>
      <c r="J813" s="65" t="s">
        <v>331</v>
      </c>
    </row>
    <row r="814" spans="2:10" ht="15">
      <c r="B814" s="396"/>
      <c r="C814" s="71"/>
      <c r="D814" s="71"/>
      <c r="F814" s="71"/>
      <c r="G814" s="71"/>
      <c r="H814" s="71"/>
      <c r="I814" s="73"/>
      <c r="J814" s="65" t="s">
        <v>331</v>
      </c>
    </row>
    <row r="815" spans="2:10" ht="15">
      <c r="B815" s="396"/>
      <c r="C815" s="71"/>
      <c r="D815" s="71"/>
      <c r="F815" s="71"/>
      <c r="G815" s="71"/>
      <c r="H815" s="71"/>
      <c r="I815" s="73"/>
      <c r="J815" s="65" t="s">
        <v>331</v>
      </c>
    </row>
    <row r="816" spans="2:10" ht="15">
      <c r="B816" s="396"/>
      <c r="C816" s="71"/>
      <c r="D816" s="71"/>
      <c r="F816" s="71"/>
      <c r="G816" s="71"/>
      <c r="H816" s="71"/>
      <c r="I816" s="73"/>
      <c r="J816" s="65" t="s">
        <v>331</v>
      </c>
    </row>
    <row r="817" spans="2:10" ht="15">
      <c r="B817" s="396"/>
      <c r="C817" s="71"/>
      <c r="D817" s="71"/>
      <c r="F817" s="71"/>
      <c r="G817" s="71"/>
      <c r="H817" s="71"/>
      <c r="I817" s="73"/>
      <c r="J817" s="65" t="s">
        <v>331</v>
      </c>
    </row>
    <row r="818" spans="2:10" ht="15">
      <c r="B818" s="396"/>
      <c r="C818" s="71"/>
      <c r="D818" s="71"/>
      <c r="F818" s="71"/>
      <c r="G818" s="71"/>
      <c r="H818" s="71"/>
      <c r="I818" s="73"/>
      <c r="J818" s="65" t="s">
        <v>331</v>
      </c>
    </row>
    <row r="819" spans="2:10" ht="15">
      <c r="B819" s="396"/>
      <c r="C819" s="71"/>
      <c r="D819" s="71"/>
      <c r="F819" s="71"/>
      <c r="G819" s="71"/>
      <c r="H819" s="71"/>
      <c r="I819" s="73"/>
      <c r="J819" s="65" t="s">
        <v>331</v>
      </c>
    </row>
    <row r="820" spans="2:10" ht="15">
      <c r="B820" s="396"/>
      <c r="C820" s="71"/>
      <c r="D820" s="71"/>
      <c r="F820" s="71"/>
      <c r="G820" s="71"/>
      <c r="H820" s="71"/>
      <c r="I820" s="73"/>
      <c r="J820" s="65" t="s">
        <v>331</v>
      </c>
    </row>
    <row r="821" spans="2:10" ht="15">
      <c r="B821" s="396"/>
      <c r="C821" s="71"/>
      <c r="D821" s="71"/>
      <c r="F821" s="71"/>
      <c r="G821" s="71"/>
      <c r="H821" s="71"/>
      <c r="I821" s="73"/>
      <c r="J821" s="65" t="s">
        <v>331</v>
      </c>
    </row>
    <row r="822" spans="2:10" ht="15">
      <c r="B822" s="396"/>
      <c r="C822" s="71"/>
      <c r="D822" s="71"/>
      <c r="F822" s="71"/>
      <c r="G822" s="71"/>
      <c r="H822" s="71"/>
      <c r="I822" s="73"/>
      <c r="J822" s="65" t="s">
        <v>331</v>
      </c>
    </row>
    <row r="823" spans="2:10" ht="15">
      <c r="B823" s="396"/>
      <c r="C823" s="71"/>
      <c r="D823" s="71"/>
      <c r="F823" s="71"/>
      <c r="G823" s="71"/>
      <c r="H823" s="71"/>
      <c r="I823" s="73"/>
      <c r="J823" s="65" t="s">
        <v>331</v>
      </c>
    </row>
    <row r="824" spans="2:10" ht="15">
      <c r="B824" s="396"/>
      <c r="C824" s="71"/>
      <c r="D824" s="71"/>
      <c r="F824" s="71"/>
      <c r="G824" s="71"/>
      <c r="H824" s="71"/>
      <c r="I824" s="73"/>
      <c r="J824" s="65" t="s">
        <v>331</v>
      </c>
    </row>
    <row r="825" spans="2:10" ht="15">
      <c r="B825" s="396"/>
      <c r="C825" s="71"/>
      <c r="D825" s="71"/>
      <c r="F825" s="71"/>
      <c r="G825" s="71"/>
      <c r="H825" s="71"/>
      <c r="I825" s="73"/>
      <c r="J825" s="65" t="s">
        <v>331</v>
      </c>
    </row>
    <row r="826" spans="2:10" ht="15">
      <c r="B826" s="396"/>
      <c r="C826" s="71"/>
      <c r="D826" s="71"/>
      <c r="F826" s="71"/>
      <c r="G826" s="71"/>
      <c r="H826" s="71"/>
      <c r="I826" s="73"/>
      <c r="J826" s="65" t="s">
        <v>331</v>
      </c>
    </row>
    <row r="827" spans="2:10" ht="15">
      <c r="B827" s="396"/>
      <c r="C827" s="71"/>
      <c r="D827" s="71"/>
      <c r="F827" s="71"/>
      <c r="G827" s="71"/>
      <c r="H827" s="71"/>
      <c r="I827" s="73"/>
      <c r="J827" s="65" t="s">
        <v>331</v>
      </c>
    </row>
    <row r="828" spans="2:10" ht="15">
      <c r="B828" s="396"/>
      <c r="C828" s="71"/>
      <c r="D828" s="71"/>
      <c r="F828" s="71"/>
      <c r="G828" s="71"/>
      <c r="H828" s="71"/>
      <c r="I828" s="73"/>
      <c r="J828" s="65" t="s">
        <v>331</v>
      </c>
    </row>
    <row r="829" spans="2:10" ht="15">
      <c r="B829" s="396"/>
      <c r="C829" s="71"/>
      <c r="D829" s="71"/>
      <c r="F829" s="71"/>
      <c r="G829" s="71"/>
      <c r="H829" s="71"/>
      <c r="I829" s="73"/>
      <c r="J829" s="65" t="s">
        <v>331</v>
      </c>
    </row>
    <row r="830" spans="2:10" ht="15">
      <c r="B830" s="396"/>
      <c r="C830" s="71"/>
      <c r="D830" s="71"/>
      <c r="F830" s="71"/>
      <c r="G830" s="71"/>
      <c r="H830" s="71"/>
      <c r="I830" s="73"/>
      <c r="J830" s="65" t="s">
        <v>331</v>
      </c>
    </row>
    <row r="831" spans="2:10" ht="15">
      <c r="B831" s="396"/>
      <c r="C831" s="71"/>
      <c r="D831" s="71"/>
      <c r="F831" s="71"/>
      <c r="G831" s="71"/>
      <c r="H831" s="71"/>
      <c r="I831" s="73"/>
      <c r="J831" s="65" t="s">
        <v>331</v>
      </c>
    </row>
    <row r="832" spans="2:10" ht="15">
      <c r="B832" s="396"/>
      <c r="C832" s="71"/>
      <c r="D832" s="71"/>
      <c r="F832" s="71"/>
      <c r="G832" s="71"/>
      <c r="H832" s="71"/>
      <c r="I832" s="73"/>
      <c r="J832" s="65" t="s">
        <v>331</v>
      </c>
    </row>
    <row r="833" spans="2:10" ht="15">
      <c r="B833" s="396"/>
      <c r="C833" s="71"/>
      <c r="D833" s="71"/>
      <c r="F833" s="71"/>
      <c r="G833" s="71"/>
      <c r="H833" s="71"/>
      <c r="I833" s="73"/>
      <c r="J833" s="65" t="s">
        <v>331</v>
      </c>
    </row>
    <row r="834" spans="2:10" ht="15">
      <c r="B834" s="396"/>
      <c r="C834" s="71"/>
      <c r="D834" s="71"/>
      <c r="F834" s="71"/>
      <c r="G834" s="71"/>
      <c r="H834" s="71"/>
      <c r="I834" s="73"/>
      <c r="J834" s="65" t="s">
        <v>331</v>
      </c>
    </row>
    <row r="835" spans="2:10" ht="15">
      <c r="B835" s="396"/>
      <c r="C835" s="71"/>
      <c r="D835" s="71"/>
      <c r="F835" s="71"/>
      <c r="G835" s="71"/>
      <c r="H835" s="71"/>
      <c r="I835" s="73"/>
      <c r="J835" s="65" t="s">
        <v>331</v>
      </c>
    </row>
    <row r="836" spans="2:10" ht="15">
      <c r="B836" s="396"/>
      <c r="C836" s="71"/>
      <c r="D836" s="71"/>
      <c r="F836" s="71"/>
      <c r="G836" s="71"/>
      <c r="H836" s="71"/>
      <c r="I836" s="73"/>
      <c r="J836" s="65" t="s">
        <v>331</v>
      </c>
    </row>
    <row r="837" spans="2:10" ht="15">
      <c r="B837" s="396"/>
      <c r="C837" s="71"/>
      <c r="D837" s="71"/>
      <c r="F837" s="71"/>
      <c r="G837" s="71"/>
      <c r="H837" s="71"/>
      <c r="I837" s="73"/>
      <c r="J837" s="65" t="s">
        <v>331</v>
      </c>
    </row>
    <row r="838" spans="2:10" ht="15">
      <c r="B838" s="396"/>
      <c r="C838" s="71"/>
      <c r="D838" s="71"/>
      <c r="F838" s="71"/>
      <c r="G838" s="71"/>
      <c r="H838" s="71"/>
      <c r="I838" s="73"/>
      <c r="J838" s="65" t="s">
        <v>331</v>
      </c>
    </row>
    <row r="839" spans="2:10" ht="15">
      <c r="B839" s="396"/>
      <c r="C839" s="71"/>
      <c r="D839" s="71"/>
      <c r="F839" s="71"/>
      <c r="G839" s="71"/>
      <c r="H839" s="71"/>
      <c r="I839" s="73"/>
      <c r="J839" s="65" t="s">
        <v>331</v>
      </c>
    </row>
    <row r="840" spans="2:10" ht="15">
      <c r="B840" s="396"/>
      <c r="C840" s="71"/>
      <c r="D840" s="71"/>
      <c r="F840" s="71"/>
      <c r="G840" s="71"/>
      <c r="H840" s="71"/>
      <c r="I840" s="73"/>
      <c r="J840" s="65" t="s">
        <v>331</v>
      </c>
    </row>
    <row r="841" spans="2:10" ht="15">
      <c r="B841" s="396"/>
      <c r="C841" s="71"/>
      <c r="D841" s="71"/>
      <c r="F841" s="71"/>
      <c r="G841" s="71"/>
      <c r="H841" s="71"/>
      <c r="I841" s="73"/>
      <c r="J841" s="65" t="s">
        <v>331</v>
      </c>
    </row>
    <row r="842" spans="2:10" ht="15">
      <c r="B842" s="396"/>
      <c r="C842" s="71"/>
      <c r="D842" s="71"/>
      <c r="F842" s="71"/>
      <c r="G842" s="71"/>
      <c r="H842" s="71"/>
      <c r="I842" s="73"/>
      <c r="J842" s="65" t="s">
        <v>331</v>
      </c>
    </row>
    <row r="843" spans="2:10" ht="15">
      <c r="B843" s="396"/>
      <c r="C843" s="71"/>
      <c r="D843" s="71"/>
      <c r="F843" s="71"/>
      <c r="G843" s="71"/>
      <c r="H843" s="71"/>
      <c r="I843" s="73"/>
      <c r="J843" s="65" t="s">
        <v>331</v>
      </c>
    </row>
    <row r="844" spans="2:10" ht="15">
      <c r="B844" s="396"/>
      <c r="C844" s="71"/>
      <c r="D844" s="71"/>
      <c r="F844" s="71"/>
      <c r="G844" s="71"/>
      <c r="H844" s="71"/>
      <c r="I844" s="73"/>
      <c r="J844" s="65" t="s">
        <v>331</v>
      </c>
    </row>
    <row r="845" spans="2:10" ht="15">
      <c r="B845" s="396"/>
      <c r="C845" s="71"/>
      <c r="D845" s="71"/>
      <c r="F845" s="71"/>
      <c r="G845" s="71"/>
      <c r="H845" s="71"/>
      <c r="I845" s="73"/>
      <c r="J845" s="65" t="s">
        <v>331</v>
      </c>
    </row>
    <row r="846" spans="2:10" ht="15">
      <c r="B846" s="396"/>
      <c r="C846" s="71"/>
      <c r="D846" s="71"/>
      <c r="F846" s="71"/>
      <c r="G846" s="71"/>
      <c r="H846" s="71"/>
      <c r="I846" s="73"/>
      <c r="J846" s="65" t="s">
        <v>331</v>
      </c>
    </row>
    <row r="847" spans="2:10" ht="15">
      <c r="B847" s="396"/>
      <c r="C847" s="71"/>
      <c r="D847" s="71"/>
      <c r="F847" s="71"/>
      <c r="G847" s="71"/>
      <c r="H847" s="71"/>
      <c r="I847" s="73"/>
      <c r="J847" s="65" t="s">
        <v>331</v>
      </c>
    </row>
    <row r="848" spans="2:10" ht="15">
      <c r="B848" s="396"/>
      <c r="C848" s="71"/>
      <c r="D848" s="71"/>
      <c r="F848" s="71"/>
      <c r="G848" s="71"/>
      <c r="H848" s="71"/>
      <c r="I848" s="73"/>
      <c r="J848" s="65" t="s">
        <v>331</v>
      </c>
    </row>
    <row r="849" spans="2:10" ht="15">
      <c r="B849" s="396"/>
      <c r="C849" s="71"/>
      <c r="D849" s="71"/>
      <c r="F849" s="71"/>
      <c r="G849" s="71"/>
      <c r="H849" s="71"/>
      <c r="I849" s="73"/>
      <c r="J849" s="65" t="s">
        <v>331</v>
      </c>
    </row>
    <row r="850" spans="2:10" ht="15">
      <c r="B850" s="396"/>
      <c r="C850" s="71"/>
      <c r="D850" s="71"/>
      <c r="F850" s="71"/>
      <c r="G850" s="71"/>
      <c r="H850" s="71"/>
      <c r="I850" s="73"/>
      <c r="J850" s="65" t="s">
        <v>331</v>
      </c>
    </row>
    <row r="851" spans="2:10" ht="15">
      <c r="B851" s="396"/>
      <c r="C851" s="71"/>
      <c r="D851" s="71"/>
      <c r="F851" s="71"/>
      <c r="G851" s="71"/>
      <c r="H851" s="71"/>
      <c r="I851" s="73"/>
      <c r="J851" s="65" t="s">
        <v>331</v>
      </c>
    </row>
    <row r="852" spans="2:10" ht="15">
      <c r="B852" s="396"/>
      <c r="C852" s="71"/>
      <c r="D852" s="71"/>
      <c r="F852" s="71"/>
      <c r="G852" s="71"/>
      <c r="H852" s="71"/>
      <c r="I852" s="73"/>
      <c r="J852" s="65" t="s">
        <v>331</v>
      </c>
    </row>
    <row r="853" spans="2:10" ht="15">
      <c r="B853" s="396"/>
      <c r="C853" s="71"/>
      <c r="D853" s="71"/>
      <c r="F853" s="71"/>
      <c r="G853" s="71"/>
      <c r="H853" s="71"/>
      <c r="I853" s="73"/>
      <c r="J853" s="65" t="s">
        <v>331</v>
      </c>
    </row>
    <row r="854" spans="2:10" ht="15">
      <c r="B854" s="396"/>
      <c r="C854" s="71"/>
      <c r="D854" s="71"/>
      <c r="F854" s="71"/>
      <c r="G854" s="71"/>
      <c r="H854" s="71"/>
      <c r="I854" s="73"/>
      <c r="J854" s="65" t="s">
        <v>331</v>
      </c>
    </row>
    <row r="855" spans="2:10" ht="15">
      <c r="B855" s="396"/>
      <c r="C855" s="71"/>
      <c r="D855" s="71"/>
      <c r="F855" s="71"/>
      <c r="G855" s="71"/>
      <c r="H855" s="71"/>
      <c r="I855" s="73"/>
      <c r="J855" s="65" t="s">
        <v>331</v>
      </c>
    </row>
    <row r="856" spans="2:10" ht="15">
      <c r="B856" s="396"/>
      <c r="C856" s="71"/>
      <c r="D856" s="71"/>
      <c r="F856" s="71"/>
      <c r="G856" s="71"/>
      <c r="H856" s="71"/>
      <c r="I856" s="73"/>
      <c r="J856" s="65" t="s">
        <v>331</v>
      </c>
    </row>
    <row r="857" spans="2:10" ht="15">
      <c r="B857" s="396"/>
      <c r="C857" s="71"/>
      <c r="D857" s="71"/>
      <c r="F857" s="71"/>
      <c r="G857" s="71"/>
      <c r="H857" s="71"/>
      <c r="I857" s="73"/>
      <c r="J857" s="65" t="s">
        <v>331</v>
      </c>
    </row>
    <row r="858" spans="2:10" ht="15">
      <c r="B858" s="396"/>
      <c r="C858" s="71"/>
      <c r="D858" s="71"/>
      <c r="F858" s="71"/>
      <c r="G858" s="71"/>
      <c r="H858" s="71"/>
      <c r="I858" s="73"/>
      <c r="J858" s="65" t="s">
        <v>331</v>
      </c>
    </row>
    <row r="859" spans="2:10" ht="15">
      <c r="B859" s="396"/>
      <c r="C859" s="71"/>
      <c r="D859" s="71"/>
      <c r="F859" s="71"/>
      <c r="G859" s="71"/>
      <c r="H859" s="71"/>
      <c r="I859" s="73"/>
      <c r="J859" s="65" t="s">
        <v>331</v>
      </c>
    </row>
    <row r="860" spans="2:10" ht="15">
      <c r="B860" s="396"/>
      <c r="C860" s="71"/>
      <c r="D860" s="71"/>
      <c r="F860" s="71"/>
      <c r="G860" s="71"/>
      <c r="H860" s="71"/>
      <c r="I860" s="73"/>
      <c r="J860" s="65" t="s">
        <v>331</v>
      </c>
    </row>
    <row r="861" spans="2:10" ht="15">
      <c r="B861" s="396"/>
      <c r="C861" s="71"/>
      <c r="D861" s="71"/>
      <c r="F861" s="71"/>
      <c r="G861" s="71"/>
      <c r="H861" s="71"/>
      <c r="I861" s="73"/>
      <c r="J861" s="65" t="s">
        <v>331</v>
      </c>
    </row>
    <row r="862" spans="2:10" ht="15">
      <c r="B862" s="396"/>
      <c r="C862" s="71"/>
      <c r="D862" s="71"/>
      <c r="F862" s="71"/>
      <c r="G862" s="71"/>
      <c r="H862" s="71"/>
      <c r="I862" s="73"/>
      <c r="J862" s="65" t="s">
        <v>331</v>
      </c>
    </row>
    <row r="863" spans="2:10" ht="15">
      <c r="B863" s="396"/>
      <c r="C863" s="71"/>
      <c r="D863" s="71"/>
      <c r="F863" s="71"/>
      <c r="G863" s="71"/>
      <c r="H863" s="71"/>
      <c r="I863" s="73"/>
      <c r="J863" s="65" t="s">
        <v>331</v>
      </c>
    </row>
    <row r="864" spans="2:10" ht="15">
      <c r="B864" s="396"/>
      <c r="C864" s="71"/>
      <c r="D864" s="71"/>
      <c r="F864" s="71"/>
      <c r="G864" s="71"/>
      <c r="H864" s="71"/>
      <c r="I864" s="73"/>
      <c r="J864" s="65" t="s">
        <v>331</v>
      </c>
    </row>
    <row r="865" spans="2:10" ht="15">
      <c r="B865" s="396"/>
      <c r="C865" s="71"/>
      <c r="D865" s="71"/>
      <c r="F865" s="71"/>
      <c r="G865" s="71"/>
      <c r="H865" s="71"/>
      <c r="I865" s="73"/>
      <c r="J865" s="65" t="s">
        <v>331</v>
      </c>
    </row>
    <row r="866" spans="2:10" ht="15">
      <c r="B866" s="396"/>
      <c r="C866" s="71"/>
      <c r="D866" s="71"/>
      <c r="F866" s="71"/>
      <c r="G866" s="71"/>
      <c r="H866" s="71"/>
      <c r="I866" s="73"/>
      <c r="J866" s="65" t="s">
        <v>331</v>
      </c>
    </row>
    <row r="867" spans="2:10" ht="15">
      <c r="B867" s="396"/>
      <c r="C867" s="71"/>
      <c r="D867" s="71"/>
      <c r="F867" s="71"/>
      <c r="G867" s="71"/>
      <c r="H867" s="71"/>
      <c r="I867" s="73"/>
      <c r="J867" s="65" t="s">
        <v>331</v>
      </c>
    </row>
    <row r="868" spans="2:10" ht="15">
      <c r="B868" s="396"/>
      <c r="C868" s="71"/>
      <c r="D868" s="71"/>
      <c r="F868" s="71"/>
      <c r="G868" s="71"/>
      <c r="H868" s="71"/>
      <c r="I868" s="73"/>
      <c r="J868" s="65" t="s">
        <v>331</v>
      </c>
    </row>
    <row r="869" spans="2:10" ht="15">
      <c r="B869" s="396"/>
      <c r="C869" s="71"/>
      <c r="D869" s="71"/>
      <c r="F869" s="71"/>
      <c r="G869" s="71"/>
      <c r="H869" s="71"/>
      <c r="I869" s="73"/>
      <c r="J869" s="65" t="s">
        <v>331</v>
      </c>
    </row>
    <row r="870" spans="2:10" ht="15">
      <c r="B870" s="396"/>
      <c r="C870" s="71"/>
      <c r="D870" s="71"/>
      <c r="F870" s="71"/>
      <c r="G870" s="71"/>
      <c r="H870" s="71"/>
      <c r="I870" s="73"/>
      <c r="J870" s="65" t="s">
        <v>331</v>
      </c>
    </row>
    <row r="871" spans="2:10" ht="15">
      <c r="B871" s="396"/>
      <c r="C871" s="71"/>
      <c r="D871" s="71"/>
      <c r="F871" s="71"/>
      <c r="G871" s="71"/>
      <c r="H871" s="71"/>
      <c r="I871" s="73"/>
      <c r="J871" s="65" t="s">
        <v>331</v>
      </c>
    </row>
    <row r="872" spans="2:10" ht="15">
      <c r="B872" s="396"/>
      <c r="C872" s="71"/>
      <c r="D872" s="71"/>
      <c r="F872" s="71"/>
      <c r="G872" s="71"/>
      <c r="H872" s="71"/>
      <c r="I872" s="73"/>
      <c r="J872" s="65" t="s">
        <v>331</v>
      </c>
    </row>
    <row r="873" spans="2:10" ht="15">
      <c r="B873" s="396"/>
      <c r="C873" s="71"/>
      <c r="D873" s="71"/>
      <c r="F873" s="71"/>
      <c r="G873" s="71"/>
      <c r="H873" s="71"/>
      <c r="I873" s="73"/>
      <c r="J873" s="65" t="s">
        <v>331</v>
      </c>
    </row>
    <row r="874" spans="2:10" ht="15">
      <c r="B874" s="396"/>
      <c r="C874" s="71"/>
      <c r="D874" s="71"/>
      <c r="F874" s="71"/>
      <c r="G874" s="71"/>
      <c r="H874" s="71"/>
      <c r="I874" s="73"/>
      <c r="J874" s="65" t="s">
        <v>331</v>
      </c>
    </row>
    <row r="875" spans="2:10" ht="15">
      <c r="B875" s="396"/>
      <c r="C875" s="71"/>
      <c r="D875" s="71"/>
      <c r="F875" s="71"/>
      <c r="G875" s="71"/>
      <c r="H875" s="71"/>
      <c r="I875" s="73"/>
      <c r="J875" s="65" t="s">
        <v>331</v>
      </c>
    </row>
    <row r="876" spans="2:10" ht="15">
      <c r="B876" s="396"/>
      <c r="C876" s="71"/>
      <c r="D876" s="71"/>
      <c r="F876" s="71"/>
      <c r="G876" s="71"/>
      <c r="H876" s="71"/>
      <c r="I876" s="73"/>
      <c r="J876" s="65" t="s">
        <v>331</v>
      </c>
    </row>
    <row r="877" spans="2:10" ht="15">
      <c r="B877" s="396"/>
      <c r="C877" s="71"/>
      <c r="D877" s="71"/>
      <c r="F877" s="71"/>
      <c r="G877" s="71"/>
      <c r="H877" s="71"/>
      <c r="I877" s="73"/>
      <c r="J877" s="65" t="s">
        <v>331</v>
      </c>
    </row>
    <row r="878" spans="2:10" ht="15">
      <c r="B878" s="396"/>
      <c r="C878" s="71"/>
      <c r="D878" s="71"/>
      <c r="F878" s="71"/>
      <c r="G878" s="71"/>
      <c r="H878" s="71"/>
      <c r="I878" s="73"/>
      <c r="J878" s="65" t="s">
        <v>331</v>
      </c>
    </row>
    <row r="879" spans="2:10" ht="15">
      <c r="B879" s="396"/>
      <c r="C879" s="71"/>
      <c r="D879" s="71"/>
      <c r="F879" s="71"/>
      <c r="G879" s="71"/>
      <c r="H879" s="71"/>
      <c r="I879" s="73"/>
      <c r="J879" s="65" t="s">
        <v>331</v>
      </c>
    </row>
    <row r="880" spans="2:10" ht="15">
      <c r="B880" s="396"/>
      <c r="C880" s="71"/>
      <c r="D880" s="71"/>
      <c r="F880" s="71"/>
      <c r="G880" s="71"/>
      <c r="H880" s="71"/>
      <c r="I880" s="73"/>
      <c r="J880" s="65" t="s">
        <v>331</v>
      </c>
    </row>
    <row r="881" spans="2:10" ht="15">
      <c r="B881" s="396"/>
      <c r="C881" s="71"/>
      <c r="D881" s="71"/>
      <c r="F881" s="71"/>
      <c r="G881" s="71"/>
      <c r="H881" s="71"/>
      <c r="I881" s="73"/>
      <c r="J881" s="65" t="s">
        <v>331</v>
      </c>
    </row>
    <row r="882" spans="2:10" ht="15">
      <c r="B882" s="396"/>
      <c r="C882" s="71"/>
      <c r="D882" s="71"/>
      <c r="F882" s="71"/>
      <c r="G882" s="71"/>
      <c r="H882" s="71"/>
      <c r="I882" s="73"/>
      <c r="J882" s="65" t="s">
        <v>331</v>
      </c>
    </row>
    <row r="883" spans="2:10" ht="15">
      <c r="B883" s="396"/>
      <c r="C883" s="71"/>
      <c r="D883" s="71"/>
      <c r="F883" s="71"/>
      <c r="G883" s="71"/>
      <c r="H883" s="71"/>
      <c r="I883" s="73"/>
      <c r="J883" s="65" t="s">
        <v>331</v>
      </c>
    </row>
    <row r="884" spans="2:10" ht="15">
      <c r="B884" s="396"/>
      <c r="C884" s="71"/>
      <c r="D884" s="71"/>
      <c r="F884" s="71"/>
      <c r="G884" s="71"/>
      <c r="H884" s="71"/>
      <c r="I884" s="73"/>
      <c r="J884" s="65" t="s">
        <v>331</v>
      </c>
    </row>
    <row r="885" spans="2:10" ht="15">
      <c r="B885" s="396"/>
      <c r="C885" s="71"/>
      <c r="D885" s="71"/>
      <c r="F885" s="71"/>
      <c r="G885" s="71"/>
      <c r="H885" s="71"/>
      <c r="I885" s="73"/>
      <c r="J885" s="65" t="s">
        <v>331</v>
      </c>
    </row>
    <row r="886" spans="2:10" ht="15">
      <c r="B886" s="396"/>
      <c r="C886" s="71"/>
      <c r="D886" s="71"/>
      <c r="F886" s="71"/>
      <c r="G886" s="71"/>
      <c r="H886" s="71"/>
      <c r="I886" s="73"/>
      <c r="J886" s="65" t="s">
        <v>331</v>
      </c>
    </row>
    <row r="887" spans="2:10" ht="15">
      <c r="B887" s="396"/>
      <c r="C887" s="71"/>
      <c r="D887" s="71"/>
      <c r="F887" s="71"/>
      <c r="G887" s="71"/>
      <c r="H887" s="71"/>
      <c r="I887" s="73"/>
      <c r="J887" s="65" t="s">
        <v>331</v>
      </c>
    </row>
    <row r="888" spans="2:10" ht="15">
      <c r="B888" s="396"/>
      <c r="C888" s="71"/>
      <c r="D888" s="71"/>
      <c r="F888" s="71"/>
      <c r="G888" s="71"/>
      <c r="H888" s="71"/>
      <c r="I888" s="73"/>
      <c r="J888" s="65" t="s">
        <v>331</v>
      </c>
    </row>
    <row r="889" spans="2:10" ht="15">
      <c r="B889" s="396"/>
      <c r="C889" s="71"/>
      <c r="D889" s="71"/>
      <c r="F889" s="71"/>
      <c r="G889" s="71"/>
      <c r="H889" s="71"/>
      <c r="I889" s="73"/>
      <c r="J889" s="65" t="s">
        <v>331</v>
      </c>
    </row>
    <row r="890" spans="2:10" ht="15">
      <c r="B890" s="396"/>
      <c r="C890" s="71"/>
      <c r="D890" s="71"/>
      <c r="F890" s="71"/>
      <c r="G890" s="71"/>
      <c r="H890" s="71"/>
      <c r="I890" s="73"/>
      <c r="J890" s="65" t="s">
        <v>331</v>
      </c>
    </row>
    <row r="891" spans="2:10" ht="15">
      <c r="B891" s="396"/>
      <c r="C891" s="71"/>
      <c r="D891" s="71"/>
      <c r="F891" s="71"/>
      <c r="G891" s="71"/>
      <c r="H891" s="71"/>
      <c r="I891" s="73"/>
      <c r="J891" s="65" t="s">
        <v>331</v>
      </c>
    </row>
    <row r="892" spans="2:10" ht="15">
      <c r="B892" s="396"/>
      <c r="C892" s="71"/>
      <c r="D892" s="71"/>
      <c r="F892" s="71"/>
      <c r="G892" s="71"/>
      <c r="H892" s="71"/>
      <c r="I892" s="73"/>
      <c r="J892" s="65" t="s">
        <v>331</v>
      </c>
    </row>
    <row r="893" spans="2:10" ht="15">
      <c r="B893" s="396"/>
      <c r="C893" s="71"/>
      <c r="D893" s="71"/>
      <c r="F893" s="71"/>
      <c r="G893" s="71"/>
      <c r="H893" s="71"/>
      <c r="I893" s="73"/>
      <c r="J893" s="65" t="s">
        <v>331</v>
      </c>
    </row>
    <row r="894" spans="2:10" ht="15">
      <c r="B894" s="396"/>
      <c r="C894" s="71"/>
      <c r="D894" s="71"/>
      <c r="F894" s="71"/>
      <c r="G894" s="71"/>
      <c r="H894" s="71"/>
      <c r="I894" s="73"/>
      <c r="J894" s="65" t="s">
        <v>331</v>
      </c>
    </row>
    <row r="895" spans="2:10" ht="15">
      <c r="B895" s="396"/>
      <c r="C895" s="71"/>
      <c r="D895" s="71"/>
      <c r="F895" s="71"/>
      <c r="G895" s="71"/>
      <c r="H895" s="71"/>
      <c r="I895" s="73"/>
      <c r="J895" s="65" t="s">
        <v>331</v>
      </c>
    </row>
    <row r="896" spans="2:10" ht="15">
      <c r="B896" s="396"/>
      <c r="C896" s="71"/>
      <c r="D896" s="71"/>
      <c r="F896" s="71"/>
      <c r="G896" s="71"/>
      <c r="H896" s="71"/>
      <c r="I896" s="73"/>
      <c r="J896" s="65" t="s">
        <v>331</v>
      </c>
    </row>
    <row r="897" spans="2:10" ht="15">
      <c r="B897" s="396"/>
      <c r="C897" s="71"/>
      <c r="D897" s="71"/>
      <c r="F897" s="71"/>
      <c r="G897" s="71"/>
      <c r="H897" s="71"/>
      <c r="I897" s="73"/>
      <c r="J897" s="65" t="s">
        <v>331</v>
      </c>
    </row>
    <row r="898" spans="2:10" ht="15">
      <c r="B898" s="396"/>
      <c r="C898" s="71"/>
      <c r="D898" s="71"/>
      <c r="F898" s="71"/>
      <c r="G898" s="71"/>
      <c r="H898" s="71"/>
      <c r="I898" s="73"/>
      <c r="J898" s="65" t="s">
        <v>331</v>
      </c>
    </row>
    <row r="899" spans="2:10" ht="15">
      <c r="B899" s="396"/>
      <c r="C899" s="71"/>
      <c r="D899" s="71"/>
      <c r="F899" s="71"/>
      <c r="G899" s="71"/>
      <c r="H899" s="71"/>
      <c r="I899" s="73"/>
      <c r="J899" s="65" t="s">
        <v>331</v>
      </c>
    </row>
    <row r="900" spans="2:10" ht="15">
      <c r="B900" s="396"/>
      <c r="C900" s="71"/>
      <c r="D900" s="71"/>
      <c r="F900" s="71"/>
      <c r="G900" s="71"/>
      <c r="H900" s="71"/>
      <c r="I900" s="73"/>
      <c r="J900" s="65" t="s">
        <v>331</v>
      </c>
    </row>
    <row r="901" spans="2:10" ht="15">
      <c r="B901" s="396"/>
      <c r="C901" s="71"/>
      <c r="D901" s="71"/>
      <c r="F901" s="71"/>
      <c r="G901" s="71"/>
      <c r="H901" s="71"/>
      <c r="I901" s="73"/>
      <c r="J901" s="65" t="s">
        <v>331</v>
      </c>
    </row>
    <row r="902" spans="2:10" ht="15">
      <c r="B902" s="396"/>
      <c r="C902" s="71"/>
      <c r="D902" s="71"/>
      <c r="F902" s="71"/>
      <c r="G902" s="71"/>
      <c r="H902" s="71"/>
      <c r="I902" s="73"/>
      <c r="J902" s="65" t="s">
        <v>331</v>
      </c>
    </row>
    <row r="903" spans="2:10" ht="15">
      <c r="B903" s="396"/>
      <c r="C903" s="71"/>
      <c r="D903" s="71"/>
      <c r="F903" s="71"/>
      <c r="G903" s="71"/>
      <c r="H903" s="71"/>
      <c r="I903" s="73"/>
      <c r="J903" s="65" t="s">
        <v>331</v>
      </c>
    </row>
    <row r="904" spans="2:10" ht="15">
      <c r="B904" s="396"/>
      <c r="C904" s="71"/>
      <c r="D904" s="71"/>
      <c r="F904" s="71"/>
      <c r="G904" s="71"/>
      <c r="H904" s="71"/>
      <c r="I904" s="73"/>
      <c r="J904" s="65" t="s">
        <v>331</v>
      </c>
    </row>
    <row r="905" spans="2:10" ht="15">
      <c r="B905" s="396"/>
      <c r="C905" s="71"/>
      <c r="D905" s="71"/>
      <c r="F905" s="71"/>
      <c r="G905" s="71"/>
      <c r="H905" s="71"/>
      <c r="I905" s="73"/>
      <c r="J905" s="65" t="s">
        <v>331</v>
      </c>
    </row>
    <row r="906" spans="2:10" ht="15">
      <c r="B906" s="396"/>
      <c r="C906" s="71"/>
      <c r="D906" s="71"/>
      <c r="F906" s="71"/>
      <c r="G906" s="71"/>
      <c r="H906" s="71"/>
      <c r="I906" s="73"/>
      <c r="J906" s="65" t="s">
        <v>331</v>
      </c>
    </row>
    <row r="907" spans="2:10" ht="15">
      <c r="B907" s="396"/>
      <c r="C907" s="71"/>
      <c r="D907" s="71"/>
      <c r="F907" s="71"/>
      <c r="G907" s="71"/>
      <c r="H907" s="71"/>
      <c r="I907" s="73"/>
      <c r="J907" s="65" t="s">
        <v>331</v>
      </c>
    </row>
    <row r="908" spans="2:10" ht="15">
      <c r="B908" s="396"/>
      <c r="C908" s="71"/>
      <c r="D908" s="71"/>
      <c r="F908" s="71"/>
      <c r="G908" s="71"/>
      <c r="H908" s="71"/>
      <c r="I908" s="73"/>
      <c r="J908" s="65" t="s">
        <v>331</v>
      </c>
    </row>
    <row r="909" spans="2:10" ht="15">
      <c r="B909" s="396"/>
      <c r="C909" s="71"/>
      <c r="D909" s="71"/>
      <c r="F909" s="71"/>
      <c r="G909" s="71"/>
      <c r="H909" s="71"/>
      <c r="I909" s="73"/>
      <c r="J909" s="65" t="s">
        <v>331</v>
      </c>
    </row>
    <row r="910" spans="2:10" ht="15">
      <c r="B910" s="396"/>
      <c r="C910" s="71"/>
      <c r="D910" s="71"/>
      <c r="F910" s="71"/>
      <c r="G910" s="71"/>
      <c r="H910" s="71"/>
      <c r="I910" s="73"/>
      <c r="J910" s="65" t="s">
        <v>331</v>
      </c>
    </row>
    <row r="911" spans="2:10" ht="15">
      <c r="B911" s="396"/>
      <c r="C911" s="71"/>
      <c r="D911" s="71"/>
      <c r="F911" s="71"/>
      <c r="G911" s="71"/>
      <c r="H911" s="71"/>
      <c r="I911" s="73"/>
      <c r="J911" s="65" t="s">
        <v>331</v>
      </c>
    </row>
    <row r="912" spans="2:10" ht="15">
      <c r="B912" s="396"/>
      <c r="C912" s="71"/>
      <c r="D912" s="71"/>
      <c r="F912" s="71"/>
      <c r="G912" s="71"/>
      <c r="H912" s="71"/>
      <c r="I912" s="73"/>
      <c r="J912" s="65" t="s">
        <v>331</v>
      </c>
    </row>
    <row r="913" spans="2:10" ht="15">
      <c r="B913" s="396"/>
      <c r="C913" s="71"/>
      <c r="D913" s="71"/>
      <c r="F913" s="71"/>
      <c r="G913" s="71"/>
      <c r="H913" s="71"/>
      <c r="I913" s="73"/>
      <c r="J913" s="65" t="s">
        <v>331</v>
      </c>
    </row>
    <row r="914" spans="2:10" ht="15">
      <c r="B914" s="396"/>
      <c r="C914" s="71"/>
      <c r="D914" s="71"/>
      <c r="F914" s="71"/>
      <c r="G914" s="71"/>
      <c r="H914" s="71"/>
      <c r="I914" s="73"/>
      <c r="J914" s="65" t="s">
        <v>331</v>
      </c>
    </row>
    <row r="915" spans="2:10" ht="15">
      <c r="B915" s="396"/>
      <c r="C915" s="71"/>
      <c r="D915" s="71"/>
      <c r="F915" s="71"/>
      <c r="G915" s="71"/>
      <c r="H915" s="71"/>
      <c r="I915" s="73"/>
      <c r="J915" s="65" t="s">
        <v>331</v>
      </c>
    </row>
    <row r="916" spans="2:10" ht="15">
      <c r="B916" s="396"/>
      <c r="C916" s="71"/>
      <c r="D916" s="71"/>
      <c r="F916" s="71"/>
      <c r="G916" s="71"/>
      <c r="H916" s="71"/>
      <c r="I916" s="73"/>
      <c r="J916" s="65" t="s">
        <v>331</v>
      </c>
    </row>
    <row r="917" spans="2:10" ht="15">
      <c r="B917" s="396"/>
      <c r="C917" s="71"/>
      <c r="D917" s="71"/>
      <c r="F917" s="71"/>
      <c r="G917" s="71"/>
      <c r="H917" s="71"/>
      <c r="I917" s="73"/>
      <c r="J917" s="65" t="s">
        <v>331</v>
      </c>
    </row>
    <row r="918" spans="2:10" ht="15">
      <c r="B918" s="396"/>
      <c r="C918" s="71"/>
      <c r="D918" s="71"/>
      <c r="F918" s="71"/>
      <c r="G918" s="71"/>
      <c r="H918" s="71"/>
      <c r="I918" s="73"/>
      <c r="J918" s="65" t="s">
        <v>331</v>
      </c>
    </row>
    <row r="919" spans="2:10" ht="15">
      <c r="B919" s="396"/>
      <c r="C919" s="71"/>
      <c r="D919" s="71"/>
      <c r="F919" s="71"/>
      <c r="G919" s="71"/>
      <c r="H919" s="71"/>
      <c r="I919" s="73"/>
      <c r="J919" s="65" t="s">
        <v>331</v>
      </c>
    </row>
    <row r="920" spans="2:10" ht="15">
      <c r="B920" s="396"/>
      <c r="C920" s="71"/>
      <c r="D920" s="71"/>
      <c r="F920" s="71"/>
      <c r="G920" s="71"/>
      <c r="H920" s="71"/>
      <c r="I920" s="73"/>
      <c r="J920" s="65" t="s">
        <v>331</v>
      </c>
    </row>
    <row r="921" spans="2:10" ht="15">
      <c r="B921" s="396"/>
      <c r="C921" s="71"/>
      <c r="D921" s="71"/>
      <c r="F921" s="71"/>
      <c r="G921" s="71"/>
      <c r="H921" s="71"/>
      <c r="I921" s="73"/>
      <c r="J921" s="65" t="s">
        <v>331</v>
      </c>
    </row>
    <row r="922" spans="2:10" ht="15">
      <c r="B922" s="396"/>
      <c r="C922" s="71"/>
      <c r="D922" s="71"/>
      <c r="F922" s="71"/>
      <c r="G922" s="71"/>
      <c r="H922" s="71"/>
      <c r="I922" s="73"/>
      <c r="J922" s="65" t="s">
        <v>331</v>
      </c>
    </row>
    <row r="923" spans="2:10" ht="15">
      <c r="B923" s="396"/>
      <c r="C923" s="71"/>
      <c r="D923" s="71"/>
      <c r="F923" s="71"/>
      <c r="G923" s="71"/>
      <c r="H923" s="71"/>
      <c r="I923" s="73"/>
      <c r="J923" s="65" t="s">
        <v>331</v>
      </c>
    </row>
    <row r="924" spans="2:10" ht="15">
      <c r="B924" s="396"/>
      <c r="C924" s="71"/>
      <c r="D924" s="71"/>
      <c r="F924" s="71"/>
      <c r="G924" s="71"/>
      <c r="H924" s="71"/>
      <c r="I924" s="73"/>
      <c r="J924" s="65" t="s">
        <v>331</v>
      </c>
    </row>
    <row r="925" spans="2:10" ht="15">
      <c r="B925" s="396"/>
      <c r="C925" s="71"/>
      <c r="D925" s="71"/>
      <c r="F925" s="71"/>
      <c r="G925" s="71"/>
      <c r="H925" s="71"/>
      <c r="I925" s="73"/>
      <c r="J925" s="65" t="s">
        <v>331</v>
      </c>
    </row>
    <row r="926" spans="2:10" ht="15">
      <c r="B926" s="396"/>
      <c r="C926" s="71"/>
      <c r="D926" s="71"/>
      <c r="F926" s="71"/>
      <c r="G926" s="71"/>
      <c r="H926" s="71"/>
      <c r="I926" s="73"/>
      <c r="J926" s="65" t="s">
        <v>331</v>
      </c>
    </row>
    <row r="927" spans="2:10" ht="15">
      <c r="B927" s="396"/>
      <c r="C927" s="71"/>
      <c r="D927" s="71"/>
      <c r="F927" s="71"/>
      <c r="G927" s="71"/>
      <c r="H927" s="71"/>
      <c r="I927" s="73"/>
      <c r="J927" s="65" t="s">
        <v>331</v>
      </c>
    </row>
    <row r="928" spans="2:10" ht="15">
      <c r="B928" s="396"/>
      <c r="C928" s="71"/>
      <c r="D928" s="71"/>
      <c r="F928" s="71"/>
      <c r="G928" s="71"/>
      <c r="H928" s="71"/>
      <c r="I928" s="73"/>
      <c r="J928" s="65" t="s">
        <v>331</v>
      </c>
    </row>
    <row r="929" spans="2:10" ht="15">
      <c r="B929" s="396"/>
      <c r="C929" s="71"/>
      <c r="D929" s="71"/>
      <c r="F929" s="71"/>
      <c r="G929" s="71"/>
      <c r="H929" s="71"/>
      <c r="I929" s="73"/>
      <c r="J929" s="65" t="s">
        <v>331</v>
      </c>
    </row>
    <row r="930" spans="2:10" ht="15">
      <c r="B930" s="396"/>
      <c r="C930" s="71"/>
      <c r="D930" s="71"/>
      <c r="F930" s="71"/>
      <c r="G930" s="71"/>
      <c r="H930" s="71"/>
      <c r="I930" s="73"/>
      <c r="J930" s="65" t="s">
        <v>331</v>
      </c>
    </row>
    <row r="931" spans="2:10" ht="15">
      <c r="B931" s="396"/>
      <c r="C931" s="71"/>
      <c r="D931" s="71"/>
      <c r="F931" s="71"/>
      <c r="G931" s="71"/>
      <c r="H931" s="71"/>
      <c r="I931" s="73"/>
      <c r="J931" s="65" t="s">
        <v>331</v>
      </c>
    </row>
    <row r="932" spans="2:10" ht="15">
      <c r="B932" s="396"/>
      <c r="C932" s="71"/>
      <c r="D932" s="71"/>
      <c r="F932" s="71"/>
      <c r="G932" s="71"/>
      <c r="H932" s="71"/>
      <c r="I932" s="73"/>
      <c r="J932" s="65" t="s">
        <v>331</v>
      </c>
    </row>
    <row r="933" spans="2:10" ht="15">
      <c r="B933" s="396"/>
      <c r="C933" s="71"/>
      <c r="D933" s="71"/>
      <c r="F933" s="71"/>
      <c r="G933" s="71"/>
      <c r="H933" s="71"/>
      <c r="I933" s="73"/>
      <c r="J933" s="65" t="s">
        <v>331</v>
      </c>
    </row>
    <row r="934" spans="2:10" ht="15">
      <c r="B934" s="396"/>
      <c r="C934" s="71"/>
      <c r="D934" s="71"/>
      <c r="F934" s="71"/>
      <c r="G934" s="71"/>
      <c r="H934" s="71"/>
      <c r="I934" s="73"/>
      <c r="J934" s="65" t="s">
        <v>331</v>
      </c>
    </row>
    <row r="935" spans="2:10" ht="15">
      <c r="B935" s="396"/>
      <c r="C935" s="71"/>
      <c r="D935" s="71"/>
      <c r="F935" s="71"/>
      <c r="G935" s="71"/>
      <c r="H935" s="71"/>
      <c r="I935" s="73"/>
      <c r="J935" s="65" t="s">
        <v>331</v>
      </c>
    </row>
    <row r="936" spans="2:10" ht="15">
      <c r="B936" s="396"/>
      <c r="C936" s="71"/>
      <c r="D936" s="71"/>
      <c r="F936" s="71"/>
      <c r="G936" s="71"/>
      <c r="H936" s="71"/>
      <c r="I936" s="73"/>
      <c r="J936" s="65" t="s">
        <v>331</v>
      </c>
    </row>
    <row r="937" spans="2:10" ht="15">
      <c r="B937" s="396"/>
      <c r="C937" s="71"/>
      <c r="D937" s="71"/>
      <c r="F937" s="71"/>
      <c r="G937" s="71"/>
      <c r="H937" s="71"/>
      <c r="I937" s="73"/>
      <c r="J937" s="65" t="s">
        <v>331</v>
      </c>
    </row>
    <row r="938" spans="2:10" ht="15">
      <c r="B938" s="396"/>
      <c r="C938" s="71"/>
      <c r="D938" s="71"/>
      <c r="F938" s="71"/>
      <c r="G938" s="71"/>
      <c r="H938" s="71"/>
      <c r="I938" s="73"/>
      <c r="J938" s="65" t="s">
        <v>331</v>
      </c>
    </row>
    <row r="939" spans="2:10" ht="15">
      <c r="B939" s="396"/>
      <c r="C939" s="71"/>
      <c r="D939" s="71"/>
      <c r="F939" s="71"/>
      <c r="G939" s="71"/>
      <c r="H939" s="71"/>
      <c r="I939" s="73"/>
      <c r="J939" s="65" t="s">
        <v>331</v>
      </c>
    </row>
    <row r="940" spans="2:10" ht="15">
      <c r="B940" s="396"/>
      <c r="C940" s="71"/>
      <c r="D940" s="71"/>
      <c r="F940" s="71"/>
      <c r="G940" s="71"/>
      <c r="H940" s="71"/>
      <c r="I940" s="73"/>
      <c r="J940" s="65" t="s">
        <v>331</v>
      </c>
    </row>
    <row r="941" spans="2:10" ht="15">
      <c r="B941" s="396"/>
      <c r="C941" s="71"/>
      <c r="D941" s="71"/>
      <c r="F941" s="71"/>
      <c r="G941" s="71"/>
      <c r="H941" s="71"/>
      <c r="I941" s="73"/>
      <c r="J941" s="65" t="s">
        <v>331</v>
      </c>
    </row>
    <row r="942" spans="2:10" ht="15">
      <c r="B942" s="396"/>
      <c r="C942" s="71"/>
      <c r="D942" s="71"/>
      <c r="F942" s="71"/>
      <c r="G942" s="71"/>
      <c r="H942" s="71"/>
      <c r="I942" s="73"/>
      <c r="J942" s="65" t="s">
        <v>331</v>
      </c>
    </row>
    <row r="943" spans="2:10" ht="15">
      <c r="B943" s="396"/>
      <c r="C943" s="71"/>
      <c r="D943" s="71"/>
      <c r="F943" s="71"/>
      <c r="G943" s="71"/>
      <c r="H943" s="71"/>
      <c r="I943" s="73"/>
      <c r="J943" s="65" t="s">
        <v>331</v>
      </c>
    </row>
    <row r="944" spans="2:10" ht="15">
      <c r="B944" s="396"/>
      <c r="C944" s="71"/>
      <c r="D944" s="71"/>
      <c r="F944" s="71"/>
      <c r="G944" s="71"/>
      <c r="H944" s="71"/>
      <c r="I944" s="73"/>
      <c r="J944" s="65" t="s">
        <v>331</v>
      </c>
    </row>
    <row r="945" spans="2:10" ht="15">
      <c r="B945" s="396"/>
      <c r="C945" s="71"/>
      <c r="D945" s="71"/>
      <c r="F945" s="71"/>
      <c r="G945" s="71"/>
      <c r="H945" s="71"/>
      <c r="I945" s="73"/>
      <c r="J945" s="65" t="s">
        <v>331</v>
      </c>
    </row>
    <row r="946" spans="2:10" ht="15">
      <c r="B946" s="396"/>
      <c r="C946" s="71"/>
      <c r="D946" s="71"/>
      <c r="F946" s="71"/>
      <c r="G946" s="71"/>
      <c r="H946" s="71"/>
      <c r="I946" s="73"/>
      <c r="J946" s="65" t="s">
        <v>331</v>
      </c>
    </row>
    <row r="947" spans="2:10" ht="15">
      <c r="B947" s="396"/>
      <c r="C947" s="71"/>
      <c r="D947" s="71"/>
      <c r="F947" s="71"/>
      <c r="G947" s="71"/>
      <c r="H947" s="71"/>
      <c r="I947" s="73"/>
      <c r="J947" s="65" t="s">
        <v>331</v>
      </c>
    </row>
    <row r="948" spans="2:10" ht="15">
      <c r="B948" s="396"/>
      <c r="C948" s="71"/>
      <c r="D948" s="71"/>
      <c r="F948" s="71"/>
      <c r="G948" s="71"/>
      <c r="H948" s="71"/>
      <c r="I948" s="73"/>
      <c r="J948" s="65" t="s">
        <v>331</v>
      </c>
    </row>
    <row r="949" spans="2:10" ht="15">
      <c r="B949" s="396"/>
      <c r="C949" s="71"/>
      <c r="D949" s="71"/>
      <c r="F949" s="71"/>
      <c r="G949" s="71"/>
      <c r="H949" s="71"/>
      <c r="I949" s="73"/>
      <c r="J949" s="65" t="s">
        <v>331</v>
      </c>
    </row>
    <row r="950" spans="2:10" ht="15">
      <c r="B950" s="396"/>
      <c r="C950" s="71"/>
      <c r="D950" s="71"/>
      <c r="F950" s="71"/>
      <c r="G950" s="71"/>
      <c r="H950" s="71"/>
      <c r="I950" s="73"/>
      <c r="J950" s="65" t="s">
        <v>331</v>
      </c>
    </row>
    <row r="951" spans="2:10" ht="15">
      <c r="B951" s="396"/>
      <c r="C951" s="71"/>
      <c r="D951" s="71"/>
      <c r="F951" s="71"/>
      <c r="G951" s="71"/>
      <c r="H951" s="71"/>
      <c r="I951" s="73"/>
      <c r="J951" s="65" t="s">
        <v>331</v>
      </c>
    </row>
    <row r="952" spans="2:10" ht="15">
      <c r="B952" s="396"/>
      <c r="C952" s="71"/>
      <c r="D952" s="71"/>
      <c r="F952" s="71"/>
      <c r="G952" s="71"/>
      <c r="H952" s="71"/>
      <c r="I952" s="73"/>
      <c r="J952" s="65" t="s">
        <v>331</v>
      </c>
    </row>
    <row r="953" spans="2:10" ht="15">
      <c r="B953" s="396"/>
      <c r="C953" s="71"/>
      <c r="D953" s="71"/>
      <c r="F953" s="71"/>
      <c r="G953" s="71"/>
      <c r="H953" s="71"/>
      <c r="I953" s="73"/>
      <c r="J953" s="65" t="s">
        <v>331</v>
      </c>
    </row>
    <row r="954" spans="2:10" ht="15">
      <c r="B954" s="396"/>
      <c r="C954" s="71"/>
      <c r="D954" s="71"/>
      <c r="F954" s="71"/>
      <c r="G954" s="71"/>
      <c r="H954" s="71"/>
      <c r="I954" s="73"/>
      <c r="J954" s="65" t="s">
        <v>331</v>
      </c>
    </row>
    <row r="955" spans="2:10" ht="15">
      <c r="B955" s="396"/>
      <c r="C955" s="71"/>
      <c r="D955" s="71"/>
      <c r="F955" s="71"/>
      <c r="G955" s="71"/>
      <c r="H955" s="71"/>
      <c r="I955" s="73"/>
      <c r="J955" s="65" t="s">
        <v>331</v>
      </c>
    </row>
    <row r="956" spans="2:10" ht="15">
      <c r="B956" s="396"/>
      <c r="C956" s="71"/>
      <c r="D956" s="71"/>
      <c r="F956" s="71"/>
      <c r="G956" s="71"/>
      <c r="H956" s="71"/>
      <c r="I956" s="73"/>
      <c r="J956" s="65" t="s">
        <v>331</v>
      </c>
    </row>
    <row r="957" spans="2:10" ht="15">
      <c r="B957" s="396"/>
      <c r="C957" s="71"/>
      <c r="D957" s="71"/>
      <c r="F957" s="71"/>
      <c r="G957" s="71"/>
      <c r="H957" s="71"/>
      <c r="I957" s="73"/>
      <c r="J957" s="65" t="s">
        <v>331</v>
      </c>
    </row>
    <row r="958" spans="2:10" ht="15">
      <c r="B958" s="396"/>
      <c r="C958" s="71"/>
      <c r="D958" s="71"/>
      <c r="F958" s="71"/>
      <c r="G958" s="71"/>
      <c r="H958" s="71"/>
      <c r="I958" s="73"/>
      <c r="J958" s="65" t="s">
        <v>331</v>
      </c>
    </row>
    <row r="959" spans="2:10" ht="15">
      <c r="B959" s="396"/>
      <c r="C959" s="71"/>
      <c r="D959" s="71"/>
      <c r="F959" s="71"/>
      <c r="G959" s="71"/>
      <c r="H959" s="71"/>
      <c r="I959" s="73"/>
      <c r="J959" s="65" t="s">
        <v>331</v>
      </c>
    </row>
    <row r="960" spans="2:10" ht="15">
      <c r="B960" s="396"/>
      <c r="C960" s="71"/>
      <c r="D960" s="71"/>
      <c r="F960" s="71"/>
      <c r="G960" s="71"/>
      <c r="H960" s="71"/>
      <c r="I960" s="73"/>
      <c r="J960" s="65" t="s">
        <v>331</v>
      </c>
    </row>
    <row r="961" spans="2:10" ht="15">
      <c r="B961" s="396"/>
      <c r="C961" s="71"/>
      <c r="D961" s="71"/>
      <c r="F961" s="71"/>
      <c r="G961" s="71"/>
      <c r="H961" s="71"/>
      <c r="I961" s="73"/>
      <c r="J961" s="65" t="s">
        <v>331</v>
      </c>
    </row>
    <row r="962" spans="2:10" ht="15">
      <c r="B962" s="396"/>
      <c r="C962" s="71"/>
      <c r="D962" s="71"/>
      <c r="F962" s="71"/>
      <c r="G962" s="71"/>
      <c r="H962" s="71"/>
      <c r="I962" s="73"/>
      <c r="J962" s="65" t="s">
        <v>331</v>
      </c>
    </row>
    <row r="963" spans="2:10" ht="15">
      <c r="B963" s="396"/>
      <c r="C963" s="71"/>
      <c r="D963" s="71"/>
      <c r="F963" s="71"/>
      <c r="G963" s="71"/>
      <c r="H963" s="71"/>
      <c r="I963" s="73"/>
      <c r="J963" s="65" t="s">
        <v>331</v>
      </c>
    </row>
    <row r="964" spans="2:10" ht="15">
      <c r="B964" s="396"/>
      <c r="C964" s="71"/>
      <c r="D964" s="71"/>
      <c r="F964" s="71"/>
      <c r="G964" s="71"/>
      <c r="H964" s="71"/>
      <c r="I964" s="73"/>
      <c r="J964" s="65" t="s">
        <v>331</v>
      </c>
    </row>
    <row r="965" spans="2:10" ht="15">
      <c r="B965" s="396"/>
      <c r="C965" s="71"/>
      <c r="D965" s="71"/>
      <c r="F965" s="71"/>
      <c r="G965" s="71"/>
      <c r="H965" s="71"/>
      <c r="I965" s="73"/>
      <c r="J965" s="65" t="s">
        <v>331</v>
      </c>
    </row>
    <row r="966" spans="2:10" ht="15">
      <c r="B966" s="396"/>
      <c r="C966" s="71"/>
      <c r="D966" s="71"/>
      <c r="F966" s="71"/>
      <c r="G966" s="71"/>
      <c r="H966" s="71"/>
      <c r="I966" s="73"/>
      <c r="J966" s="65" t="s">
        <v>331</v>
      </c>
    </row>
    <row r="967" spans="2:10" ht="15">
      <c r="B967" s="396"/>
      <c r="C967" s="71"/>
      <c r="D967" s="71"/>
      <c r="F967" s="71"/>
      <c r="G967" s="71"/>
      <c r="H967" s="71"/>
      <c r="I967" s="73"/>
      <c r="J967" s="65" t="s">
        <v>331</v>
      </c>
    </row>
    <row r="968" spans="2:10" ht="15">
      <c r="B968" s="396"/>
      <c r="C968" s="71"/>
      <c r="D968" s="71"/>
      <c r="F968" s="71"/>
      <c r="G968" s="71"/>
      <c r="H968" s="71"/>
      <c r="I968" s="73"/>
      <c r="J968" s="65" t="s">
        <v>331</v>
      </c>
    </row>
    <row r="969" spans="2:10" ht="15">
      <c r="B969" s="396"/>
      <c r="C969" s="71"/>
      <c r="D969" s="71"/>
      <c r="F969" s="71"/>
      <c r="G969" s="71"/>
      <c r="H969" s="71"/>
      <c r="I969" s="73"/>
      <c r="J969" s="65" t="s">
        <v>331</v>
      </c>
    </row>
    <row r="970" spans="2:10" ht="15">
      <c r="B970" s="396"/>
      <c r="C970" s="71"/>
      <c r="D970" s="71"/>
      <c r="F970" s="71"/>
      <c r="G970" s="71"/>
      <c r="H970" s="71"/>
      <c r="I970" s="73"/>
      <c r="J970" s="65" t="s">
        <v>331</v>
      </c>
    </row>
    <row r="971" spans="2:10" ht="15">
      <c r="B971" s="396"/>
      <c r="C971" s="71"/>
      <c r="D971" s="71"/>
      <c r="F971" s="71"/>
      <c r="G971" s="71"/>
      <c r="H971" s="71"/>
      <c r="I971" s="73"/>
      <c r="J971" s="65" t="s">
        <v>331</v>
      </c>
    </row>
    <row r="972" spans="2:10" ht="15">
      <c r="B972" s="396"/>
      <c r="C972" s="71"/>
      <c r="D972" s="71"/>
      <c r="F972" s="71"/>
      <c r="G972" s="71"/>
      <c r="H972" s="71"/>
      <c r="I972" s="73"/>
      <c r="J972" s="65" t="s">
        <v>331</v>
      </c>
    </row>
    <row r="973" spans="2:10" ht="15">
      <c r="B973" s="396"/>
      <c r="C973" s="71"/>
      <c r="D973" s="71"/>
      <c r="F973" s="71"/>
      <c r="G973" s="71"/>
      <c r="H973" s="71"/>
      <c r="I973" s="73"/>
      <c r="J973" s="65" t="s">
        <v>331</v>
      </c>
    </row>
    <row r="974" spans="2:10" ht="15">
      <c r="B974" s="396"/>
      <c r="C974" s="71"/>
      <c r="D974" s="71"/>
      <c r="F974" s="71"/>
      <c r="G974" s="71"/>
      <c r="H974" s="71"/>
      <c r="I974" s="73"/>
      <c r="J974" s="65" t="s">
        <v>331</v>
      </c>
    </row>
    <row r="975" spans="2:10" ht="15">
      <c r="B975" s="396"/>
      <c r="C975" s="71"/>
      <c r="D975" s="71"/>
      <c r="F975" s="71"/>
      <c r="G975" s="71"/>
      <c r="H975" s="71"/>
      <c r="I975" s="73"/>
      <c r="J975" s="65" t="s">
        <v>331</v>
      </c>
    </row>
    <row r="976" spans="2:10" ht="15">
      <c r="B976" s="396"/>
      <c r="C976" s="71"/>
      <c r="D976" s="71"/>
      <c r="F976" s="71"/>
      <c r="G976" s="71"/>
      <c r="H976" s="71"/>
      <c r="I976" s="73"/>
      <c r="J976" s="65" t="s">
        <v>331</v>
      </c>
    </row>
    <row r="977" spans="2:10" ht="15">
      <c r="B977" s="396"/>
      <c r="C977" s="71"/>
      <c r="D977" s="71"/>
      <c r="F977" s="71"/>
      <c r="G977" s="71"/>
      <c r="H977" s="71"/>
      <c r="I977" s="73"/>
      <c r="J977" s="65" t="s">
        <v>331</v>
      </c>
    </row>
    <row r="978" spans="2:10" ht="15">
      <c r="B978" s="396"/>
      <c r="C978" s="71"/>
      <c r="D978" s="71"/>
      <c r="F978" s="71"/>
      <c r="G978" s="71"/>
      <c r="H978" s="71"/>
      <c r="I978" s="73"/>
      <c r="J978" s="65" t="s">
        <v>331</v>
      </c>
    </row>
    <row r="979" spans="2:10" ht="15">
      <c r="B979" s="396"/>
      <c r="C979" s="71"/>
      <c r="D979" s="71"/>
      <c r="F979" s="71"/>
      <c r="G979" s="71"/>
      <c r="H979" s="71"/>
      <c r="I979" s="73"/>
      <c r="J979" s="65" t="s">
        <v>331</v>
      </c>
    </row>
    <row r="980" spans="2:10" ht="15">
      <c r="B980" s="396"/>
      <c r="C980" s="71"/>
      <c r="D980" s="71"/>
      <c r="F980" s="71"/>
      <c r="G980" s="71"/>
      <c r="H980" s="71"/>
      <c r="I980" s="73"/>
      <c r="J980" s="65" t="s">
        <v>331</v>
      </c>
    </row>
    <row r="981" spans="2:10" ht="15">
      <c r="B981" s="396"/>
      <c r="C981" s="71"/>
      <c r="D981" s="71"/>
      <c r="F981" s="71"/>
      <c r="G981" s="71"/>
      <c r="H981" s="71"/>
      <c r="I981" s="73"/>
      <c r="J981" s="65" t="s">
        <v>331</v>
      </c>
    </row>
    <row r="982" spans="2:10" ht="15">
      <c r="B982" s="396"/>
      <c r="C982" s="71"/>
      <c r="D982" s="71"/>
      <c r="F982" s="71"/>
      <c r="G982" s="71"/>
      <c r="H982" s="71"/>
      <c r="I982" s="73"/>
      <c r="J982" s="65" t="s">
        <v>331</v>
      </c>
    </row>
    <row r="983" spans="2:10" ht="15">
      <c r="B983" s="396"/>
      <c r="C983" s="71"/>
      <c r="D983" s="71"/>
      <c r="F983" s="71"/>
      <c r="G983" s="71"/>
      <c r="H983" s="71"/>
      <c r="I983" s="73"/>
      <c r="J983" s="65" t="s">
        <v>331</v>
      </c>
    </row>
    <row r="984" spans="2:10" ht="15">
      <c r="B984" s="396"/>
      <c r="C984" s="71"/>
      <c r="D984" s="71"/>
      <c r="F984" s="71"/>
      <c r="G984" s="71"/>
      <c r="H984" s="71"/>
      <c r="I984" s="73"/>
      <c r="J984" s="65" t="s">
        <v>331</v>
      </c>
    </row>
    <row r="985" spans="2:10" ht="15">
      <c r="B985" s="396"/>
      <c r="C985" s="71"/>
      <c r="D985" s="71"/>
      <c r="F985" s="71"/>
      <c r="G985" s="71"/>
      <c r="H985" s="71"/>
      <c r="I985" s="73"/>
      <c r="J985" s="65" t="s">
        <v>331</v>
      </c>
    </row>
    <row r="986" spans="2:10" ht="15">
      <c r="B986" s="396"/>
      <c r="C986" s="71"/>
      <c r="D986" s="71"/>
      <c r="F986" s="71"/>
      <c r="G986" s="71"/>
      <c r="H986" s="71"/>
      <c r="I986" s="73"/>
      <c r="J986" s="65" t="s">
        <v>331</v>
      </c>
    </row>
    <row r="987" spans="2:10" ht="15">
      <c r="B987" s="396"/>
      <c r="C987" s="71"/>
      <c r="D987" s="71"/>
      <c r="F987" s="71"/>
      <c r="G987" s="71"/>
      <c r="H987" s="71"/>
      <c r="I987" s="73"/>
      <c r="J987" s="65" t="s">
        <v>331</v>
      </c>
    </row>
    <row r="988" spans="2:10" ht="15">
      <c r="B988" s="396"/>
      <c r="C988" s="71"/>
      <c r="D988" s="71"/>
      <c r="F988" s="71"/>
      <c r="G988" s="71"/>
      <c r="H988" s="71"/>
      <c r="I988" s="73"/>
      <c r="J988" s="65" t="s">
        <v>331</v>
      </c>
    </row>
    <row r="989" spans="2:10" ht="15">
      <c r="B989" s="396"/>
      <c r="C989" s="71"/>
      <c r="D989" s="71"/>
      <c r="F989" s="71"/>
      <c r="G989" s="71"/>
      <c r="H989" s="71"/>
      <c r="I989" s="73"/>
      <c r="J989" s="65" t="s">
        <v>331</v>
      </c>
    </row>
    <row r="990" spans="2:10" ht="15">
      <c r="B990" s="396"/>
      <c r="C990" s="71"/>
      <c r="D990" s="71"/>
      <c r="F990" s="71"/>
      <c r="G990" s="71"/>
      <c r="H990" s="71"/>
      <c r="I990" s="73"/>
      <c r="J990" s="65" t="s">
        <v>331</v>
      </c>
    </row>
    <row r="991" spans="2:10" ht="15">
      <c r="B991" s="396"/>
      <c r="C991" s="71"/>
      <c r="D991" s="71"/>
      <c r="F991" s="71"/>
      <c r="G991" s="71"/>
      <c r="H991" s="71"/>
      <c r="I991" s="73"/>
      <c r="J991" s="65" t="s">
        <v>331</v>
      </c>
    </row>
    <row r="992" spans="2:10" ht="15">
      <c r="B992" s="396"/>
      <c r="C992" s="71"/>
      <c r="D992" s="71"/>
      <c r="F992" s="71"/>
      <c r="G992" s="71"/>
      <c r="H992" s="71"/>
      <c r="I992" s="73"/>
      <c r="J992" s="65" t="s">
        <v>331</v>
      </c>
    </row>
    <row r="993" spans="2:10" ht="15">
      <c r="B993" s="396"/>
      <c r="C993" s="71"/>
      <c r="D993" s="71"/>
      <c r="F993" s="71"/>
      <c r="G993" s="71"/>
      <c r="H993" s="71"/>
      <c r="I993" s="73"/>
      <c r="J993" s="65" t="s">
        <v>331</v>
      </c>
    </row>
    <row r="994" spans="2:10" ht="15">
      <c r="B994" s="396"/>
      <c r="C994" s="71"/>
      <c r="D994" s="71"/>
      <c r="F994" s="71"/>
      <c r="G994" s="71"/>
      <c r="H994" s="71"/>
      <c r="I994" s="73"/>
      <c r="J994" s="65" t="s">
        <v>331</v>
      </c>
    </row>
    <row r="995" spans="2:10" ht="15">
      <c r="B995" s="396"/>
      <c r="C995" s="71"/>
      <c r="D995" s="71"/>
      <c r="F995" s="71"/>
      <c r="G995" s="71"/>
      <c r="H995" s="71"/>
      <c r="I995" s="73"/>
      <c r="J995" s="65" t="s">
        <v>331</v>
      </c>
    </row>
    <row r="996" spans="2:10" ht="15">
      <c r="B996" s="396"/>
      <c r="C996" s="71"/>
      <c r="D996" s="71"/>
      <c r="F996" s="71"/>
      <c r="G996" s="71"/>
      <c r="H996" s="71"/>
      <c r="I996" s="73"/>
      <c r="J996" s="65" t="s">
        <v>331</v>
      </c>
    </row>
    <row r="997" spans="2:10" ht="15">
      <c r="B997" s="396"/>
      <c r="C997" s="71"/>
      <c r="D997" s="71"/>
      <c r="F997" s="71"/>
      <c r="G997" s="71"/>
      <c r="H997" s="71"/>
      <c r="I997" s="73"/>
      <c r="J997" s="65" t="s">
        <v>331</v>
      </c>
    </row>
    <row r="998" spans="2:10" ht="15">
      <c r="B998" s="396"/>
      <c r="C998" s="71"/>
      <c r="D998" s="71"/>
      <c r="F998" s="71"/>
      <c r="G998" s="71"/>
      <c r="H998" s="71"/>
      <c r="I998" s="73"/>
      <c r="J998" s="65" t="s">
        <v>331</v>
      </c>
    </row>
    <row r="999" spans="2:10" ht="15">
      <c r="B999" s="396"/>
      <c r="C999" s="71"/>
      <c r="D999" s="71"/>
      <c r="F999" s="71"/>
      <c r="G999" s="71"/>
      <c r="H999" s="71"/>
      <c r="I999" s="73"/>
      <c r="J999" s="65" t="s">
        <v>331</v>
      </c>
    </row>
    <row r="1000" spans="2:10" ht="15">
      <c r="B1000" s="396"/>
      <c r="C1000" s="71"/>
      <c r="D1000" s="71"/>
      <c r="F1000" s="71"/>
      <c r="G1000" s="71"/>
      <c r="H1000" s="71"/>
      <c r="I1000" s="73"/>
      <c r="J1000" s="65" t="s">
        <v>331</v>
      </c>
    </row>
    <row r="1001" spans="2:10" ht="15">
      <c r="B1001" s="396"/>
      <c r="C1001" s="71"/>
      <c r="D1001" s="71"/>
      <c r="F1001" s="71"/>
      <c r="G1001" s="71"/>
      <c r="H1001" s="71"/>
      <c r="I1001" s="73"/>
      <c r="J1001" s="65" t="s">
        <v>331</v>
      </c>
    </row>
    <row r="1002" spans="2:10" ht="15">
      <c r="B1002" s="396"/>
      <c r="C1002" s="71"/>
      <c r="D1002" s="71"/>
      <c r="F1002" s="71"/>
      <c r="G1002" s="71"/>
      <c r="H1002" s="71"/>
      <c r="I1002" s="73"/>
      <c r="J1002" s="65" t="s">
        <v>331</v>
      </c>
    </row>
    <row r="1003" spans="2:10" ht="15">
      <c r="B1003" s="396"/>
      <c r="C1003" s="71"/>
      <c r="D1003" s="71"/>
      <c r="F1003" s="71"/>
      <c r="G1003" s="71"/>
      <c r="H1003" s="71"/>
      <c r="I1003" s="73"/>
      <c r="J1003" s="65" t="s">
        <v>331</v>
      </c>
    </row>
    <row r="1004" spans="2:10" ht="15">
      <c r="B1004" s="396"/>
      <c r="C1004" s="71"/>
      <c r="D1004" s="71"/>
      <c r="F1004" s="71"/>
      <c r="G1004" s="71"/>
      <c r="H1004" s="71"/>
      <c r="I1004" s="73"/>
      <c r="J1004" s="65" t="s">
        <v>331</v>
      </c>
    </row>
    <row r="1005" spans="2:10" ht="15">
      <c r="B1005" s="396"/>
      <c r="C1005" s="71"/>
      <c r="D1005" s="71"/>
      <c r="F1005" s="71"/>
      <c r="G1005" s="71"/>
      <c r="H1005" s="71"/>
      <c r="I1005" s="73"/>
      <c r="J1005" s="65" t="s">
        <v>331</v>
      </c>
    </row>
    <row r="1006" spans="2:10" ht="15">
      <c r="B1006" s="396"/>
      <c r="C1006" s="71"/>
      <c r="D1006" s="71"/>
      <c r="F1006" s="71"/>
      <c r="G1006" s="71"/>
      <c r="H1006" s="71"/>
      <c r="I1006" s="73"/>
      <c r="J1006" s="65" t="s">
        <v>331</v>
      </c>
    </row>
    <row r="1007" spans="2:10" ht="15">
      <c r="B1007" s="396"/>
      <c r="C1007" s="71"/>
      <c r="D1007" s="71"/>
      <c r="F1007" s="71"/>
      <c r="G1007" s="71"/>
      <c r="H1007" s="71"/>
      <c r="I1007" s="73"/>
      <c r="J1007" s="65" t="s">
        <v>331</v>
      </c>
    </row>
    <row r="1008" spans="2:10" ht="15">
      <c r="B1008" s="396"/>
      <c r="C1008" s="71"/>
      <c r="D1008" s="71"/>
      <c r="F1008" s="71"/>
      <c r="G1008" s="71"/>
      <c r="H1008" s="71"/>
      <c r="I1008" s="73"/>
      <c r="J1008" s="65" t="s">
        <v>331</v>
      </c>
    </row>
    <row r="1009" spans="2:10" ht="15">
      <c r="B1009" s="396"/>
      <c r="C1009" s="71"/>
      <c r="D1009" s="71"/>
      <c r="F1009" s="71"/>
      <c r="G1009" s="71"/>
      <c r="H1009" s="71"/>
      <c r="I1009" s="73"/>
      <c r="J1009" s="65" t="s">
        <v>331</v>
      </c>
    </row>
    <row r="1010" spans="2:10" ht="15">
      <c r="B1010" s="396"/>
      <c r="C1010" s="71"/>
      <c r="D1010" s="71"/>
      <c r="F1010" s="71"/>
      <c r="G1010" s="71"/>
      <c r="H1010" s="71"/>
      <c r="I1010" s="73"/>
      <c r="J1010" s="65" t="s">
        <v>331</v>
      </c>
    </row>
    <row r="1011" spans="2:10" ht="15">
      <c r="B1011" s="396"/>
      <c r="C1011" s="71"/>
      <c r="D1011" s="71"/>
      <c r="F1011" s="71"/>
      <c r="G1011" s="71"/>
      <c r="H1011" s="71"/>
      <c r="I1011" s="73"/>
      <c r="J1011" s="65" t="s">
        <v>331</v>
      </c>
    </row>
    <row r="1012" spans="2:10" ht="15">
      <c r="B1012" s="396"/>
      <c r="C1012" s="71"/>
      <c r="D1012" s="71"/>
      <c r="F1012" s="71"/>
      <c r="G1012" s="71"/>
      <c r="H1012" s="71"/>
      <c r="I1012" s="73"/>
      <c r="J1012" s="65" t="s">
        <v>331</v>
      </c>
    </row>
    <row r="1013" spans="2:10" ht="15">
      <c r="B1013" s="396"/>
      <c r="C1013" s="71"/>
      <c r="D1013" s="71"/>
      <c r="F1013" s="71"/>
      <c r="G1013" s="71"/>
      <c r="H1013" s="71"/>
      <c r="I1013" s="73"/>
      <c r="J1013" s="65" t="s">
        <v>331</v>
      </c>
    </row>
    <row r="1014" spans="2:10" ht="15">
      <c r="B1014" s="396"/>
      <c r="C1014" s="71"/>
      <c r="D1014" s="71"/>
      <c r="F1014" s="71"/>
      <c r="G1014" s="71"/>
      <c r="H1014" s="71"/>
      <c r="I1014" s="73"/>
      <c r="J1014" s="65" t="s">
        <v>331</v>
      </c>
    </row>
    <row r="1015" spans="2:10" ht="15">
      <c r="B1015" s="396"/>
      <c r="C1015" s="71"/>
      <c r="D1015" s="71"/>
      <c r="F1015" s="71"/>
      <c r="G1015" s="71"/>
      <c r="H1015" s="71"/>
      <c r="I1015" s="73"/>
      <c r="J1015" s="65" t="s">
        <v>331</v>
      </c>
    </row>
    <row r="1016" spans="2:10" ht="15">
      <c r="B1016" s="396"/>
      <c r="C1016" s="71"/>
      <c r="D1016" s="71"/>
      <c r="F1016" s="71"/>
      <c r="G1016" s="71"/>
      <c r="H1016" s="71"/>
      <c r="I1016" s="73"/>
      <c r="J1016" s="65" t="s">
        <v>331</v>
      </c>
    </row>
    <row r="1017" spans="2:10" ht="15">
      <c r="B1017" s="396"/>
      <c r="C1017" s="71"/>
      <c r="D1017" s="71"/>
      <c r="F1017" s="71"/>
      <c r="G1017" s="71"/>
      <c r="H1017" s="71"/>
      <c r="I1017" s="73"/>
      <c r="J1017" s="65" t="s">
        <v>331</v>
      </c>
    </row>
    <row r="1018" spans="2:10" ht="15">
      <c r="B1018" s="396"/>
      <c r="C1018" s="71"/>
      <c r="D1018" s="71"/>
      <c r="F1018" s="71"/>
      <c r="G1018" s="71"/>
      <c r="H1018" s="71"/>
      <c r="I1018" s="73"/>
      <c r="J1018" s="65" t="s">
        <v>331</v>
      </c>
    </row>
    <row r="1019" spans="2:10" ht="15">
      <c r="B1019" s="396"/>
      <c r="C1019" s="71"/>
      <c r="D1019" s="71"/>
      <c r="F1019" s="71"/>
      <c r="G1019" s="71"/>
      <c r="H1019" s="71"/>
      <c r="I1019" s="73"/>
      <c r="J1019" s="65" t="s">
        <v>331</v>
      </c>
    </row>
    <row r="1020" spans="2:10" ht="15">
      <c r="B1020" s="396"/>
      <c r="C1020" s="71"/>
      <c r="D1020" s="71"/>
      <c r="F1020" s="71"/>
      <c r="G1020" s="71"/>
      <c r="H1020" s="71"/>
      <c r="I1020" s="73"/>
    </row>
    <row r="1021" spans="2:10" ht="15">
      <c r="B1021" s="396"/>
      <c r="C1021" s="71"/>
      <c r="D1021" s="71"/>
      <c r="F1021" s="71"/>
      <c r="G1021" s="71"/>
      <c r="H1021" s="71"/>
      <c r="I1021" s="73"/>
    </row>
    <row r="1022" spans="2:10" ht="15">
      <c r="B1022" s="396"/>
      <c r="C1022" s="71"/>
      <c r="D1022" s="71"/>
      <c r="F1022" s="71"/>
      <c r="G1022" s="71"/>
      <c r="H1022" s="71"/>
      <c r="I1022" s="73"/>
    </row>
    <row r="1023" spans="2:10" ht="15">
      <c r="B1023" s="396"/>
      <c r="C1023" s="71"/>
      <c r="D1023" s="71"/>
      <c r="F1023" s="71"/>
      <c r="G1023" s="71"/>
      <c r="H1023" s="71"/>
      <c r="I1023" s="73"/>
    </row>
    <row r="1024" spans="2:10" ht="15">
      <c r="B1024" s="396"/>
      <c r="C1024" s="71"/>
      <c r="D1024" s="71"/>
      <c r="F1024" s="71"/>
      <c r="G1024" s="71"/>
      <c r="H1024" s="71"/>
      <c r="I1024" s="73"/>
    </row>
    <row r="1025" spans="2:9" ht="15">
      <c r="B1025" s="396"/>
      <c r="C1025" s="71"/>
      <c r="D1025" s="71"/>
      <c r="F1025" s="71"/>
      <c r="G1025" s="71"/>
      <c r="H1025" s="71"/>
      <c r="I1025" s="73"/>
    </row>
    <row r="1026" spans="2:9" ht="15">
      <c r="B1026" s="396"/>
      <c r="C1026" s="71"/>
      <c r="D1026" s="71"/>
      <c r="F1026" s="71"/>
      <c r="G1026" s="71"/>
      <c r="H1026" s="71"/>
      <c r="I1026" s="73"/>
    </row>
    <row r="1027" spans="2:9" ht="15">
      <c r="B1027" s="396"/>
      <c r="C1027" s="71"/>
      <c r="D1027" s="71"/>
      <c r="F1027" s="71"/>
      <c r="G1027" s="71"/>
      <c r="H1027" s="71"/>
      <c r="I1027" s="73"/>
    </row>
    <row r="1028" spans="2:9" ht="15">
      <c r="B1028" s="396"/>
      <c r="C1028" s="71"/>
      <c r="D1028" s="71"/>
      <c r="F1028" s="71"/>
      <c r="G1028" s="71"/>
      <c r="H1028" s="71"/>
      <c r="I1028" s="73"/>
    </row>
    <row r="1029" spans="2:9" ht="15">
      <c r="B1029" s="396"/>
      <c r="C1029" s="71"/>
      <c r="D1029" s="71"/>
      <c r="F1029" s="71"/>
      <c r="G1029" s="71"/>
      <c r="H1029" s="71"/>
      <c r="I1029" s="73"/>
    </row>
    <row r="1030" spans="2:9" ht="15">
      <c r="B1030" s="396"/>
      <c r="C1030" s="71"/>
      <c r="D1030" s="71"/>
      <c r="F1030" s="71"/>
      <c r="G1030" s="71"/>
      <c r="H1030" s="71"/>
      <c r="I1030" s="73"/>
    </row>
    <row r="1031" spans="2:9" ht="15">
      <c r="B1031" s="396"/>
      <c r="C1031" s="71"/>
      <c r="D1031" s="71"/>
      <c r="F1031" s="71"/>
      <c r="G1031" s="71"/>
      <c r="H1031" s="71"/>
      <c r="I1031" s="73"/>
    </row>
    <row r="1032" spans="2:9" ht="15">
      <c r="B1032" s="396"/>
      <c r="C1032" s="71"/>
      <c r="D1032" s="71"/>
      <c r="F1032" s="71"/>
      <c r="G1032" s="71"/>
      <c r="H1032" s="71"/>
      <c r="I1032" s="73"/>
    </row>
    <row r="1033" spans="2:9" ht="15">
      <c r="B1033" s="396"/>
      <c r="C1033" s="71"/>
      <c r="D1033" s="71"/>
      <c r="F1033" s="71"/>
      <c r="G1033" s="71"/>
      <c r="H1033" s="71"/>
      <c r="I1033" s="73"/>
    </row>
    <row r="1034" spans="2:9" ht="15">
      <c r="B1034" s="396"/>
      <c r="C1034" s="71"/>
      <c r="D1034" s="71"/>
      <c r="F1034" s="71"/>
      <c r="G1034" s="71"/>
      <c r="H1034" s="71"/>
      <c r="I1034" s="73"/>
    </row>
    <row r="1035" spans="2:9" ht="15">
      <c r="B1035" s="396"/>
      <c r="C1035" s="71"/>
      <c r="D1035" s="71"/>
      <c r="F1035" s="71"/>
      <c r="G1035" s="71"/>
      <c r="H1035" s="71"/>
      <c r="I1035" s="73"/>
    </row>
    <row r="1036" spans="2:9" ht="15">
      <c r="B1036" s="396"/>
      <c r="C1036" s="71"/>
      <c r="D1036" s="71"/>
      <c r="F1036" s="71"/>
      <c r="G1036" s="71"/>
      <c r="H1036" s="71"/>
      <c r="I1036" s="73"/>
    </row>
    <row r="1037" spans="2:9" ht="15">
      <c r="B1037" s="396"/>
      <c r="C1037" s="71"/>
      <c r="D1037" s="71"/>
      <c r="F1037" s="71"/>
      <c r="G1037" s="71"/>
      <c r="H1037" s="71"/>
      <c r="I1037" s="73"/>
    </row>
    <row r="1038" spans="2:9" ht="15">
      <c r="B1038" s="396"/>
      <c r="C1038" s="71"/>
      <c r="D1038" s="71"/>
      <c r="F1038" s="71"/>
      <c r="G1038" s="71"/>
      <c r="H1038" s="71"/>
      <c r="I1038" s="73"/>
    </row>
    <row r="1039" spans="2:9" ht="15">
      <c r="B1039" s="396"/>
      <c r="C1039" s="71"/>
      <c r="D1039" s="71"/>
      <c r="F1039" s="71"/>
      <c r="G1039" s="71"/>
      <c r="H1039" s="71"/>
      <c r="I1039" s="73"/>
    </row>
    <row r="1040" spans="2:9" ht="15">
      <c r="B1040" s="396"/>
      <c r="C1040" s="71"/>
      <c r="D1040" s="71"/>
      <c r="F1040" s="71"/>
      <c r="G1040" s="71"/>
      <c r="H1040" s="71"/>
      <c r="I1040" s="73"/>
    </row>
    <row r="1041" spans="2:9" ht="15">
      <c r="B1041" s="396"/>
      <c r="C1041" s="71"/>
      <c r="D1041" s="71"/>
      <c r="F1041" s="71"/>
      <c r="G1041" s="71"/>
      <c r="H1041" s="71"/>
      <c r="I1041" s="73"/>
    </row>
    <row r="1042" spans="2:9" ht="15">
      <c r="B1042" s="396"/>
      <c r="C1042" s="71"/>
      <c r="D1042" s="71"/>
      <c r="F1042" s="71"/>
      <c r="G1042" s="71"/>
      <c r="H1042" s="71"/>
      <c r="I1042" s="73"/>
    </row>
    <row r="1043" spans="2:9" ht="15">
      <c r="B1043" s="396"/>
      <c r="C1043" s="71"/>
      <c r="D1043" s="71"/>
      <c r="F1043" s="71"/>
      <c r="G1043" s="71"/>
      <c r="H1043" s="71"/>
      <c r="I1043" s="73"/>
    </row>
    <row r="1044" spans="2:9" ht="15">
      <c r="B1044" s="396"/>
      <c r="C1044" s="71"/>
      <c r="D1044" s="71"/>
      <c r="F1044" s="71"/>
      <c r="G1044" s="71"/>
      <c r="H1044" s="71"/>
      <c r="I1044" s="73"/>
    </row>
    <row r="1045" spans="2:9" ht="15">
      <c r="B1045" s="396"/>
      <c r="C1045" s="71"/>
      <c r="D1045" s="71"/>
      <c r="F1045" s="71"/>
      <c r="G1045" s="71"/>
      <c r="H1045" s="71"/>
      <c r="I1045" s="73"/>
    </row>
    <row r="1046" spans="2:9" ht="15">
      <c r="B1046" s="396"/>
      <c r="C1046" s="71"/>
      <c r="D1046" s="71"/>
      <c r="F1046" s="71"/>
      <c r="G1046" s="71"/>
      <c r="H1046" s="71"/>
      <c r="I1046" s="73"/>
    </row>
    <row r="1047" spans="2:9" ht="15">
      <c r="B1047" s="396"/>
      <c r="C1047" s="71"/>
      <c r="D1047" s="71"/>
      <c r="F1047" s="71"/>
      <c r="G1047" s="71"/>
      <c r="H1047" s="71"/>
      <c r="I1047" s="73"/>
    </row>
    <row r="1048" spans="2:9" ht="15">
      <c r="B1048" s="396"/>
      <c r="C1048" s="71"/>
      <c r="D1048" s="71"/>
      <c r="F1048" s="71"/>
      <c r="G1048" s="71"/>
      <c r="H1048" s="71"/>
      <c r="I1048" s="73"/>
    </row>
    <row r="1049" spans="2:9" ht="15">
      <c r="B1049" s="396"/>
      <c r="C1049" s="71"/>
      <c r="D1049" s="71"/>
      <c r="F1049" s="71"/>
      <c r="G1049" s="71"/>
      <c r="H1049" s="71"/>
      <c r="I1049" s="73"/>
    </row>
    <row r="1050" spans="2:9" ht="15">
      <c r="B1050" s="396"/>
      <c r="C1050" s="71"/>
      <c r="D1050" s="71"/>
      <c r="F1050" s="71"/>
      <c r="G1050" s="71"/>
      <c r="H1050" s="71"/>
      <c r="I1050" s="73"/>
    </row>
    <row r="1051" spans="2:9" ht="15">
      <c r="B1051" s="396"/>
      <c r="C1051" s="71"/>
      <c r="D1051" s="71"/>
      <c r="F1051" s="71"/>
      <c r="G1051" s="71"/>
      <c r="H1051" s="71"/>
      <c r="I1051" s="73"/>
    </row>
    <row r="1052" spans="2:9" ht="15">
      <c r="B1052" s="396"/>
      <c r="C1052" s="71"/>
      <c r="D1052" s="71"/>
      <c r="F1052" s="71"/>
      <c r="G1052" s="71"/>
      <c r="H1052" s="71"/>
      <c r="I1052" s="73"/>
    </row>
    <row r="1053" spans="2:9" ht="15">
      <c r="B1053" s="396"/>
      <c r="C1053" s="71"/>
      <c r="D1053" s="71"/>
      <c r="F1053" s="71"/>
      <c r="G1053" s="71"/>
      <c r="H1053" s="71"/>
      <c r="I1053" s="73"/>
    </row>
    <row r="1054" spans="2:9" ht="15">
      <c r="B1054" s="396"/>
      <c r="C1054" s="71"/>
      <c r="D1054" s="71"/>
      <c r="F1054" s="71"/>
      <c r="G1054" s="71"/>
      <c r="H1054" s="71"/>
      <c r="I1054" s="73"/>
    </row>
    <row r="1055" spans="2:9" ht="15">
      <c r="B1055" s="396"/>
      <c r="C1055" s="71"/>
      <c r="D1055" s="71"/>
      <c r="F1055" s="71"/>
      <c r="G1055" s="71"/>
      <c r="H1055" s="71"/>
      <c r="I1055" s="73"/>
    </row>
    <row r="1056" spans="2:9" ht="15">
      <c r="B1056" s="396"/>
      <c r="C1056" s="71"/>
      <c r="D1056" s="71"/>
      <c r="F1056" s="71"/>
      <c r="G1056" s="71"/>
      <c r="H1056" s="71"/>
      <c r="I1056" s="73"/>
    </row>
    <row r="1057" spans="2:9" ht="15">
      <c r="B1057" s="396"/>
      <c r="C1057" s="71"/>
      <c r="D1057" s="71"/>
      <c r="F1057" s="71"/>
      <c r="G1057" s="71"/>
      <c r="H1057" s="71"/>
      <c r="I1057" s="73"/>
    </row>
    <row r="1058" spans="2:9" ht="15">
      <c r="B1058" s="396"/>
      <c r="C1058" s="71"/>
      <c r="D1058" s="71"/>
      <c r="F1058" s="71"/>
      <c r="G1058" s="71"/>
      <c r="H1058" s="71"/>
      <c r="I1058" s="73"/>
    </row>
    <row r="1059" spans="2:9" ht="15">
      <c r="B1059" s="396"/>
      <c r="C1059" s="71"/>
      <c r="D1059" s="71"/>
      <c r="F1059" s="71"/>
      <c r="G1059" s="71"/>
      <c r="H1059" s="71"/>
      <c r="I1059" s="73"/>
    </row>
    <row r="1060" spans="2:9" ht="15">
      <c r="B1060" s="396"/>
      <c r="C1060" s="71"/>
      <c r="D1060" s="71"/>
      <c r="F1060" s="71"/>
      <c r="G1060" s="71"/>
      <c r="H1060" s="71"/>
      <c r="I1060" s="73"/>
    </row>
    <row r="1061" spans="2:9" ht="15">
      <c r="B1061" s="396"/>
      <c r="C1061" s="71"/>
      <c r="D1061" s="71"/>
      <c r="F1061" s="71"/>
      <c r="G1061" s="71"/>
      <c r="H1061" s="71"/>
      <c r="I1061" s="73"/>
    </row>
    <row r="1062" spans="2:9" ht="15">
      <c r="B1062" s="396"/>
      <c r="C1062" s="71"/>
      <c r="D1062" s="71"/>
      <c r="F1062" s="71"/>
      <c r="G1062" s="71"/>
      <c r="H1062" s="71"/>
      <c r="I1062" s="73"/>
    </row>
    <row r="1063" spans="2:9" ht="15">
      <c r="B1063" s="396"/>
      <c r="C1063" s="71"/>
      <c r="D1063" s="71"/>
      <c r="F1063" s="71"/>
      <c r="G1063" s="71"/>
      <c r="H1063" s="71"/>
      <c r="I1063" s="73"/>
    </row>
    <row r="1064" spans="2:9" ht="15">
      <c r="B1064" s="396"/>
      <c r="C1064" s="71"/>
      <c r="D1064" s="71"/>
      <c r="F1064" s="71"/>
      <c r="G1064" s="71"/>
      <c r="H1064" s="71"/>
      <c r="I1064" s="73"/>
    </row>
    <row r="1065" spans="2:9" ht="15">
      <c r="B1065" s="396"/>
      <c r="C1065" s="71"/>
      <c r="D1065" s="71"/>
      <c r="F1065" s="71"/>
      <c r="G1065" s="71"/>
      <c r="H1065" s="71"/>
      <c r="I1065" s="73"/>
    </row>
    <row r="1066" spans="2:9" ht="15">
      <c r="B1066" s="396"/>
      <c r="C1066" s="71"/>
      <c r="D1066" s="71"/>
      <c r="F1066" s="71"/>
      <c r="G1066" s="71"/>
      <c r="H1066" s="71"/>
      <c r="I1066" s="73"/>
    </row>
    <row r="1067" spans="2:9" ht="15">
      <c r="B1067" s="396"/>
      <c r="C1067" s="71"/>
      <c r="D1067" s="71"/>
      <c r="F1067" s="71"/>
      <c r="G1067" s="71"/>
      <c r="H1067" s="71"/>
      <c r="I1067" s="73"/>
    </row>
    <row r="1068" spans="2:9" ht="15">
      <c r="B1068" s="396"/>
      <c r="C1068" s="71"/>
      <c r="D1068" s="71"/>
      <c r="F1068" s="71"/>
      <c r="G1068" s="71"/>
      <c r="H1068" s="71"/>
      <c r="I1068" s="73"/>
    </row>
    <row r="1069" spans="2:9" ht="15">
      <c r="B1069" s="396"/>
      <c r="C1069" s="71"/>
      <c r="D1069" s="71"/>
      <c r="F1069" s="71"/>
      <c r="G1069" s="71"/>
      <c r="H1069" s="71"/>
      <c r="I1069" s="73"/>
    </row>
    <row r="1070" spans="2:9" ht="15">
      <c r="B1070" s="396"/>
      <c r="C1070" s="71"/>
      <c r="D1070" s="71"/>
      <c r="F1070" s="71"/>
      <c r="G1070" s="71"/>
      <c r="H1070" s="71"/>
      <c r="I1070" s="73"/>
    </row>
    <row r="1071" spans="2:9" ht="15">
      <c r="B1071" s="396"/>
      <c r="C1071" s="71"/>
      <c r="D1071" s="71"/>
      <c r="F1071" s="71"/>
      <c r="G1071" s="71"/>
      <c r="H1071" s="71"/>
      <c r="I1071" s="73"/>
    </row>
    <row r="1072" spans="2:9" ht="15">
      <c r="B1072" s="396"/>
      <c r="C1072" s="71"/>
      <c r="D1072" s="71"/>
      <c r="F1072" s="71"/>
      <c r="G1072" s="71"/>
      <c r="H1072" s="71"/>
      <c r="I1072" s="73"/>
    </row>
    <row r="1073" spans="2:9" ht="15">
      <c r="B1073" s="396"/>
      <c r="C1073" s="71"/>
      <c r="D1073" s="71"/>
      <c r="F1073" s="71"/>
      <c r="G1073" s="71"/>
      <c r="H1073" s="71"/>
      <c r="I1073" s="73"/>
    </row>
    <row r="1074" spans="2:9" ht="15">
      <c r="B1074" s="396"/>
      <c r="C1074" s="71"/>
      <c r="D1074" s="71"/>
      <c r="F1074" s="71"/>
      <c r="G1074" s="71"/>
      <c r="H1074" s="71"/>
      <c r="I1074" s="73"/>
    </row>
    <row r="1075" spans="2:9" ht="15">
      <c r="B1075" s="396"/>
      <c r="C1075" s="71"/>
      <c r="D1075" s="71"/>
      <c r="F1075" s="71"/>
      <c r="G1075" s="71"/>
      <c r="H1075" s="71"/>
      <c r="I1075" s="73"/>
    </row>
    <row r="1076" spans="2:9" ht="15">
      <c r="B1076" s="396"/>
      <c r="C1076" s="71"/>
      <c r="D1076" s="71"/>
      <c r="F1076" s="71"/>
      <c r="G1076" s="71"/>
      <c r="H1076" s="71"/>
      <c r="I1076" s="73"/>
    </row>
    <row r="1077" spans="2:9" ht="15">
      <c r="B1077" s="396"/>
      <c r="C1077" s="71"/>
      <c r="D1077" s="71"/>
      <c r="F1077" s="71"/>
      <c r="G1077" s="71"/>
      <c r="H1077" s="71"/>
      <c r="I1077" s="73"/>
    </row>
    <row r="1078" spans="2:9" ht="15">
      <c r="B1078" s="396"/>
      <c r="C1078" s="71"/>
      <c r="D1078" s="71"/>
      <c r="F1078" s="71"/>
      <c r="G1078" s="71"/>
      <c r="H1078" s="71"/>
      <c r="I1078" s="73"/>
    </row>
    <row r="1079" spans="2:9" ht="15">
      <c r="B1079" s="396"/>
      <c r="C1079" s="71"/>
      <c r="D1079" s="71"/>
      <c r="F1079" s="71"/>
      <c r="G1079" s="71"/>
      <c r="H1079" s="71"/>
      <c r="I1079" s="73"/>
    </row>
    <row r="1080" spans="2:9" ht="15">
      <c r="B1080" s="396"/>
      <c r="C1080" s="71"/>
      <c r="D1080" s="71"/>
      <c r="F1080" s="71"/>
      <c r="G1080" s="71"/>
      <c r="H1080" s="71"/>
      <c r="I1080" s="73"/>
    </row>
    <row r="1081" spans="2:9" ht="15">
      <c r="B1081" s="396"/>
      <c r="C1081" s="71"/>
      <c r="D1081" s="71"/>
      <c r="F1081" s="71"/>
      <c r="G1081" s="71"/>
      <c r="H1081" s="71"/>
      <c r="I1081" s="73"/>
    </row>
    <row r="1082" spans="2:9" ht="15">
      <c r="B1082" s="396"/>
      <c r="C1082" s="71"/>
      <c r="D1082" s="71"/>
      <c r="F1082" s="71"/>
      <c r="G1082" s="71"/>
      <c r="H1082" s="71"/>
      <c r="I1082" s="73"/>
    </row>
    <row r="1083" spans="2:9" ht="15">
      <c r="B1083" s="396"/>
      <c r="C1083" s="71"/>
      <c r="D1083" s="71"/>
      <c r="F1083" s="71"/>
      <c r="G1083" s="71"/>
      <c r="H1083" s="71"/>
      <c r="I1083" s="73"/>
    </row>
    <row r="1084" spans="2:9" ht="15">
      <c r="B1084" s="396"/>
      <c r="C1084" s="71"/>
      <c r="D1084" s="71"/>
      <c r="F1084" s="71"/>
      <c r="G1084" s="71"/>
      <c r="H1084" s="71"/>
      <c r="I1084" s="73"/>
    </row>
    <row r="1085" spans="2:9" ht="15">
      <c r="B1085" s="396"/>
      <c r="C1085" s="71"/>
      <c r="D1085" s="71"/>
      <c r="F1085" s="71"/>
      <c r="G1085" s="71"/>
      <c r="H1085" s="71"/>
      <c r="I1085" s="73"/>
    </row>
    <row r="1086" spans="2:9" ht="15">
      <c r="B1086" s="396"/>
      <c r="C1086" s="71"/>
      <c r="D1086" s="71"/>
      <c r="F1086" s="71"/>
      <c r="G1086" s="71"/>
      <c r="H1086" s="71"/>
      <c r="I1086" s="73"/>
    </row>
    <row r="1087" spans="2:9" ht="15">
      <c r="B1087" s="396"/>
      <c r="C1087" s="71"/>
      <c r="D1087" s="71"/>
      <c r="F1087" s="71"/>
      <c r="G1087" s="71"/>
      <c r="H1087" s="71"/>
      <c r="I1087" s="73"/>
    </row>
    <row r="1088" spans="2:9" ht="15">
      <c r="B1088" s="396"/>
      <c r="C1088" s="71"/>
      <c r="D1088" s="71"/>
      <c r="F1088" s="71"/>
      <c r="G1088" s="71"/>
      <c r="H1088" s="71"/>
      <c r="I1088" s="73"/>
    </row>
    <row r="1089" spans="2:9" ht="15">
      <c r="B1089" s="396"/>
      <c r="C1089" s="71"/>
      <c r="D1089" s="71"/>
      <c r="F1089" s="71"/>
      <c r="G1089" s="71"/>
      <c r="H1089" s="71"/>
      <c r="I1089" s="73"/>
    </row>
    <row r="1090" spans="2:9" ht="15">
      <c r="B1090" s="396"/>
      <c r="C1090" s="71"/>
      <c r="D1090" s="71"/>
      <c r="F1090" s="71"/>
      <c r="G1090" s="71"/>
      <c r="H1090" s="71"/>
      <c r="I1090" s="73"/>
    </row>
    <row r="1091" spans="2:9" ht="15">
      <c r="B1091" s="396"/>
      <c r="C1091" s="71"/>
      <c r="D1091" s="71"/>
      <c r="F1091" s="71"/>
      <c r="G1091" s="71"/>
      <c r="H1091" s="71"/>
      <c r="I1091" s="73"/>
    </row>
    <row r="1092" spans="2:9" ht="15">
      <c r="B1092" s="396"/>
      <c r="C1092" s="71"/>
      <c r="D1092" s="71"/>
      <c r="F1092" s="71"/>
      <c r="G1092" s="71"/>
      <c r="H1092" s="71"/>
      <c r="I1092" s="73"/>
    </row>
    <row r="1093" spans="2:9" ht="15">
      <c r="B1093" s="396"/>
      <c r="C1093" s="71"/>
      <c r="D1093" s="71"/>
      <c r="F1093" s="71"/>
      <c r="G1093" s="71"/>
      <c r="H1093" s="71"/>
      <c r="I1093" s="73"/>
    </row>
    <row r="1094" spans="2:9" ht="15">
      <c r="B1094" s="396"/>
      <c r="C1094" s="71"/>
      <c r="D1094" s="71"/>
      <c r="F1094" s="71"/>
      <c r="G1094" s="71"/>
      <c r="H1094" s="71"/>
      <c r="I1094" s="73"/>
    </row>
    <row r="1095" spans="2:9" ht="15">
      <c r="B1095" s="396"/>
      <c r="C1095" s="71"/>
      <c r="D1095" s="71"/>
      <c r="F1095" s="71"/>
      <c r="G1095" s="71"/>
      <c r="H1095" s="71"/>
      <c r="I1095" s="73"/>
    </row>
    <row r="1096" spans="2:9" ht="15">
      <c r="B1096" s="396"/>
      <c r="C1096" s="71"/>
      <c r="D1096" s="71"/>
      <c r="F1096" s="71"/>
      <c r="G1096" s="71"/>
      <c r="H1096" s="71"/>
      <c r="I1096" s="73"/>
    </row>
    <row r="1097" spans="2:9" ht="15">
      <c r="B1097" s="396"/>
      <c r="C1097" s="71"/>
      <c r="D1097" s="71"/>
      <c r="F1097" s="71"/>
      <c r="G1097" s="71"/>
      <c r="H1097" s="71"/>
      <c r="I1097" s="73"/>
    </row>
    <row r="1098" spans="2:9" ht="15">
      <c r="B1098" s="396"/>
      <c r="C1098" s="71"/>
      <c r="D1098" s="71"/>
      <c r="F1098" s="71"/>
      <c r="G1098" s="71"/>
      <c r="H1098" s="71"/>
      <c r="I1098" s="73"/>
    </row>
    <row r="1099" spans="2:9" ht="15">
      <c r="B1099" s="396"/>
      <c r="C1099" s="71"/>
      <c r="D1099" s="71"/>
      <c r="F1099" s="71"/>
      <c r="G1099" s="71"/>
      <c r="H1099" s="71"/>
      <c r="I1099" s="73"/>
    </row>
    <row r="1100" spans="2:9" ht="15">
      <c r="B1100" s="396"/>
      <c r="C1100" s="71"/>
      <c r="D1100" s="71"/>
      <c r="F1100" s="71"/>
      <c r="G1100" s="71"/>
      <c r="H1100" s="71"/>
      <c r="I1100" s="73"/>
    </row>
    <row r="1101" spans="2:9" ht="15">
      <c r="B1101" s="396"/>
      <c r="C1101" s="71"/>
      <c r="D1101" s="71"/>
      <c r="F1101" s="71"/>
      <c r="G1101" s="71"/>
      <c r="H1101" s="71"/>
      <c r="I1101" s="73"/>
    </row>
    <row r="1102" spans="2:9" ht="15">
      <c r="B1102" s="396"/>
      <c r="C1102" s="71"/>
      <c r="D1102" s="71"/>
      <c r="F1102" s="71"/>
      <c r="G1102" s="71"/>
      <c r="H1102" s="71"/>
      <c r="I1102" s="73"/>
    </row>
    <row r="1103" spans="2:9" ht="15">
      <c r="B1103" s="396"/>
      <c r="C1103" s="71"/>
      <c r="D1103" s="71"/>
      <c r="F1103" s="71"/>
      <c r="G1103" s="71"/>
      <c r="H1103" s="71"/>
      <c r="I1103" s="73"/>
    </row>
    <row r="1104" spans="2:9" ht="15">
      <c r="B1104" s="396"/>
      <c r="C1104" s="71"/>
      <c r="D1104" s="71"/>
      <c r="F1104" s="71"/>
      <c r="G1104" s="71"/>
      <c r="H1104" s="71"/>
      <c r="I1104" s="73"/>
    </row>
    <row r="1105" spans="2:9" ht="15">
      <c r="B1105" s="396"/>
      <c r="C1105" s="71"/>
      <c r="D1105" s="71"/>
      <c r="F1105" s="71"/>
      <c r="G1105" s="71"/>
      <c r="H1105" s="71"/>
      <c r="I1105" s="73"/>
    </row>
    <row r="1106" spans="2:9" ht="15">
      <c r="B1106" s="396"/>
      <c r="C1106" s="71"/>
      <c r="D1106" s="71"/>
      <c r="F1106" s="71"/>
      <c r="G1106" s="71"/>
      <c r="H1106" s="71"/>
      <c r="I1106" s="73"/>
    </row>
    <row r="1107" spans="2:9" ht="15">
      <c r="B1107" s="396"/>
      <c r="C1107" s="71"/>
      <c r="D1107" s="71"/>
      <c r="F1107" s="71"/>
      <c r="G1107" s="71"/>
      <c r="H1107" s="71"/>
      <c r="I1107" s="73"/>
    </row>
    <row r="1108" spans="2:9" ht="15">
      <c r="B1108" s="396"/>
      <c r="C1108" s="71"/>
      <c r="D1108" s="71"/>
      <c r="F1108" s="71"/>
      <c r="G1108" s="71"/>
      <c r="H1108" s="71"/>
      <c r="I1108" s="73"/>
    </row>
    <row r="1109" spans="2:9" ht="15">
      <c r="B1109" s="396"/>
      <c r="C1109" s="71"/>
      <c r="D1109" s="71"/>
      <c r="F1109" s="71"/>
      <c r="G1109" s="71"/>
      <c r="H1109" s="71"/>
      <c r="I1109" s="73"/>
    </row>
    <row r="1110" spans="2:9" ht="15">
      <c r="B1110" s="396"/>
      <c r="C1110" s="71"/>
      <c r="D1110" s="71"/>
      <c r="F1110" s="71"/>
      <c r="G1110" s="71"/>
      <c r="H1110" s="71"/>
      <c r="I1110" s="73"/>
    </row>
    <row r="1111" spans="2:9" ht="15">
      <c r="B1111" s="396"/>
      <c r="C1111" s="71"/>
      <c r="D1111" s="71"/>
      <c r="F1111" s="71"/>
      <c r="G1111" s="71"/>
      <c r="H1111" s="71"/>
      <c r="I1111" s="73"/>
    </row>
    <row r="1112" spans="2:9" ht="15">
      <c r="B1112" s="396"/>
      <c r="C1112" s="71"/>
      <c r="D1112" s="71"/>
      <c r="F1112" s="71"/>
      <c r="G1112" s="71"/>
      <c r="H1112" s="71"/>
      <c r="I1112" s="73"/>
    </row>
    <row r="1113" spans="2:9" ht="15">
      <c r="B1113" s="396"/>
      <c r="C1113" s="71"/>
      <c r="D1113" s="71"/>
      <c r="F1113" s="71"/>
      <c r="G1113" s="71"/>
      <c r="H1113" s="71"/>
      <c r="I1113" s="73"/>
    </row>
    <row r="1114" spans="2:9" ht="15">
      <c r="B1114" s="396"/>
      <c r="C1114" s="71"/>
      <c r="D1114" s="71"/>
      <c r="F1114" s="71"/>
      <c r="G1114" s="71"/>
      <c r="H1114" s="71"/>
      <c r="I1114" s="73"/>
    </row>
    <row r="1115" spans="2:9" ht="15">
      <c r="B1115" s="396"/>
      <c r="C1115" s="71"/>
      <c r="D1115" s="71"/>
      <c r="F1115" s="71"/>
      <c r="G1115" s="71"/>
      <c r="H1115" s="71"/>
      <c r="I1115" s="73"/>
    </row>
    <row r="1116" spans="2:9" ht="15">
      <c r="B1116" s="396"/>
      <c r="C1116" s="71"/>
      <c r="D1116" s="71"/>
      <c r="F1116" s="71"/>
      <c r="G1116" s="71"/>
      <c r="H1116" s="71"/>
      <c r="I1116" s="73"/>
    </row>
    <row r="1117" spans="2:9" ht="15">
      <c r="B1117" s="396"/>
      <c r="C1117" s="71"/>
      <c r="D1117" s="71"/>
      <c r="F1117" s="71"/>
      <c r="G1117" s="71"/>
      <c r="H1117" s="71"/>
      <c r="I1117" s="73"/>
    </row>
    <row r="1118" spans="2:9" ht="15">
      <c r="B1118" s="396"/>
      <c r="C1118" s="71"/>
      <c r="D1118" s="71"/>
      <c r="F1118" s="71"/>
      <c r="G1118" s="71"/>
      <c r="H1118" s="71"/>
      <c r="I1118" s="73"/>
    </row>
    <row r="1119" spans="2:9" ht="15">
      <c r="B1119" s="396"/>
      <c r="C1119" s="71"/>
      <c r="D1119" s="71"/>
      <c r="F1119" s="71"/>
      <c r="G1119" s="71"/>
      <c r="H1119" s="71"/>
      <c r="I1119" s="73"/>
    </row>
    <row r="1120" spans="2:9" ht="15">
      <c r="B1120" s="396"/>
      <c r="C1120" s="71"/>
      <c r="D1120" s="71"/>
      <c r="F1120" s="71"/>
      <c r="G1120" s="71"/>
      <c r="H1120" s="71"/>
      <c r="I1120" s="73"/>
    </row>
    <row r="1121" spans="2:9" ht="15">
      <c r="B1121" s="396"/>
      <c r="C1121" s="71"/>
      <c r="D1121" s="71"/>
      <c r="F1121" s="71"/>
      <c r="G1121" s="71"/>
      <c r="H1121" s="71"/>
      <c r="I1121" s="73"/>
    </row>
    <row r="1122" spans="2:9" ht="15">
      <c r="B1122" s="396"/>
      <c r="C1122" s="71"/>
      <c r="D1122" s="71"/>
      <c r="F1122" s="71"/>
      <c r="G1122" s="71"/>
      <c r="H1122" s="71"/>
      <c r="I1122" s="73"/>
    </row>
    <row r="1123" spans="2:9" ht="15">
      <c r="B1123" s="396"/>
      <c r="C1123" s="71"/>
      <c r="D1123" s="71"/>
      <c r="F1123" s="71"/>
      <c r="G1123" s="71"/>
      <c r="H1123" s="71"/>
      <c r="I1123" s="73"/>
    </row>
    <row r="1124" spans="2:9" ht="15">
      <c r="B1124" s="396"/>
      <c r="C1124" s="71"/>
      <c r="D1124" s="71"/>
      <c r="F1124" s="71"/>
      <c r="G1124" s="71"/>
      <c r="H1124" s="71"/>
      <c r="I1124" s="73"/>
    </row>
    <row r="1125" spans="2:9" ht="15">
      <c r="B1125" s="396"/>
      <c r="C1125" s="71"/>
      <c r="D1125" s="71"/>
      <c r="F1125" s="71"/>
      <c r="G1125" s="71"/>
      <c r="H1125" s="71"/>
      <c r="I1125" s="73"/>
    </row>
    <row r="1126" spans="2:9" ht="15">
      <c r="B1126" s="396"/>
      <c r="C1126" s="71"/>
      <c r="D1126" s="71"/>
      <c r="F1126" s="71"/>
      <c r="G1126" s="71"/>
      <c r="H1126" s="71"/>
      <c r="I1126" s="73"/>
    </row>
    <row r="1127" spans="2:9" ht="15">
      <c r="B1127" s="396"/>
      <c r="C1127" s="71"/>
      <c r="D1127" s="71"/>
      <c r="F1127" s="71"/>
      <c r="G1127" s="71"/>
      <c r="H1127" s="71"/>
      <c r="I1127" s="73"/>
    </row>
    <row r="1128" spans="2:9" ht="15">
      <c r="B1128" s="396"/>
      <c r="C1128" s="71"/>
      <c r="D1128" s="71"/>
      <c r="F1128" s="71"/>
      <c r="G1128" s="71"/>
      <c r="H1128" s="71"/>
      <c r="I1128" s="73"/>
    </row>
    <row r="1129" spans="2:9" ht="15">
      <c r="B1129" s="396"/>
      <c r="C1129" s="71"/>
      <c r="D1129" s="71"/>
      <c r="F1129" s="71"/>
      <c r="G1129" s="71"/>
      <c r="H1129" s="71"/>
      <c r="I1129" s="73"/>
    </row>
    <row r="1130" spans="2:9" ht="15">
      <c r="B1130" s="396"/>
      <c r="C1130" s="71"/>
      <c r="D1130" s="71"/>
      <c r="F1130" s="71"/>
      <c r="G1130" s="71"/>
      <c r="H1130" s="71"/>
      <c r="I1130" s="73"/>
    </row>
    <row r="1131" spans="2:9" ht="15">
      <c r="B1131" s="396"/>
      <c r="C1131" s="71"/>
      <c r="D1131" s="71"/>
      <c r="F1131" s="71"/>
      <c r="G1131" s="71"/>
      <c r="H1131" s="71"/>
      <c r="I1131" s="73"/>
    </row>
    <row r="1132" spans="2:9" ht="15">
      <c r="B1132" s="396"/>
      <c r="C1132" s="71"/>
      <c r="D1132" s="71"/>
      <c r="F1132" s="71"/>
      <c r="G1132" s="71"/>
      <c r="H1132" s="71"/>
      <c r="I1132" s="73"/>
    </row>
    <row r="1133" spans="2:9" ht="15">
      <c r="B1133" s="396"/>
      <c r="C1133" s="71"/>
      <c r="D1133" s="71"/>
      <c r="F1133" s="71"/>
      <c r="G1133" s="71"/>
      <c r="H1133" s="71"/>
      <c r="I1133" s="73"/>
    </row>
    <row r="1134" spans="2:9" ht="15">
      <c r="B1134" s="396"/>
      <c r="C1134" s="71"/>
      <c r="D1134" s="71"/>
      <c r="F1134" s="71"/>
      <c r="G1134" s="71"/>
      <c r="H1134" s="71"/>
      <c r="I1134" s="73"/>
    </row>
    <row r="1135" spans="2:9" ht="15">
      <c r="B1135" s="396"/>
      <c r="C1135" s="71"/>
      <c r="D1135" s="71"/>
      <c r="F1135" s="71"/>
      <c r="G1135" s="71"/>
      <c r="H1135" s="71"/>
      <c r="I1135" s="73"/>
    </row>
    <row r="1136" spans="2:9" ht="15">
      <c r="B1136" s="396"/>
      <c r="C1136" s="71"/>
      <c r="D1136" s="71"/>
      <c r="F1136" s="71"/>
      <c r="G1136" s="71"/>
      <c r="H1136" s="71"/>
      <c r="I1136" s="73"/>
    </row>
    <row r="1137" spans="2:9" ht="15">
      <c r="B1137" s="396"/>
      <c r="C1137" s="71"/>
      <c r="D1137" s="71"/>
      <c r="F1137" s="71"/>
      <c r="G1137" s="71"/>
      <c r="H1137" s="71"/>
      <c r="I1137" s="73"/>
    </row>
    <row r="1138" spans="2:9" ht="15">
      <c r="B1138" s="396"/>
      <c r="C1138" s="71"/>
      <c r="D1138" s="71"/>
      <c r="F1138" s="71"/>
      <c r="G1138" s="71"/>
      <c r="H1138" s="71"/>
      <c r="I1138" s="73"/>
    </row>
    <row r="1139" spans="2:9" ht="15">
      <c r="B1139" s="396"/>
      <c r="C1139" s="71"/>
      <c r="D1139" s="71"/>
      <c r="F1139" s="71"/>
      <c r="G1139" s="71"/>
      <c r="H1139" s="71"/>
      <c r="I1139" s="73"/>
    </row>
    <row r="1140" spans="2:9" ht="15">
      <c r="B1140" s="396"/>
      <c r="C1140" s="71"/>
      <c r="D1140" s="71"/>
      <c r="F1140" s="71"/>
      <c r="G1140" s="71"/>
      <c r="H1140" s="71"/>
      <c r="I1140" s="73"/>
    </row>
    <row r="1141" spans="2:9" ht="15">
      <c r="B1141" s="396"/>
      <c r="C1141" s="71"/>
      <c r="D1141" s="71"/>
      <c r="F1141" s="71"/>
      <c r="G1141" s="71"/>
      <c r="H1141" s="71"/>
      <c r="I1141" s="73"/>
    </row>
    <row r="1142" spans="2:9" ht="15">
      <c r="B1142" s="396"/>
      <c r="C1142" s="71"/>
      <c r="D1142" s="71"/>
      <c r="F1142" s="71"/>
      <c r="G1142" s="71"/>
      <c r="H1142" s="71"/>
      <c r="I1142" s="73"/>
    </row>
    <row r="1143" spans="2:9" ht="15">
      <c r="B1143" s="396"/>
      <c r="C1143" s="71"/>
      <c r="D1143" s="71"/>
      <c r="F1143" s="71"/>
      <c r="G1143" s="71"/>
      <c r="H1143" s="71"/>
      <c r="I1143" s="73"/>
    </row>
    <row r="1144" spans="2:9" ht="15">
      <c r="B1144" s="396"/>
      <c r="C1144" s="71"/>
      <c r="D1144" s="71"/>
      <c r="F1144" s="71"/>
      <c r="G1144" s="71"/>
      <c r="H1144" s="71"/>
      <c r="I1144" s="73"/>
    </row>
    <row r="1145" spans="2:9" ht="15">
      <c r="B1145" s="396"/>
      <c r="C1145" s="71"/>
      <c r="D1145" s="71"/>
      <c r="F1145" s="71"/>
      <c r="G1145" s="71"/>
      <c r="H1145" s="71"/>
      <c r="I1145" s="73"/>
    </row>
    <row r="1146" spans="2:9" ht="15">
      <c r="B1146" s="396"/>
      <c r="C1146" s="71"/>
      <c r="D1146" s="71"/>
      <c r="F1146" s="71"/>
      <c r="G1146" s="71"/>
      <c r="H1146" s="71"/>
      <c r="I1146" s="73"/>
    </row>
    <row r="1147" spans="2:9" ht="15">
      <c r="B1147" s="396"/>
      <c r="C1147" s="71"/>
      <c r="D1147" s="71"/>
      <c r="F1147" s="71"/>
      <c r="G1147" s="71"/>
      <c r="H1147" s="71"/>
      <c r="I1147" s="73"/>
    </row>
    <row r="1148" spans="2:9" ht="15">
      <c r="B1148" s="396"/>
      <c r="C1148" s="71"/>
      <c r="D1148" s="71"/>
      <c r="F1148" s="71"/>
      <c r="G1148" s="71"/>
      <c r="H1148" s="71"/>
      <c r="I1148" s="73"/>
    </row>
    <row r="1149" spans="2:9" ht="15">
      <c r="B1149" s="396"/>
      <c r="C1149" s="71"/>
      <c r="D1149" s="71"/>
      <c r="F1149" s="71"/>
      <c r="G1149" s="71"/>
      <c r="H1149" s="71"/>
      <c r="I1149" s="73"/>
    </row>
    <row r="1150" spans="2:9" ht="15">
      <c r="B1150" s="396"/>
      <c r="C1150" s="71"/>
      <c r="D1150" s="71"/>
      <c r="F1150" s="71"/>
      <c r="G1150" s="71"/>
      <c r="H1150" s="71"/>
      <c r="I1150" s="73"/>
    </row>
    <row r="1151" spans="2:9" ht="15">
      <c r="B1151" s="396"/>
      <c r="C1151" s="71"/>
      <c r="D1151" s="71"/>
      <c r="F1151" s="71"/>
      <c r="G1151" s="71"/>
      <c r="H1151" s="71"/>
      <c r="I1151" s="73"/>
    </row>
    <row r="1152" spans="2:9" ht="15">
      <c r="B1152" s="396"/>
      <c r="C1152" s="71"/>
      <c r="D1152" s="71"/>
      <c r="F1152" s="71"/>
      <c r="G1152" s="71"/>
      <c r="H1152" s="71"/>
      <c r="I1152" s="73"/>
    </row>
    <row r="1153" spans="2:9" ht="15">
      <c r="B1153" s="396"/>
      <c r="C1153" s="71"/>
      <c r="D1153" s="71"/>
      <c r="F1153" s="71"/>
      <c r="G1153" s="71"/>
      <c r="H1153" s="71"/>
      <c r="I1153" s="73"/>
    </row>
    <row r="1154" spans="2:9" ht="15">
      <c r="B1154" s="396"/>
      <c r="C1154" s="71"/>
      <c r="D1154" s="71"/>
      <c r="F1154" s="71"/>
      <c r="G1154" s="71"/>
      <c r="H1154" s="71"/>
      <c r="I1154" s="73"/>
    </row>
    <row r="1155" spans="2:9" ht="15">
      <c r="B1155" s="396"/>
      <c r="C1155" s="71"/>
      <c r="D1155" s="71"/>
      <c r="F1155" s="71"/>
      <c r="G1155" s="71"/>
      <c r="H1155" s="71"/>
      <c r="I1155" s="73"/>
    </row>
    <row r="1156" spans="2:9" ht="15">
      <c r="B1156" s="396"/>
      <c r="C1156" s="71"/>
      <c r="D1156" s="71"/>
      <c r="F1156" s="71"/>
      <c r="G1156" s="71"/>
      <c r="H1156" s="71"/>
      <c r="I1156" s="73"/>
    </row>
    <row r="1157" spans="2:9" ht="15">
      <c r="B1157" s="396"/>
      <c r="C1157" s="71"/>
      <c r="D1157" s="71"/>
      <c r="F1157" s="71"/>
      <c r="G1157" s="71"/>
      <c r="H1157" s="71"/>
      <c r="I1157" s="73"/>
    </row>
    <row r="1158" spans="2:9" ht="15">
      <c r="B1158" s="396"/>
      <c r="C1158" s="71"/>
      <c r="D1158" s="71"/>
      <c r="F1158" s="71"/>
      <c r="G1158" s="71"/>
      <c r="H1158" s="71"/>
      <c r="I1158" s="73"/>
    </row>
    <row r="1159" spans="2:9" ht="15">
      <c r="B1159" s="396"/>
      <c r="C1159" s="71"/>
      <c r="D1159" s="71"/>
      <c r="F1159" s="71"/>
      <c r="G1159" s="71"/>
      <c r="H1159" s="71"/>
      <c r="I1159" s="73"/>
    </row>
    <row r="1160" spans="2:9" ht="15">
      <c r="B1160" s="396"/>
      <c r="C1160" s="71"/>
      <c r="D1160" s="71"/>
      <c r="F1160" s="71"/>
      <c r="G1160" s="71"/>
      <c r="H1160" s="71"/>
      <c r="I1160" s="73"/>
    </row>
    <row r="1161" spans="2:9" ht="15">
      <c r="B1161" s="396"/>
      <c r="C1161" s="71"/>
      <c r="D1161" s="71"/>
      <c r="F1161" s="71"/>
      <c r="G1161" s="71"/>
      <c r="H1161" s="71"/>
      <c r="I1161" s="73"/>
    </row>
    <row r="1162" spans="2:9" ht="15">
      <c r="B1162" s="396"/>
      <c r="C1162" s="71"/>
      <c r="D1162" s="71"/>
      <c r="F1162" s="71"/>
      <c r="G1162" s="71"/>
      <c r="H1162" s="71"/>
      <c r="I1162" s="73"/>
    </row>
    <row r="1163" spans="2:9" ht="15">
      <c r="B1163" s="396"/>
      <c r="C1163" s="71"/>
      <c r="D1163" s="71"/>
      <c r="F1163" s="71"/>
      <c r="G1163" s="71"/>
      <c r="H1163" s="71"/>
      <c r="I1163" s="73"/>
    </row>
    <row r="1164" spans="2:9" ht="15">
      <c r="B1164" s="396"/>
      <c r="C1164" s="71"/>
      <c r="D1164" s="71"/>
      <c r="F1164" s="71"/>
      <c r="G1164" s="71"/>
      <c r="H1164" s="71"/>
      <c r="I1164" s="73"/>
    </row>
    <row r="1165" spans="2:9" ht="15">
      <c r="B1165" s="396"/>
      <c r="C1165" s="71"/>
      <c r="D1165" s="71"/>
      <c r="F1165" s="71"/>
      <c r="G1165" s="71"/>
      <c r="H1165" s="71"/>
      <c r="I1165" s="73"/>
    </row>
    <row r="1166" spans="2:9" ht="15">
      <c r="B1166" s="396"/>
      <c r="C1166" s="71"/>
      <c r="D1166" s="71"/>
      <c r="F1166" s="71"/>
      <c r="G1166" s="71"/>
      <c r="H1166" s="71"/>
      <c r="I1166" s="73"/>
    </row>
    <row r="1167" spans="2:9" ht="15">
      <c r="B1167" s="396"/>
      <c r="C1167" s="71"/>
      <c r="D1167" s="71"/>
      <c r="F1167" s="71"/>
      <c r="G1167" s="71"/>
      <c r="H1167" s="71"/>
      <c r="I1167" s="73"/>
    </row>
    <row r="1168" spans="2:9" ht="15">
      <c r="B1168" s="396"/>
      <c r="C1168" s="71"/>
      <c r="D1168" s="71"/>
      <c r="F1168" s="71"/>
      <c r="G1168" s="71"/>
      <c r="H1168" s="71"/>
      <c r="I1168" s="73"/>
    </row>
    <row r="1169" spans="2:9" ht="15">
      <c r="B1169" s="396"/>
      <c r="C1169" s="71"/>
      <c r="D1169" s="71"/>
      <c r="F1169" s="71"/>
      <c r="G1169" s="71"/>
      <c r="H1169" s="71"/>
      <c r="I1169" s="73"/>
    </row>
    <row r="1170" spans="2:9" ht="15">
      <c r="B1170" s="396"/>
      <c r="C1170" s="71"/>
      <c r="D1170" s="71"/>
      <c r="F1170" s="71"/>
      <c r="G1170" s="71"/>
      <c r="H1170" s="71"/>
      <c r="I1170" s="73"/>
    </row>
    <row r="1171" spans="2:9" ht="15">
      <c r="B1171" s="396"/>
      <c r="C1171" s="71"/>
      <c r="D1171" s="71"/>
      <c r="F1171" s="71"/>
      <c r="G1171" s="71"/>
      <c r="H1171" s="71"/>
      <c r="I1171" s="73"/>
    </row>
    <row r="1172" spans="2:9" ht="15">
      <c r="B1172" s="396"/>
      <c r="C1172" s="71"/>
      <c r="D1172" s="71"/>
      <c r="F1172" s="71"/>
      <c r="G1172" s="71"/>
      <c r="H1172" s="71"/>
      <c r="I1172" s="73"/>
    </row>
    <row r="1173" spans="2:9" ht="15">
      <c r="B1173" s="396"/>
      <c r="C1173" s="71"/>
      <c r="D1173" s="71"/>
      <c r="F1173" s="71"/>
      <c r="G1173" s="71"/>
      <c r="H1173" s="71"/>
      <c r="I1173" s="73"/>
    </row>
    <row r="1174" spans="2:9" ht="15">
      <c r="B1174" s="396"/>
      <c r="C1174" s="71"/>
      <c r="D1174" s="71"/>
      <c r="F1174" s="71"/>
      <c r="G1174" s="71"/>
      <c r="H1174" s="71"/>
      <c r="I1174" s="73"/>
    </row>
    <row r="1175" spans="2:9" ht="15">
      <c r="B1175" s="396"/>
      <c r="C1175" s="71"/>
      <c r="D1175" s="71"/>
      <c r="F1175" s="71"/>
      <c r="G1175" s="71"/>
      <c r="H1175" s="71"/>
      <c r="I1175" s="73"/>
    </row>
    <row r="1176" spans="2:9" ht="15">
      <c r="B1176" s="396"/>
      <c r="C1176" s="71"/>
      <c r="D1176" s="71"/>
      <c r="F1176" s="71"/>
      <c r="G1176" s="71"/>
      <c r="H1176" s="71"/>
      <c r="I1176" s="73"/>
    </row>
    <row r="1177" spans="2:9" ht="15">
      <c r="B1177" s="396"/>
      <c r="C1177" s="71"/>
      <c r="D1177" s="71"/>
      <c r="F1177" s="71"/>
      <c r="G1177" s="71"/>
      <c r="H1177" s="71"/>
      <c r="I1177" s="73"/>
    </row>
    <row r="1178" spans="2:9" ht="15">
      <c r="B1178" s="396"/>
      <c r="C1178" s="71"/>
      <c r="D1178" s="71"/>
      <c r="F1178" s="71"/>
      <c r="G1178" s="71"/>
      <c r="H1178" s="71"/>
      <c r="I1178" s="73"/>
    </row>
    <row r="1179" spans="2:9" ht="15">
      <c r="B1179" s="396"/>
      <c r="C1179" s="71"/>
      <c r="D1179" s="71"/>
      <c r="F1179" s="71"/>
      <c r="G1179" s="71"/>
      <c r="H1179" s="71"/>
      <c r="I1179" s="73"/>
    </row>
    <row r="1180" spans="2:9" ht="15">
      <c r="B1180" s="396"/>
      <c r="C1180" s="71"/>
      <c r="D1180" s="71"/>
      <c r="F1180" s="71"/>
      <c r="G1180" s="71"/>
      <c r="H1180" s="71"/>
      <c r="I1180" s="73"/>
    </row>
    <row r="1181" spans="2:9" ht="15">
      <c r="B1181" s="396"/>
      <c r="C1181" s="71"/>
      <c r="D1181" s="71"/>
      <c r="F1181" s="71"/>
      <c r="G1181" s="71"/>
      <c r="H1181" s="71"/>
      <c r="I1181" s="73"/>
    </row>
    <row r="1182" spans="2:9" ht="15">
      <c r="B1182" s="396"/>
      <c r="C1182" s="71"/>
      <c r="D1182" s="71"/>
      <c r="F1182" s="71"/>
      <c r="G1182" s="71"/>
      <c r="H1182" s="71"/>
      <c r="I1182" s="73"/>
    </row>
    <row r="1183" spans="2:9" ht="15">
      <c r="B1183" s="396"/>
      <c r="C1183" s="71"/>
      <c r="D1183" s="71"/>
      <c r="F1183" s="71"/>
      <c r="G1183" s="71"/>
      <c r="H1183" s="71"/>
      <c r="I1183" s="73"/>
    </row>
    <row r="1184" spans="2:9" ht="15">
      <c r="B1184" s="396"/>
      <c r="C1184" s="71"/>
      <c r="D1184" s="71"/>
      <c r="F1184" s="71"/>
      <c r="G1184" s="71"/>
      <c r="H1184" s="71"/>
      <c r="I1184" s="73"/>
    </row>
    <row r="1185" spans="2:9" ht="15">
      <c r="B1185" s="396"/>
      <c r="C1185" s="71"/>
      <c r="D1185" s="71"/>
      <c r="F1185" s="71"/>
      <c r="G1185" s="71"/>
      <c r="H1185" s="71"/>
      <c r="I1185" s="73"/>
    </row>
    <row r="1186" spans="2:9" ht="15">
      <c r="B1186" s="396"/>
      <c r="C1186" s="71"/>
      <c r="D1186" s="71"/>
      <c r="F1186" s="71"/>
      <c r="G1186" s="71"/>
      <c r="H1186" s="71"/>
      <c r="I1186" s="73"/>
    </row>
    <row r="1187" spans="2:9" ht="15">
      <c r="B1187" s="396"/>
      <c r="C1187" s="71"/>
      <c r="D1187" s="71"/>
      <c r="F1187" s="71"/>
      <c r="G1187" s="71"/>
      <c r="H1187" s="71"/>
      <c r="I1187" s="73"/>
    </row>
    <row r="1188" spans="2:9" ht="15">
      <c r="B1188" s="396"/>
      <c r="C1188" s="71"/>
      <c r="D1188" s="71"/>
      <c r="F1188" s="71"/>
      <c r="G1188" s="71"/>
      <c r="H1188" s="71"/>
      <c r="I1188" s="73"/>
    </row>
    <row r="1189" spans="2:9" ht="15">
      <c r="B1189" s="396"/>
      <c r="C1189" s="71"/>
      <c r="D1189" s="71"/>
      <c r="F1189" s="71"/>
      <c r="G1189" s="71"/>
      <c r="H1189" s="71"/>
      <c r="I1189" s="73"/>
    </row>
    <row r="1190" spans="2:9" ht="15">
      <c r="B1190" s="396"/>
      <c r="C1190" s="71"/>
      <c r="D1190" s="71"/>
      <c r="F1190" s="71"/>
      <c r="G1190" s="71"/>
      <c r="H1190" s="71"/>
      <c r="I1190" s="73"/>
    </row>
    <row r="1191" spans="2:9" ht="15">
      <c r="B1191" s="396"/>
      <c r="C1191" s="71"/>
      <c r="D1191" s="71"/>
      <c r="F1191" s="71"/>
      <c r="G1191" s="71"/>
      <c r="H1191" s="71"/>
      <c r="I1191" s="73"/>
    </row>
    <row r="1192" spans="2:9" ht="15">
      <c r="B1192" s="396"/>
      <c r="C1192" s="71"/>
      <c r="D1192" s="71"/>
      <c r="F1192" s="71"/>
      <c r="G1192" s="71"/>
      <c r="H1192" s="71"/>
      <c r="I1192" s="73"/>
    </row>
    <row r="1193" spans="2:9" ht="15">
      <c r="B1193" s="396"/>
      <c r="C1193" s="71"/>
      <c r="D1193" s="71"/>
      <c r="F1193" s="71"/>
      <c r="G1193" s="71"/>
      <c r="H1193" s="71"/>
      <c r="I1193" s="73"/>
    </row>
    <row r="1194" spans="2:9" ht="15">
      <c r="B1194" s="396"/>
      <c r="C1194" s="71"/>
      <c r="D1194" s="71"/>
      <c r="F1194" s="71"/>
      <c r="G1194" s="71"/>
      <c r="H1194" s="71"/>
      <c r="I1194" s="73"/>
    </row>
    <row r="1195" spans="2:9" ht="15">
      <c r="B1195" s="396"/>
      <c r="C1195" s="71"/>
      <c r="D1195" s="71"/>
      <c r="F1195" s="71"/>
      <c r="G1195" s="71"/>
      <c r="H1195" s="71"/>
      <c r="I1195" s="73"/>
    </row>
    <row r="1196" spans="2:9" ht="15">
      <c r="B1196" s="396"/>
      <c r="C1196" s="71"/>
      <c r="D1196" s="71"/>
      <c r="F1196" s="71"/>
      <c r="G1196" s="71"/>
      <c r="H1196" s="71"/>
      <c r="I1196" s="73"/>
    </row>
    <row r="1197" spans="2:9" ht="15">
      <c r="B1197" s="396"/>
      <c r="C1197" s="71"/>
      <c r="D1197" s="71"/>
      <c r="F1197" s="71"/>
      <c r="G1197" s="71"/>
      <c r="H1197" s="71"/>
      <c r="I1197" s="73"/>
    </row>
    <row r="1198" spans="2:9" ht="15">
      <c r="B1198" s="396"/>
      <c r="C1198" s="71"/>
      <c r="D1198" s="71"/>
      <c r="F1198" s="71"/>
      <c r="G1198" s="71"/>
      <c r="H1198" s="71"/>
      <c r="I1198" s="73"/>
    </row>
    <row r="1199" spans="2:9" ht="15">
      <c r="B1199" s="396"/>
      <c r="C1199" s="71"/>
      <c r="D1199" s="71"/>
      <c r="F1199" s="71"/>
      <c r="G1199" s="71"/>
      <c r="H1199" s="71"/>
      <c r="I1199" s="73"/>
    </row>
    <row r="1200" spans="2:9" ht="15">
      <c r="B1200" s="396"/>
      <c r="C1200" s="71"/>
      <c r="D1200" s="71"/>
      <c r="F1200" s="71"/>
      <c r="G1200" s="71"/>
      <c r="H1200" s="71"/>
      <c r="I1200" s="73"/>
    </row>
    <row r="1201" spans="2:9" ht="15">
      <c r="B1201" s="396"/>
      <c r="C1201" s="71"/>
      <c r="D1201" s="71"/>
      <c r="F1201" s="71"/>
      <c r="G1201" s="71"/>
      <c r="H1201" s="71"/>
      <c r="I1201" s="73"/>
    </row>
    <row r="1202" spans="2:9" ht="15">
      <c r="B1202" s="396"/>
      <c r="C1202" s="71"/>
      <c r="D1202" s="71"/>
      <c r="F1202" s="71"/>
      <c r="G1202" s="71"/>
      <c r="H1202" s="71"/>
      <c r="I1202" s="73"/>
    </row>
    <row r="1203" spans="2:9" ht="15">
      <c r="B1203" s="396"/>
      <c r="C1203" s="71"/>
      <c r="D1203" s="71"/>
      <c r="F1203" s="71"/>
      <c r="G1203" s="71"/>
      <c r="H1203" s="71"/>
      <c r="I1203" s="73"/>
    </row>
    <row r="1204" spans="2:9" ht="15">
      <c r="B1204" s="396"/>
      <c r="C1204" s="71"/>
      <c r="D1204" s="71"/>
      <c r="F1204" s="71"/>
      <c r="G1204" s="71"/>
      <c r="H1204" s="71"/>
      <c r="I1204" s="73"/>
    </row>
    <row r="1205" spans="2:9" ht="15">
      <c r="B1205" s="396"/>
      <c r="C1205" s="71"/>
      <c r="D1205" s="71"/>
      <c r="F1205" s="71"/>
      <c r="G1205" s="71"/>
      <c r="H1205" s="71"/>
      <c r="I1205" s="73"/>
    </row>
    <row r="1206" spans="2:9" ht="15">
      <c r="B1206" s="396"/>
      <c r="C1206" s="71"/>
      <c r="D1206" s="71"/>
      <c r="F1206" s="71"/>
      <c r="G1206" s="71"/>
      <c r="H1206" s="71"/>
      <c r="I1206" s="73"/>
    </row>
    <row r="1207" spans="2:9" ht="15">
      <c r="B1207" s="396"/>
      <c r="C1207" s="71"/>
      <c r="D1207" s="71"/>
      <c r="F1207" s="71"/>
      <c r="G1207" s="71"/>
      <c r="H1207" s="71"/>
      <c r="I1207" s="73"/>
    </row>
    <row r="1208" spans="2:9" ht="15">
      <c r="B1208" s="396"/>
      <c r="C1208" s="71"/>
      <c r="D1208" s="71"/>
      <c r="F1208" s="71"/>
      <c r="G1208" s="71"/>
      <c r="H1208" s="71"/>
      <c r="I1208" s="73"/>
    </row>
    <row r="1209" spans="2:9" ht="15">
      <c r="B1209" s="396"/>
      <c r="C1209" s="71"/>
      <c r="D1209" s="71"/>
      <c r="F1209" s="71"/>
      <c r="G1209" s="71"/>
      <c r="H1209" s="71"/>
      <c r="I1209" s="73"/>
    </row>
    <row r="1210" spans="2:9" ht="15">
      <c r="B1210" s="396"/>
      <c r="C1210" s="71"/>
      <c r="D1210" s="71"/>
      <c r="F1210" s="71"/>
      <c r="G1210" s="71"/>
      <c r="H1210" s="71"/>
      <c r="I1210" s="73"/>
    </row>
    <row r="1211" spans="2:9" ht="15">
      <c r="B1211" s="396"/>
      <c r="C1211" s="71"/>
      <c r="D1211" s="71"/>
      <c r="F1211" s="71"/>
      <c r="G1211" s="71"/>
      <c r="H1211" s="71"/>
      <c r="I1211" s="73"/>
    </row>
    <row r="1212" spans="2:9" ht="15">
      <c r="B1212" s="396"/>
      <c r="C1212" s="71"/>
      <c r="D1212" s="71"/>
      <c r="F1212" s="71"/>
      <c r="G1212" s="71"/>
      <c r="H1212" s="71"/>
      <c r="I1212" s="73"/>
    </row>
    <row r="1213" spans="2:9" ht="15">
      <c r="B1213" s="396"/>
      <c r="C1213" s="71"/>
      <c r="D1213" s="71"/>
      <c r="F1213" s="71"/>
      <c r="G1213" s="71"/>
      <c r="H1213" s="71"/>
      <c r="I1213" s="73"/>
    </row>
    <row r="1214" spans="2:9" ht="15">
      <c r="B1214" s="396"/>
      <c r="C1214" s="71"/>
      <c r="D1214" s="71"/>
      <c r="F1214" s="71"/>
      <c r="G1214" s="71"/>
      <c r="H1214" s="71"/>
      <c r="I1214" s="73"/>
    </row>
    <row r="1215" spans="2:9" ht="15">
      <c r="B1215" s="396"/>
      <c r="C1215" s="71"/>
      <c r="D1215" s="71"/>
      <c r="F1215" s="71"/>
      <c r="G1215" s="71"/>
      <c r="H1215" s="71"/>
      <c r="I1215" s="73"/>
    </row>
    <row r="1216" spans="2:9" ht="15">
      <c r="B1216" s="396"/>
      <c r="C1216" s="71"/>
      <c r="D1216" s="71"/>
      <c r="F1216" s="71"/>
      <c r="G1216" s="71"/>
      <c r="H1216" s="71"/>
      <c r="I1216" s="73"/>
    </row>
    <row r="1217" spans="2:9" ht="15">
      <c r="B1217" s="396"/>
      <c r="C1217" s="71"/>
      <c r="D1217" s="71"/>
      <c r="F1217" s="71"/>
      <c r="G1217" s="71"/>
      <c r="H1217" s="71"/>
      <c r="I1217" s="73"/>
    </row>
    <row r="1218" spans="2:9" ht="15">
      <c r="B1218" s="396"/>
      <c r="C1218" s="71"/>
      <c r="D1218" s="71"/>
      <c r="F1218" s="71"/>
      <c r="G1218" s="71"/>
      <c r="H1218" s="71"/>
      <c r="I1218" s="73"/>
    </row>
    <row r="1219" spans="2:9" ht="15">
      <c r="B1219" s="396"/>
      <c r="C1219" s="71"/>
      <c r="D1219" s="71"/>
      <c r="F1219" s="71"/>
      <c r="G1219" s="71"/>
      <c r="H1219" s="71"/>
      <c r="I1219" s="73"/>
    </row>
    <row r="1220" spans="2:9" ht="15">
      <c r="B1220" s="396"/>
      <c r="C1220" s="71"/>
      <c r="D1220" s="71"/>
      <c r="F1220" s="71"/>
      <c r="G1220" s="71"/>
      <c r="H1220" s="71"/>
      <c r="I1220" s="73"/>
    </row>
    <row r="1221" spans="2:9" ht="15">
      <c r="B1221" s="396"/>
      <c r="C1221" s="71"/>
      <c r="D1221" s="71"/>
      <c r="F1221" s="71"/>
      <c r="G1221" s="71"/>
      <c r="H1221" s="71"/>
      <c r="I1221" s="73"/>
    </row>
    <row r="1222" spans="2:9" ht="15">
      <c r="B1222" s="396"/>
      <c r="C1222" s="71"/>
      <c r="D1222" s="71"/>
      <c r="F1222" s="71"/>
      <c r="G1222" s="71"/>
      <c r="H1222" s="71"/>
      <c r="I1222" s="73"/>
    </row>
    <row r="1223" spans="2:9" ht="15">
      <c r="B1223" s="396"/>
      <c r="C1223" s="71"/>
      <c r="D1223" s="71"/>
      <c r="F1223" s="71"/>
      <c r="G1223" s="71"/>
      <c r="H1223" s="71"/>
      <c r="I1223" s="73"/>
    </row>
    <row r="1224" spans="2:9" ht="15">
      <c r="B1224" s="396"/>
      <c r="C1224" s="71"/>
      <c r="D1224" s="71"/>
      <c r="F1224" s="71"/>
      <c r="G1224" s="71"/>
      <c r="H1224" s="71"/>
      <c r="I1224" s="73"/>
    </row>
    <row r="1225" spans="2:9" ht="15">
      <c r="B1225" s="396"/>
      <c r="C1225" s="71"/>
      <c r="D1225" s="71"/>
      <c r="F1225" s="71"/>
      <c r="G1225" s="71"/>
      <c r="H1225" s="71"/>
      <c r="I1225" s="73"/>
    </row>
    <row r="1226" spans="2:9" ht="15">
      <c r="B1226" s="396"/>
      <c r="C1226" s="71"/>
      <c r="D1226" s="71"/>
      <c r="F1226" s="71"/>
      <c r="G1226" s="71"/>
      <c r="H1226" s="71"/>
      <c r="I1226" s="73"/>
    </row>
    <row r="1227" spans="2:9" ht="15">
      <c r="B1227" s="396"/>
      <c r="C1227" s="71"/>
      <c r="D1227" s="71"/>
      <c r="F1227" s="71"/>
      <c r="G1227" s="71"/>
      <c r="H1227" s="71"/>
      <c r="I1227" s="73"/>
    </row>
    <row r="1228" spans="2:9" ht="15">
      <c r="B1228" s="396"/>
      <c r="C1228" s="71"/>
      <c r="D1228" s="71"/>
      <c r="F1228" s="71"/>
      <c r="G1228" s="71"/>
      <c r="H1228" s="71"/>
      <c r="I1228" s="73"/>
    </row>
    <row r="1229" spans="2:9" ht="15">
      <c r="B1229" s="396"/>
      <c r="C1229" s="71"/>
      <c r="D1229" s="71"/>
      <c r="F1229" s="71"/>
      <c r="G1229" s="71"/>
      <c r="H1229" s="71"/>
      <c r="I1229" s="73"/>
    </row>
    <row r="1230" spans="2:9" ht="15">
      <c r="B1230" s="396"/>
      <c r="C1230" s="71"/>
      <c r="D1230" s="71"/>
      <c r="F1230" s="71"/>
      <c r="G1230" s="71"/>
      <c r="H1230" s="71"/>
      <c r="I1230" s="73"/>
    </row>
    <row r="1231" spans="2:9" ht="15">
      <c r="B1231" s="396"/>
      <c r="C1231" s="71"/>
      <c r="D1231" s="71"/>
      <c r="F1231" s="71"/>
      <c r="G1231" s="71"/>
      <c r="H1231" s="71"/>
      <c r="I1231" s="73"/>
    </row>
    <row r="1232" spans="2:9" ht="15">
      <c r="B1232" s="396"/>
      <c r="C1232" s="71"/>
      <c r="D1232" s="71"/>
      <c r="F1232" s="71"/>
      <c r="G1232" s="71"/>
      <c r="H1232" s="71"/>
      <c r="I1232" s="73"/>
    </row>
    <row r="1233" spans="2:9" ht="15">
      <c r="B1233" s="396"/>
      <c r="C1233" s="71"/>
      <c r="D1233" s="71"/>
      <c r="F1233" s="71"/>
      <c r="G1233" s="71"/>
      <c r="H1233" s="71"/>
      <c r="I1233" s="73"/>
    </row>
    <row r="1234" spans="2:9" ht="15">
      <c r="B1234" s="396"/>
      <c r="C1234" s="71"/>
      <c r="D1234" s="71"/>
      <c r="F1234" s="71"/>
      <c r="G1234" s="71"/>
      <c r="H1234" s="71"/>
      <c r="I1234" s="73"/>
    </row>
    <row r="1235" spans="2:9" ht="15">
      <c r="B1235" s="396"/>
      <c r="C1235" s="71"/>
      <c r="D1235" s="71"/>
      <c r="F1235" s="71"/>
      <c r="G1235" s="71"/>
      <c r="H1235" s="71"/>
      <c r="I1235" s="73"/>
    </row>
    <row r="1236" spans="2:9" ht="15">
      <c r="B1236" s="396"/>
      <c r="C1236" s="71"/>
      <c r="D1236" s="71"/>
      <c r="F1236" s="71"/>
      <c r="G1236" s="71"/>
      <c r="H1236" s="71"/>
      <c r="I1236" s="73"/>
    </row>
    <row r="1237" spans="2:9" ht="15">
      <c r="B1237" s="396"/>
      <c r="C1237" s="71"/>
      <c r="D1237" s="71"/>
      <c r="F1237" s="71"/>
      <c r="G1237" s="71"/>
      <c r="H1237" s="71"/>
      <c r="I1237" s="73"/>
    </row>
    <row r="1238" spans="2:9" ht="15">
      <c r="B1238" s="396"/>
      <c r="C1238" s="71"/>
      <c r="D1238" s="71"/>
      <c r="F1238" s="71"/>
      <c r="G1238" s="71"/>
      <c r="H1238" s="71"/>
      <c r="I1238" s="73"/>
    </row>
    <row r="1239" spans="2:9" ht="15">
      <c r="B1239" s="396"/>
      <c r="C1239" s="71"/>
      <c r="D1239" s="71"/>
      <c r="F1239" s="71"/>
      <c r="G1239" s="71"/>
      <c r="H1239" s="71"/>
      <c r="I1239" s="73"/>
    </row>
    <row r="1240" spans="2:9" ht="15">
      <c r="B1240" s="396"/>
      <c r="C1240" s="71"/>
      <c r="D1240" s="71"/>
      <c r="F1240" s="71"/>
      <c r="G1240" s="71"/>
      <c r="H1240" s="71"/>
      <c r="I1240" s="73"/>
    </row>
    <row r="1241" spans="2:9" ht="15">
      <c r="B1241" s="396"/>
      <c r="C1241" s="71"/>
      <c r="D1241" s="71"/>
      <c r="F1241" s="71"/>
      <c r="G1241" s="71"/>
      <c r="H1241" s="71"/>
      <c r="I1241" s="73"/>
    </row>
    <row r="1242" spans="2:9" ht="15">
      <c r="B1242" s="396"/>
      <c r="C1242" s="71"/>
      <c r="D1242" s="71"/>
      <c r="F1242" s="71"/>
      <c r="G1242" s="71"/>
      <c r="H1242" s="71"/>
      <c r="I1242" s="73"/>
    </row>
    <row r="1243" spans="2:9" ht="15">
      <c r="B1243" s="396"/>
      <c r="C1243" s="71"/>
      <c r="D1243" s="71"/>
      <c r="F1243" s="71"/>
      <c r="G1243" s="71"/>
      <c r="H1243" s="71"/>
      <c r="I1243" s="73"/>
    </row>
    <row r="1244" spans="2:9" ht="15">
      <c r="B1244" s="396"/>
      <c r="C1244" s="71"/>
      <c r="D1244" s="71"/>
      <c r="F1244" s="71"/>
      <c r="G1244" s="71"/>
      <c r="H1244" s="71"/>
      <c r="I1244" s="73"/>
    </row>
    <row r="1245" spans="2:9" ht="15">
      <c r="B1245" s="396"/>
      <c r="C1245" s="71"/>
      <c r="D1245" s="71"/>
      <c r="F1245" s="71"/>
      <c r="G1245" s="71"/>
      <c r="H1245" s="71"/>
      <c r="I1245" s="73"/>
    </row>
    <row r="1246" spans="2:9" ht="15">
      <c r="B1246" s="396"/>
      <c r="C1246" s="71"/>
      <c r="D1246" s="71"/>
      <c r="F1246" s="71"/>
      <c r="G1246" s="71"/>
      <c r="H1246" s="71"/>
      <c r="I1246" s="73"/>
    </row>
    <row r="1247" spans="2:9" ht="15">
      <c r="B1247" s="396"/>
      <c r="C1247" s="71"/>
      <c r="D1247" s="71"/>
      <c r="F1247" s="71"/>
      <c r="G1247" s="71"/>
      <c r="H1247" s="71"/>
      <c r="I1247" s="73"/>
    </row>
    <row r="1248" spans="2:9" ht="15">
      <c r="B1248" s="396"/>
      <c r="C1248" s="71"/>
      <c r="D1248" s="71"/>
      <c r="F1248" s="71"/>
      <c r="G1248" s="71"/>
      <c r="H1248" s="71"/>
      <c r="I1248" s="73"/>
    </row>
    <row r="1249" spans="2:9" ht="15">
      <c r="B1249" s="396"/>
      <c r="C1249" s="71"/>
      <c r="D1249" s="71"/>
      <c r="F1249" s="71"/>
      <c r="G1249" s="71"/>
      <c r="H1249" s="71"/>
      <c r="I1249" s="73"/>
    </row>
    <row r="1250" spans="2:9" ht="15">
      <c r="B1250" s="396"/>
      <c r="C1250" s="71"/>
      <c r="D1250" s="71"/>
      <c r="F1250" s="71"/>
      <c r="G1250" s="71"/>
      <c r="H1250" s="71"/>
      <c r="I1250" s="73"/>
    </row>
    <row r="1251" spans="2:9" ht="15">
      <c r="B1251" s="396"/>
      <c r="C1251" s="71"/>
      <c r="D1251" s="71"/>
      <c r="F1251" s="71"/>
      <c r="G1251" s="71"/>
      <c r="H1251" s="71"/>
      <c r="I1251" s="73"/>
    </row>
    <row r="1252" spans="2:9" ht="15">
      <c r="B1252" s="396"/>
      <c r="C1252" s="71"/>
      <c r="D1252" s="71"/>
      <c r="F1252" s="71"/>
      <c r="G1252" s="71"/>
      <c r="H1252" s="71"/>
      <c r="I1252" s="73"/>
    </row>
    <row r="1253" spans="2:9" ht="15">
      <c r="B1253" s="396"/>
      <c r="C1253" s="71"/>
      <c r="D1253" s="71"/>
      <c r="F1253" s="71"/>
      <c r="G1253" s="71"/>
      <c r="H1253" s="71"/>
      <c r="I1253" s="73"/>
    </row>
    <row r="1254" spans="2:9" ht="15">
      <c r="B1254" s="396"/>
      <c r="C1254" s="71"/>
      <c r="D1254" s="71"/>
      <c r="F1254" s="71"/>
      <c r="G1254" s="71"/>
      <c r="H1254" s="71"/>
      <c r="I1254" s="73"/>
    </row>
    <row r="1255" spans="2:9" ht="15">
      <c r="B1255" s="396"/>
      <c r="C1255" s="71"/>
      <c r="D1255" s="71"/>
      <c r="F1255" s="71"/>
      <c r="G1255" s="71"/>
      <c r="H1255" s="71"/>
      <c r="I1255" s="73"/>
    </row>
    <row r="1256" spans="2:9" ht="15">
      <c r="B1256" s="396"/>
      <c r="C1256" s="71"/>
      <c r="D1256" s="71"/>
      <c r="F1256" s="71"/>
      <c r="G1256" s="71"/>
      <c r="H1256" s="71"/>
      <c r="I1256" s="73"/>
    </row>
    <row r="1257" spans="2:9" ht="15">
      <c r="B1257" s="396"/>
      <c r="C1257" s="71"/>
      <c r="D1257" s="71"/>
      <c r="F1257" s="71"/>
      <c r="G1257" s="71"/>
      <c r="H1257" s="71"/>
      <c r="I1257" s="73"/>
    </row>
    <row r="1258" spans="2:9" ht="15">
      <c r="B1258" s="396"/>
      <c r="C1258" s="71"/>
      <c r="D1258" s="71"/>
      <c r="F1258" s="71"/>
      <c r="G1258" s="71"/>
      <c r="H1258" s="71"/>
      <c r="I1258" s="73"/>
    </row>
    <row r="1259" spans="2:9" ht="15">
      <c r="B1259" s="396"/>
      <c r="C1259" s="71"/>
      <c r="D1259" s="71"/>
      <c r="F1259" s="71"/>
      <c r="G1259" s="71"/>
      <c r="H1259" s="71"/>
      <c r="I1259" s="73"/>
    </row>
    <row r="1260" spans="2:9" ht="15">
      <c r="B1260" s="396"/>
      <c r="C1260" s="71"/>
      <c r="D1260" s="71"/>
      <c r="F1260" s="71"/>
      <c r="G1260" s="71"/>
      <c r="H1260" s="71"/>
      <c r="I1260" s="73"/>
    </row>
    <row r="1261" spans="2:9" ht="15">
      <c r="B1261" s="396"/>
      <c r="C1261" s="71"/>
      <c r="D1261" s="71"/>
      <c r="F1261" s="71"/>
      <c r="G1261" s="71"/>
      <c r="H1261" s="71"/>
      <c r="I1261" s="73"/>
    </row>
    <row r="1262" spans="2:9" ht="15">
      <c r="B1262" s="396"/>
      <c r="C1262" s="71"/>
      <c r="D1262" s="71"/>
      <c r="F1262" s="71"/>
      <c r="G1262" s="71"/>
      <c r="H1262" s="71"/>
      <c r="I1262" s="73"/>
    </row>
    <row r="1263" spans="2:9" ht="15">
      <c r="B1263" s="396"/>
      <c r="C1263" s="71"/>
      <c r="D1263" s="71"/>
      <c r="F1263" s="71"/>
      <c r="G1263" s="71"/>
      <c r="H1263" s="71"/>
      <c r="I1263" s="73"/>
    </row>
    <row r="1264" spans="2:9" ht="15">
      <c r="B1264" s="396"/>
      <c r="C1264" s="71"/>
      <c r="D1264" s="71"/>
      <c r="F1264" s="71"/>
      <c r="G1264" s="71"/>
      <c r="H1264" s="71"/>
      <c r="I1264" s="73"/>
    </row>
    <row r="1265" spans="2:9" ht="15">
      <c r="B1265" s="396"/>
      <c r="C1265" s="71"/>
      <c r="D1265" s="71"/>
      <c r="F1265" s="71"/>
      <c r="G1265" s="71"/>
      <c r="H1265" s="71"/>
      <c r="I1265" s="73"/>
    </row>
    <row r="1266" spans="2:9" ht="15">
      <c r="B1266" s="396"/>
      <c r="C1266" s="71"/>
      <c r="D1266" s="71"/>
      <c r="F1266" s="71"/>
      <c r="G1266" s="71"/>
      <c r="H1266" s="71"/>
      <c r="I1266" s="73"/>
    </row>
    <row r="1267" spans="2:9" ht="15">
      <c r="B1267" s="396"/>
      <c r="C1267" s="71"/>
      <c r="D1267" s="71"/>
      <c r="F1267" s="71"/>
      <c r="G1267" s="71"/>
      <c r="H1267" s="71"/>
      <c r="I1267" s="73"/>
    </row>
    <row r="1268" spans="2:9" ht="15">
      <c r="B1268" s="396"/>
      <c r="C1268" s="71"/>
      <c r="D1268" s="71"/>
      <c r="F1268" s="71"/>
      <c r="G1268" s="71"/>
      <c r="H1268" s="71"/>
      <c r="I1268" s="73"/>
    </row>
    <row r="1269" spans="2:9" ht="15">
      <c r="B1269" s="396"/>
      <c r="C1269" s="71"/>
      <c r="D1269" s="71"/>
      <c r="F1269" s="71"/>
      <c r="G1269" s="71"/>
      <c r="H1269" s="71"/>
      <c r="I1269" s="73"/>
    </row>
    <row r="1270" spans="2:9" ht="15">
      <c r="B1270" s="396"/>
      <c r="C1270" s="71"/>
      <c r="D1270" s="71"/>
      <c r="F1270" s="71"/>
      <c r="G1270" s="71"/>
      <c r="H1270" s="71"/>
      <c r="I1270" s="73"/>
    </row>
    <row r="1271" spans="2:9" ht="15">
      <c r="B1271" s="396"/>
      <c r="C1271" s="71"/>
      <c r="D1271" s="71"/>
      <c r="F1271" s="71"/>
      <c r="G1271" s="71"/>
      <c r="H1271" s="71"/>
      <c r="I1271" s="73"/>
    </row>
    <row r="1272" spans="2:9" ht="15">
      <c r="B1272" s="396"/>
      <c r="C1272" s="71"/>
      <c r="D1272" s="71"/>
      <c r="F1272" s="71"/>
      <c r="G1272" s="71"/>
      <c r="H1272" s="71"/>
      <c r="I1272" s="73"/>
    </row>
    <row r="1273" spans="2:9" ht="15">
      <c r="B1273" s="396"/>
      <c r="C1273" s="71"/>
      <c r="D1273" s="71"/>
      <c r="F1273" s="71"/>
      <c r="G1273" s="71"/>
      <c r="H1273" s="71"/>
      <c r="I1273" s="73"/>
    </row>
    <row r="1274" spans="2:9" ht="15">
      <c r="B1274" s="396"/>
      <c r="C1274" s="71"/>
      <c r="D1274" s="71"/>
      <c r="F1274" s="71"/>
      <c r="G1274" s="71"/>
      <c r="H1274" s="71"/>
      <c r="I1274" s="73"/>
    </row>
    <row r="1275" spans="2:9" ht="15">
      <c r="B1275" s="396"/>
      <c r="C1275" s="71"/>
      <c r="D1275" s="71"/>
      <c r="F1275" s="71"/>
      <c r="G1275" s="71"/>
      <c r="H1275" s="71"/>
      <c r="I1275" s="73"/>
    </row>
    <row r="1276" spans="2:9" ht="15">
      <c r="B1276" s="396"/>
      <c r="C1276" s="71"/>
      <c r="D1276" s="71"/>
      <c r="F1276" s="71"/>
      <c r="G1276" s="71"/>
      <c r="H1276" s="71"/>
      <c r="I1276" s="73"/>
    </row>
    <row r="1277" spans="2:9" ht="15">
      <c r="B1277" s="396"/>
      <c r="C1277" s="71"/>
      <c r="D1277" s="71"/>
      <c r="F1277" s="71"/>
      <c r="G1277" s="71"/>
      <c r="H1277" s="71"/>
      <c r="I1277" s="73"/>
    </row>
    <row r="1278" spans="2:9" ht="15">
      <c r="B1278" s="396"/>
      <c r="C1278" s="71"/>
      <c r="D1278" s="71"/>
      <c r="F1278" s="71"/>
      <c r="G1278" s="71"/>
      <c r="H1278" s="71"/>
      <c r="I1278" s="73"/>
    </row>
    <row r="1279" spans="2:9" ht="15">
      <c r="B1279" s="396"/>
      <c r="C1279" s="71"/>
      <c r="D1279" s="71"/>
      <c r="F1279" s="71"/>
      <c r="G1279" s="71"/>
      <c r="H1279" s="71"/>
      <c r="I1279" s="73"/>
    </row>
    <row r="1280" spans="2:9" ht="15">
      <c r="B1280" s="396"/>
      <c r="C1280" s="71"/>
      <c r="D1280" s="71"/>
      <c r="F1280" s="71"/>
      <c r="G1280" s="71"/>
      <c r="H1280" s="71"/>
      <c r="I1280" s="73"/>
    </row>
    <row r="1281" spans="2:9" ht="15">
      <c r="B1281" s="396"/>
      <c r="C1281" s="71"/>
      <c r="D1281" s="71"/>
      <c r="F1281" s="71"/>
      <c r="G1281" s="71"/>
      <c r="H1281" s="71"/>
      <c r="I1281" s="73"/>
    </row>
    <row r="1282" spans="2:9" ht="15">
      <c r="B1282" s="396"/>
      <c r="C1282" s="71"/>
      <c r="D1282" s="71"/>
      <c r="F1282" s="71"/>
      <c r="G1282" s="71"/>
      <c r="H1282" s="71"/>
      <c r="I1282" s="73"/>
    </row>
    <row r="1283" spans="2:9" ht="15">
      <c r="B1283" s="396"/>
      <c r="C1283" s="71"/>
      <c r="D1283" s="71"/>
      <c r="F1283" s="71"/>
      <c r="G1283" s="71"/>
      <c r="H1283" s="71"/>
      <c r="I1283" s="73"/>
    </row>
    <row r="1284" spans="2:9" ht="15">
      <c r="B1284" s="396"/>
      <c r="C1284" s="71"/>
      <c r="D1284" s="71"/>
      <c r="F1284" s="71"/>
      <c r="G1284" s="71"/>
      <c r="H1284" s="71"/>
      <c r="I1284" s="73"/>
    </row>
    <row r="1285" spans="2:9" ht="15">
      <c r="B1285" s="396"/>
      <c r="C1285" s="71"/>
      <c r="D1285" s="71"/>
      <c r="F1285" s="71"/>
      <c r="G1285" s="71"/>
      <c r="H1285" s="71"/>
      <c r="I1285" s="73"/>
    </row>
    <row r="1286" spans="2:9" ht="15">
      <c r="B1286" s="396"/>
      <c r="C1286" s="71"/>
      <c r="D1286" s="71"/>
      <c r="F1286" s="71"/>
      <c r="G1286" s="71"/>
      <c r="H1286" s="71"/>
      <c r="I1286" s="73"/>
    </row>
    <row r="1287" spans="2:9" ht="15">
      <c r="B1287" s="396"/>
      <c r="C1287" s="71"/>
      <c r="D1287" s="71"/>
      <c r="F1287" s="71"/>
      <c r="G1287" s="71"/>
      <c r="H1287" s="71"/>
      <c r="I1287" s="73"/>
    </row>
    <row r="1288" spans="2:9" ht="15">
      <c r="B1288" s="396"/>
      <c r="C1288" s="71"/>
      <c r="D1288" s="71"/>
      <c r="F1288" s="71"/>
      <c r="G1288" s="71"/>
      <c r="H1288" s="71"/>
      <c r="I1288" s="73"/>
    </row>
    <row r="1289" spans="2:9" ht="15">
      <c r="B1289" s="396"/>
      <c r="C1289" s="71"/>
      <c r="D1289" s="71"/>
      <c r="F1289" s="71"/>
      <c r="G1289" s="71"/>
      <c r="H1289" s="71"/>
      <c r="I1289" s="73"/>
    </row>
    <row r="1290" spans="2:9" ht="15">
      <c r="B1290" s="396"/>
      <c r="C1290" s="71"/>
      <c r="D1290" s="71"/>
      <c r="F1290" s="71"/>
      <c r="G1290" s="71"/>
      <c r="H1290" s="71"/>
      <c r="I1290" s="73"/>
    </row>
    <row r="1291" spans="2:9" ht="15">
      <c r="B1291" s="396"/>
      <c r="C1291" s="71"/>
      <c r="D1291" s="71"/>
      <c r="F1291" s="71"/>
      <c r="G1291" s="71"/>
      <c r="H1291" s="71"/>
      <c r="I1291" s="73"/>
    </row>
    <row r="1292" spans="2:9" ht="15">
      <c r="B1292" s="396"/>
      <c r="C1292" s="71"/>
      <c r="D1292" s="71"/>
      <c r="F1292" s="71"/>
      <c r="G1292" s="71"/>
      <c r="H1292" s="71"/>
      <c r="I1292" s="73"/>
    </row>
    <row r="1293" spans="2:9" ht="15">
      <c r="B1293" s="396"/>
      <c r="C1293" s="71"/>
      <c r="D1293" s="71"/>
      <c r="F1293" s="71"/>
      <c r="G1293" s="71"/>
      <c r="H1293" s="71"/>
      <c r="I1293" s="73"/>
    </row>
    <row r="1294" spans="2:9" ht="15">
      <c r="B1294" s="396"/>
      <c r="C1294" s="71"/>
      <c r="D1294" s="71"/>
      <c r="F1294" s="71"/>
      <c r="G1294" s="71"/>
      <c r="H1294" s="71"/>
      <c r="I1294" s="73"/>
    </row>
    <row r="1295" spans="2:9" ht="15">
      <c r="B1295" s="396"/>
      <c r="C1295" s="71"/>
      <c r="D1295" s="71"/>
      <c r="F1295" s="71"/>
      <c r="G1295" s="71"/>
      <c r="H1295" s="71"/>
      <c r="I1295" s="73"/>
    </row>
    <row r="1296" spans="2:9" ht="15">
      <c r="B1296" s="396"/>
      <c r="C1296" s="71"/>
      <c r="D1296" s="71"/>
      <c r="F1296" s="71"/>
      <c r="G1296" s="71"/>
      <c r="H1296" s="71"/>
      <c r="I1296" s="73"/>
    </row>
    <row r="1297" spans="2:9" ht="15">
      <c r="B1297" s="396"/>
      <c r="C1297" s="71"/>
      <c r="D1297" s="71"/>
      <c r="F1297" s="71"/>
      <c r="G1297" s="71"/>
      <c r="H1297" s="71"/>
      <c r="I1297" s="73"/>
    </row>
    <row r="1298" spans="2:9" ht="15">
      <c r="B1298" s="396"/>
      <c r="C1298" s="71"/>
      <c r="D1298" s="71"/>
      <c r="F1298" s="71"/>
      <c r="G1298" s="71"/>
      <c r="H1298" s="71"/>
      <c r="I1298" s="73"/>
    </row>
    <row r="1299" spans="2:9" ht="15">
      <c r="B1299" s="396"/>
      <c r="C1299" s="71"/>
      <c r="D1299" s="71"/>
      <c r="F1299" s="71"/>
      <c r="G1299" s="71"/>
      <c r="H1299" s="71"/>
      <c r="I1299" s="73"/>
    </row>
    <row r="1300" spans="2:9" ht="15">
      <c r="B1300" s="396"/>
      <c r="C1300" s="71"/>
      <c r="D1300" s="71"/>
      <c r="F1300" s="71"/>
      <c r="G1300" s="71"/>
      <c r="H1300" s="71"/>
      <c r="I1300" s="73"/>
    </row>
    <row r="1301" spans="2:9" ht="15">
      <c r="B1301" s="396"/>
      <c r="C1301" s="71"/>
      <c r="D1301" s="71"/>
      <c r="F1301" s="71"/>
      <c r="G1301" s="71"/>
      <c r="H1301" s="71"/>
      <c r="I1301" s="73"/>
    </row>
    <row r="1302" spans="2:9" ht="15">
      <c r="B1302" s="396"/>
      <c r="C1302" s="71"/>
      <c r="D1302" s="71"/>
      <c r="F1302" s="71"/>
      <c r="G1302" s="71"/>
      <c r="H1302" s="71"/>
      <c r="I1302" s="73"/>
    </row>
    <row r="1303" spans="2:9" ht="15">
      <c r="B1303" s="396"/>
      <c r="C1303" s="71"/>
      <c r="D1303" s="71"/>
      <c r="F1303" s="71"/>
      <c r="G1303" s="71"/>
      <c r="H1303" s="71"/>
      <c r="I1303" s="73"/>
    </row>
    <row r="1304" spans="2:9" ht="15">
      <c r="B1304" s="396"/>
      <c r="C1304" s="71"/>
      <c r="D1304" s="71"/>
      <c r="F1304" s="71"/>
      <c r="G1304" s="71"/>
      <c r="H1304" s="71"/>
      <c r="I1304" s="73"/>
    </row>
    <row r="1305" spans="2:9" ht="15">
      <c r="B1305" s="396"/>
      <c r="C1305" s="71"/>
      <c r="D1305" s="71"/>
      <c r="F1305" s="71"/>
      <c r="G1305" s="71"/>
      <c r="H1305" s="71"/>
      <c r="I1305" s="73"/>
    </row>
    <row r="1306" spans="2:9" ht="15">
      <c r="B1306" s="396"/>
      <c r="C1306" s="71"/>
      <c r="D1306" s="71"/>
      <c r="F1306" s="71"/>
      <c r="G1306" s="71"/>
      <c r="H1306" s="71"/>
      <c r="I1306" s="73"/>
    </row>
    <row r="1307" spans="2:9" ht="15">
      <c r="B1307" s="396"/>
      <c r="C1307" s="71"/>
      <c r="D1307" s="71"/>
      <c r="F1307" s="71"/>
      <c r="G1307" s="71"/>
      <c r="H1307" s="71"/>
      <c r="I1307" s="73"/>
    </row>
    <row r="1308" spans="2:9" ht="15">
      <c r="B1308" s="396"/>
      <c r="C1308" s="71"/>
      <c r="D1308" s="71"/>
      <c r="F1308" s="71"/>
      <c r="G1308" s="71"/>
      <c r="H1308" s="71"/>
      <c r="I1308" s="73"/>
    </row>
    <row r="1309" spans="2:9" ht="15">
      <c r="B1309" s="396"/>
      <c r="C1309" s="71"/>
      <c r="D1309" s="71"/>
      <c r="F1309" s="71"/>
      <c r="G1309" s="71"/>
      <c r="H1309" s="71"/>
      <c r="I1309" s="73"/>
    </row>
    <row r="1310" spans="2:9" ht="15">
      <c r="B1310" s="396"/>
      <c r="C1310" s="71"/>
      <c r="D1310" s="71"/>
      <c r="F1310" s="71"/>
      <c r="G1310" s="71"/>
      <c r="H1310" s="71"/>
      <c r="I1310" s="73"/>
    </row>
    <row r="1311" spans="2:9" ht="15">
      <c r="B1311" s="396"/>
      <c r="C1311" s="71"/>
      <c r="D1311" s="71"/>
      <c r="F1311" s="71"/>
      <c r="G1311" s="71"/>
      <c r="H1311" s="71"/>
      <c r="I1311" s="73"/>
    </row>
    <row r="1312" spans="2:9" ht="15">
      <c r="B1312" s="396"/>
      <c r="C1312" s="71"/>
      <c r="D1312" s="71"/>
      <c r="F1312" s="71"/>
      <c r="G1312" s="71"/>
      <c r="H1312" s="71"/>
      <c r="I1312" s="73"/>
    </row>
    <row r="1313" spans="2:9" ht="15">
      <c r="B1313" s="396"/>
      <c r="C1313" s="71"/>
      <c r="D1313" s="71"/>
      <c r="F1313" s="71"/>
      <c r="G1313" s="71"/>
      <c r="H1313" s="71"/>
      <c r="I1313" s="73"/>
    </row>
    <row r="1314" spans="2:9" ht="15">
      <c r="B1314" s="396"/>
      <c r="C1314" s="71"/>
      <c r="D1314" s="71"/>
      <c r="F1314" s="71"/>
      <c r="G1314" s="71"/>
      <c r="H1314" s="71"/>
      <c r="I1314" s="73"/>
    </row>
    <row r="1315" spans="2:9" ht="15">
      <c r="B1315" s="396"/>
      <c r="C1315" s="71"/>
      <c r="D1315" s="71"/>
      <c r="F1315" s="71"/>
      <c r="G1315" s="71"/>
      <c r="H1315" s="71"/>
      <c r="I1315" s="73"/>
    </row>
    <row r="1316" spans="2:9" ht="15">
      <c r="B1316" s="396"/>
      <c r="C1316" s="71"/>
      <c r="D1316" s="71"/>
      <c r="F1316" s="71"/>
      <c r="G1316" s="71"/>
      <c r="H1316" s="71"/>
      <c r="I1316" s="73"/>
    </row>
    <row r="1317" spans="2:9" ht="15">
      <c r="B1317" s="396"/>
      <c r="C1317" s="71"/>
      <c r="D1317" s="71"/>
      <c r="F1317" s="71"/>
      <c r="G1317" s="71"/>
      <c r="H1317" s="71"/>
      <c r="I1317" s="73"/>
    </row>
    <row r="1318" spans="2:9" ht="15">
      <c r="B1318" s="396"/>
      <c r="C1318" s="71"/>
      <c r="D1318" s="71"/>
      <c r="F1318" s="71"/>
      <c r="G1318" s="71"/>
      <c r="H1318" s="71"/>
      <c r="I1318" s="73"/>
    </row>
    <row r="1319" spans="2:9" ht="15">
      <c r="B1319" s="396"/>
      <c r="C1319" s="71"/>
      <c r="D1319" s="71"/>
      <c r="F1319" s="71"/>
      <c r="G1319" s="71"/>
      <c r="H1319" s="71"/>
      <c r="I1319" s="73"/>
    </row>
    <row r="1320" spans="2:9" ht="15">
      <c r="B1320" s="396"/>
      <c r="C1320" s="71"/>
      <c r="D1320" s="71"/>
      <c r="F1320" s="71"/>
      <c r="G1320" s="71"/>
      <c r="H1320" s="71"/>
      <c r="I1320" s="73"/>
    </row>
    <row r="1321" spans="2:9" ht="15">
      <c r="B1321" s="396"/>
      <c r="C1321" s="71"/>
      <c r="D1321" s="71"/>
      <c r="F1321" s="71"/>
      <c r="G1321" s="71"/>
      <c r="H1321" s="71"/>
      <c r="I1321" s="73"/>
    </row>
    <row r="1322" spans="2:9" ht="15">
      <c r="B1322" s="396"/>
      <c r="C1322" s="71"/>
      <c r="D1322" s="71"/>
      <c r="F1322" s="71"/>
      <c r="G1322" s="71"/>
      <c r="H1322" s="71"/>
      <c r="I1322" s="73"/>
    </row>
    <row r="1323" spans="2:9" ht="15">
      <c r="B1323" s="396"/>
      <c r="C1323" s="71"/>
      <c r="D1323" s="71"/>
      <c r="F1323" s="71"/>
      <c r="G1323" s="71"/>
      <c r="H1323" s="71"/>
      <c r="I1323" s="73"/>
    </row>
    <row r="1324" spans="2:9" ht="15">
      <c r="B1324" s="396"/>
      <c r="C1324" s="71"/>
      <c r="D1324" s="71"/>
      <c r="F1324" s="71"/>
      <c r="G1324" s="71"/>
      <c r="H1324" s="71"/>
      <c r="I1324" s="73"/>
    </row>
    <row r="1325" spans="2:9" ht="15">
      <c r="B1325" s="396"/>
      <c r="C1325" s="71"/>
      <c r="D1325" s="71"/>
      <c r="F1325" s="71"/>
      <c r="G1325" s="71"/>
      <c r="H1325" s="71"/>
      <c r="I1325" s="73"/>
    </row>
    <row r="1326" spans="2:9" ht="15">
      <c r="B1326" s="396"/>
      <c r="C1326" s="71"/>
      <c r="D1326" s="71"/>
      <c r="F1326" s="71"/>
      <c r="G1326" s="71"/>
      <c r="H1326" s="71"/>
      <c r="I1326" s="73"/>
    </row>
    <row r="1327" spans="2:9" ht="15">
      <c r="B1327" s="396"/>
      <c r="C1327" s="71"/>
      <c r="D1327" s="71"/>
      <c r="F1327" s="71"/>
      <c r="G1327" s="71"/>
      <c r="H1327" s="71"/>
      <c r="I1327" s="73"/>
    </row>
    <row r="1328" spans="2:9" ht="15">
      <c r="B1328" s="396"/>
      <c r="C1328" s="71"/>
      <c r="D1328" s="71"/>
      <c r="F1328" s="71"/>
      <c r="G1328" s="71"/>
      <c r="H1328" s="71"/>
      <c r="I1328" s="73"/>
    </row>
    <row r="1329" spans="2:9" ht="15">
      <c r="B1329" s="396"/>
      <c r="C1329" s="71"/>
      <c r="D1329" s="71"/>
      <c r="F1329" s="71"/>
      <c r="G1329" s="71"/>
      <c r="H1329" s="71"/>
      <c r="I1329" s="73"/>
    </row>
    <row r="1330" spans="2:9" ht="15">
      <c r="B1330" s="396"/>
      <c r="C1330" s="71"/>
      <c r="D1330" s="71"/>
      <c r="F1330" s="71"/>
      <c r="G1330" s="71"/>
      <c r="H1330" s="71"/>
      <c r="I1330" s="73"/>
    </row>
    <row r="1331" spans="2:9" ht="15">
      <c r="B1331" s="396"/>
      <c r="C1331" s="71"/>
      <c r="D1331" s="71"/>
      <c r="F1331" s="71"/>
      <c r="G1331" s="71"/>
      <c r="H1331" s="71"/>
      <c r="I1331" s="73"/>
    </row>
    <row r="1332" spans="2:9" ht="15">
      <c r="B1332" s="396"/>
      <c r="C1332" s="71"/>
      <c r="D1332" s="71"/>
      <c r="F1332" s="71"/>
      <c r="G1332" s="71"/>
      <c r="H1332" s="71"/>
      <c r="I1332" s="73"/>
    </row>
    <row r="1333" spans="2:9" ht="15">
      <c r="B1333" s="396"/>
      <c r="C1333" s="71"/>
      <c r="D1333" s="71"/>
      <c r="F1333" s="71"/>
      <c r="G1333" s="71"/>
      <c r="H1333" s="71"/>
      <c r="I1333" s="73"/>
    </row>
    <row r="1334" spans="2:9" ht="15">
      <c r="B1334" s="396"/>
      <c r="C1334" s="71"/>
      <c r="D1334" s="71"/>
      <c r="F1334" s="71"/>
      <c r="G1334" s="71"/>
      <c r="H1334" s="71"/>
      <c r="I1334" s="73"/>
    </row>
    <row r="1335" spans="2:9" ht="15">
      <c r="B1335" s="396"/>
      <c r="C1335" s="71"/>
      <c r="D1335" s="71"/>
      <c r="F1335" s="71"/>
      <c r="G1335" s="71"/>
      <c r="H1335" s="71"/>
      <c r="I1335" s="73"/>
    </row>
    <row r="1336" spans="2:9" ht="15">
      <c r="B1336" s="396"/>
      <c r="C1336" s="71"/>
      <c r="D1336" s="71"/>
      <c r="F1336" s="71"/>
      <c r="G1336" s="71"/>
      <c r="H1336" s="71"/>
      <c r="I1336" s="73"/>
    </row>
    <row r="1337" spans="2:9" ht="15">
      <c r="B1337" s="396"/>
      <c r="C1337" s="71"/>
      <c r="D1337" s="71"/>
      <c r="F1337" s="71"/>
      <c r="G1337" s="71"/>
      <c r="H1337" s="71"/>
      <c r="I1337" s="73"/>
    </row>
    <row r="1338" spans="2:9" ht="15">
      <c r="B1338" s="396"/>
      <c r="C1338" s="71"/>
      <c r="D1338" s="71"/>
      <c r="F1338" s="71"/>
      <c r="G1338" s="71"/>
      <c r="H1338" s="71"/>
      <c r="I1338" s="73"/>
    </row>
    <row r="1339" spans="2:9" ht="15">
      <c r="B1339" s="396"/>
      <c r="C1339" s="71"/>
      <c r="D1339" s="71"/>
      <c r="F1339" s="71"/>
      <c r="G1339" s="71"/>
      <c r="H1339" s="71"/>
      <c r="I1339" s="73"/>
    </row>
    <row r="1340" spans="2:9" ht="15">
      <c r="B1340" s="396"/>
      <c r="C1340" s="71"/>
      <c r="D1340" s="71"/>
      <c r="F1340" s="71"/>
      <c r="G1340" s="71"/>
      <c r="H1340" s="71"/>
      <c r="I1340" s="73"/>
    </row>
    <row r="1341" spans="2:9" ht="15">
      <c r="B1341" s="396"/>
      <c r="C1341" s="71"/>
      <c r="D1341" s="71"/>
      <c r="F1341" s="71"/>
      <c r="G1341" s="71"/>
      <c r="H1341" s="71"/>
      <c r="I1341" s="73"/>
    </row>
    <row r="1342" spans="2:9" ht="15">
      <c r="B1342" s="396"/>
      <c r="C1342" s="71"/>
      <c r="D1342" s="71"/>
      <c r="F1342" s="71"/>
      <c r="G1342" s="71"/>
      <c r="H1342" s="71"/>
      <c r="I1342" s="73"/>
    </row>
    <row r="1343" spans="2:9" ht="15">
      <c r="B1343" s="396"/>
      <c r="C1343" s="71"/>
      <c r="D1343" s="71"/>
      <c r="F1343" s="71"/>
      <c r="G1343" s="71"/>
      <c r="H1343" s="71"/>
      <c r="I1343" s="73"/>
    </row>
    <row r="1344" spans="2:9" ht="15">
      <c r="B1344" s="396"/>
      <c r="C1344" s="71"/>
      <c r="D1344" s="71"/>
      <c r="F1344" s="71"/>
      <c r="G1344" s="71"/>
      <c r="H1344" s="71"/>
      <c r="I1344" s="73"/>
    </row>
    <row r="1345" spans="2:9" ht="15">
      <c r="B1345" s="396"/>
      <c r="C1345" s="71"/>
      <c r="D1345" s="71"/>
      <c r="F1345" s="71"/>
      <c r="G1345" s="71"/>
      <c r="H1345" s="71"/>
      <c r="I1345" s="73"/>
    </row>
    <row r="1346" spans="2:9" ht="15">
      <c r="B1346" s="396"/>
      <c r="C1346" s="71"/>
      <c r="D1346" s="71"/>
      <c r="F1346" s="71"/>
      <c r="G1346" s="71"/>
      <c r="H1346" s="71"/>
      <c r="I1346" s="73"/>
    </row>
    <row r="1347" spans="2:9" ht="15">
      <c r="B1347" s="396"/>
      <c r="C1347" s="71"/>
      <c r="D1347" s="71"/>
      <c r="F1347" s="71"/>
      <c r="G1347" s="71"/>
      <c r="H1347" s="71"/>
      <c r="I1347" s="73"/>
    </row>
    <row r="1348" spans="2:9" ht="15">
      <c r="B1348" s="396"/>
      <c r="C1348" s="71"/>
      <c r="D1348" s="71"/>
      <c r="F1348" s="71"/>
      <c r="G1348" s="71"/>
      <c r="H1348" s="71"/>
      <c r="I1348" s="73"/>
    </row>
    <row r="1349" spans="2:9" ht="15">
      <c r="B1349" s="396"/>
      <c r="C1349" s="71"/>
      <c r="D1349" s="71"/>
      <c r="F1349" s="71"/>
      <c r="G1349" s="71"/>
      <c r="H1349" s="71"/>
      <c r="I1349" s="73"/>
    </row>
    <row r="1350" spans="2:9" ht="15">
      <c r="B1350" s="396"/>
      <c r="C1350" s="71"/>
      <c r="D1350" s="71"/>
      <c r="F1350" s="71"/>
      <c r="G1350" s="71"/>
      <c r="H1350" s="71"/>
      <c r="I1350" s="73"/>
    </row>
    <row r="1351" spans="2:9" ht="15">
      <c r="B1351" s="396"/>
      <c r="C1351" s="71"/>
      <c r="D1351" s="71"/>
      <c r="F1351" s="71"/>
      <c r="G1351" s="71"/>
      <c r="H1351" s="71"/>
      <c r="I1351" s="73"/>
    </row>
    <row r="1352" spans="2:9" ht="15">
      <c r="B1352" s="396"/>
      <c r="C1352" s="71"/>
      <c r="D1352" s="71"/>
      <c r="F1352" s="71"/>
      <c r="G1352" s="71"/>
      <c r="H1352" s="71"/>
      <c r="I1352" s="73"/>
    </row>
    <row r="1353" spans="2:9" ht="15">
      <c r="B1353" s="396"/>
      <c r="C1353" s="71"/>
      <c r="D1353" s="71"/>
      <c r="F1353" s="71"/>
      <c r="G1353" s="71"/>
      <c r="H1353" s="71"/>
      <c r="I1353" s="73"/>
    </row>
    <row r="1354" spans="2:9" ht="15">
      <c r="B1354" s="396"/>
      <c r="C1354" s="71"/>
      <c r="D1354" s="71"/>
      <c r="F1354" s="71"/>
      <c r="G1354" s="71"/>
      <c r="H1354" s="71"/>
      <c r="I1354" s="73"/>
    </row>
    <row r="1355" spans="2:9" ht="15">
      <c r="B1355" s="396"/>
      <c r="C1355" s="71"/>
      <c r="D1355" s="71"/>
      <c r="F1355" s="71"/>
      <c r="G1355" s="71"/>
      <c r="H1355" s="71"/>
      <c r="I1355" s="73"/>
    </row>
    <row r="1356" spans="2:9" ht="15">
      <c r="B1356" s="396"/>
      <c r="C1356" s="71"/>
      <c r="D1356" s="71"/>
      <c r="F1356" s="71"/>
      <c r="G1356" s="71"/>
      <c r="H1356" s="71"/>
      <c r="I1356" s="73"/>
    </row>
    <row r="1357" spans="2:9" ht="15">
      <c r="B1357" s="396"/>
      <c r="C1357" s="71"/>
      <c r="D1357" s="71"/>
      <c r="F1357" s="71"/>
      <c r="G1357" s="71"/>
      <c r="H1357" s="71"/>
      <c r="I1357" s="73"/>
    </row>
    <row r="1358" spans="2:9" ht="15">
      <c r="B1358" s="396"/>
      <c r="C1358" s="71"/>
      <c r="D1358" s="71"/>
      <c r="F1358" s="71"/>
      <c r="G1358" s="71"/>
      <c r="H1358" s="71"/>
      <c r="I1358" s="73"/>
    </row>
    <row r="1359" spans="2:9" ht="15">
      <c r="B1359" s="396"/>
      <c r="C1359" s="71"/>
      <c r="D1359" s="71"/>
      <c r="F1359" s="71"/>
      <c r="G1359" s="71"/>
      <c r="H1359" s="71"/>
      <c r="I1359" s="73"/>
    </row>
    <row r="1360" spans="2:9" ht="15">
      <c r="B1360" s="396"/>
      <c r="C1360" s="71"/>
      <c r="D1360" s="71"/>
      <c r="F1360" s="71"/>
      <c r="G1360" s="71"/>
      <c r="H1360" s="71"/>
      <c r="I1360" s="73"/>
    </row>
    <row r="1361" spans="2:9" ht="15">
      <c r="B1361" s="396"/>
      <c r="C1361" s="71"/>
      <c r="D1361" s="71"/>
      <c r="F1361" s="71"/>
      <c r="G1361" s="71"/>
      <c r="H1361" s="71"/>
      <c r="I1361" s="73"/>
    </row>
    <row r="1362" spans="2:9" ht="15">
      <c r="B1362" s="396"/>
      <c r="C1362" s="71"/>
      <c r="D1362" s="71"/>
      <c r="F1362" s="71"/>
      <c r="G1362" s="71"/>
      <c r="H1362" s="71"/>
      <c r="I1362" s="73"/>
    </row>
    <row r="1363" spans="2:9" ht="15">
      <c r="B1363" s="396"/>
      <c r="C1363" s="71"/>
      <c r="D1363" s="71"/>
      <c r="F1363" s="71"/>
      <c r="G1363" s="71"/>
      <c r="H1363" s="71"/>
      <c r="I1363" s="73"/>
    </row>
    <row r="1364" spans="2:9" ht="15">
      <c r="B1364" s="396"/>
      <c r="C1364" s="71"/>
      <c r="D1364" s="71"/>
      <c r="F1364" s="71"/>
      <c r="G1364" s="71"/>
      <c r="H1364" s="71"/>
      <c r="I1364" s="73"/>
    </row>
    <row r="1365" spans="2:9" ht="15">
      <c r="B1365" s="396"/>
      <c r="C1365" s="71"/>
      <c r="D1365" s="71"/>
      <c r="F1365" s="71"/>
      <c r="G1365" s="71"/>
      <c r="H1365" s="71"/>
      <c r="I1365" s="73"/>
    </row>
    <row r="1366" spans="2:9" ht="15">
      <c r="B1366" s="396"/>
      <c r="C1366" s="71"/>
      <c r="D1366" s="71"/>
      <c r="F1366" s="71"/>
      <c r="G1366" s="71"/>
      <c r="H1366" s="71"/>
      <c r="I1366" s="73"/>
    </row>
    <row r="1367" spans="2:9" ht="15">
      <c r="B1367" s="396"/>
      <c r="C1367" s="71"/>
      <c r="D1367" s="71"/>
      <c r="F1367" s="71"/>
      <c r="G1367" s="71"/>
      <c r="H1367" s="71"/>
      <c r="I1367" s="73"/>
    </row>
    <row r="1368" spans="2:9" ht="15">
      <c r="B1368" s="396"/>
      <c r="C1368" s="71"/>
      <c r="D1368" s="71"/>
      <c r="F1368" s="71"/>
      <c r="G1368" s="71"/>
      <c r="H1368" s="71"/>
      <c r="I1368" s="73"/>
    </row>
    <row r="1369" spans="2:9" ht="15">
      <c r="B1369" s="396"/>
      <c r="C1369" s="71"/>
      <c r="D1369" s="71"/>
      <c r="F1369" s="71"/>
      <c r="G1369" s="71"/>
      <c r="H1369" s="71"/>
      <c r="I1369" s="73"/>
    </row>
    <row r="1370" spans="2:9" ht="15">
      <c r="B1370" s="396"/>
      <c r="C1370" s="71"/>
      <c r="D1370" s="71"/>
      <c r="F1370" s="71"/>
      <c r="G1370" s="71"/>
      <c r="H1370" s="71"/>
      <c r="I1370" s="73"/>
    </row>
    <row r="1371" spans="2:9" ht="15">
      <c r="B1371" s="396"/>
      <c r="C1371" s="71"/>
      <c r="D1371" s="71"/>
      <c r="F1371" s="71"/>
      <c r="G1371" s="71"/>
      <c r="H1371" s="71"/>
      <c r="I1371" s="73"/>
    </row>
    <row r="1372" spans="2:9" ht="15">
      <c r="B1372" s="396"/>
      <c r="C1372" s="71"/>
      <c r="D1372" s="71"/>
      <c r="F1372" s="71"/>
      <c r="G1372" s="71"/>
      <c r="H1372" s="71"/>
      <c r="I1372" s="73"/>
    </row>
    <row r="1373" spans="2:9" ht="15">
      <c r="B1373" s="396"/>
      <c r="C1373" s="71"/>
      <c r="D1373" s="71"/>
      <c r="F1373" s="71"/>
      <c r="G1373" s="71"/>
      <c r="H1373" s="71"/>
      <c r="I1373" s="73"/>
    </row>
    <row r="1374" spans="2:9" ht="15">
      <c r="B1374" s="396"/>
      <c r="C1374" s="71"/>
      <c r="D1374" s="71"/>
      <c r="F1374" s="71"/>
      <c r="G1374" s="71"/>
      <c r="H1374" s="71"/>
      <c r="I1374" s="73"/>
    </row>
    <row r="1375" spans="2:9" ht="15">
      <c r="B1375" s="396"/>
      <c r="C1375" s="71"/>
      <c r="D1375" s="71"/>
      <c r="F1375" s="71"/>
      <c r="G1375" s="71"/>
      <c r="H1375" s="71"/>
      <c r="I1375" s="73"/>
    </row>
    <row r="1376" spans="2:9" ht="15">
      <c r="B1376" s="396"/>
      <c r="C1376" s="71"/>
      <c r="D1376" s="71"/>
      <c r="F1376" s="71"/>
      <c r="G1376" s="71"/>
      <c r="H1376" s="71"/>
      <c r="I1376" s="73"/>
    </row>
    <row r="1377" spans="2:9" ht="15">
      <c r="B1377" s="396"/>
      <c r="C1377" s="71"/>
      <c r="D1377" s="71"/>
      <c r="F1377" s="71"/>
      <c r="G1377" s="71"/>
      <c r="H1377" s="71"/>
      <c r="I1377" s="73"/>
    </row>
    <row r="1378" spans="2:9" ht="15">
      <c r="B1378" s="396"/>
      <c r="C1378" s="71"/>
      <c r="D1378" s="71"/>
      <c r="F1378" s="71"/>
      <c r="G1378" s="71"/>
      <c r="H1378" s="71"/>
      <c r="I1378" s="73"/>
    </row>
    <row r="1379" spans="2:9" ht="15">
      <c r="B1379" s="396"/>
      <c r="C1379" s="71"/>
      <c r="D1379" s="71"/>
      <c r="F1379" s="71"/>
      <c r="G1379" s="71"/>
      <c r="H1379" s="71"/>
      <c r="I1379" s="73"/>
    </row>
    <row r="1380" spans="2:9" ht="15">
      <c r="B1380" s="396"/>
      <c r="C1380" s="71"/>
      <c r="D1380" s="71"/>
      <c r="F1380" s="71"/>
      <c r="G1380" s="71"/>
      <c r="H1380" s="71"/>
      <c r="I1380" s="73"/>
    </row>
    <row r="1381" spans="2:9" ht="15">
      <c r="B1381" s="396"/>
      <c r="C1381" s="71"/>
      <c r="D1381" s="71"/>
      <c r="F1381" s="71"/>
      <c r="G1381" s="71"/>
      <c r="H1381" s="71"/>
      <c r="I1381" s="73"/>
    </row>
    <row r="1382" spans="2:9" ht="15">
      <c r="B1382" s="396"/>
      <c r="C1382" s="71"/>
      <c r="D1382" s="71"/>
      <c r="F1382" s="71"/>
      <c r="G1382" s="71"/>
      <c r="H1382" s="71"/>
      <c r="I1382" s="73"/>
    </row>
    <row r="1383" spans="2:9" ht="15">
      <c r="B1383" s="396"/>
      <c r="C1383" s="71"/>
      <c r="D1383" s="71"/>
      <c r="F1383" s="71"/>
      <c r="G1383" s="71"/>
      <c r="H1383" s="71"/>
      <c r="I1383" s="73"/>
    </row>
    <row r="1384" spans="2:9" ht="15">
      <c r="B1384" s="396"/>
      <c r="C1384" s="71"/>
      <c r="D1384" s="71"/>
      <c r="F1384" s="71"/>
      <c r="G1384" s="71"/>
      <c r="H1384" s="71"/>
      <c r="I1384" s="73"/>
    </row>
    <row r="1385" spans="2:9" ht="15">
      <c r="B1385" s="396"/>
      <c r="C1385" s="71"/>
      <c r="D1385" s="71"/>
      <c r="F1385" s="71"/>
      <c r="G1385" s="71"/>
      <c r="H1385" s="71"/>
      <c r="I1385" s="73"/>
    </row>
    <row r="1386" spans="2:9" ht="15">
      <c r="B1386" s="396"/>
      <c r="C1386" s="71"/>
      <c r="D1386" s="71"/>
      <c r="F1386" s="71"/>
      <c r="G1386" s="71"/>
      <c r="H1386" s="71"/>
      <c r="I1386" s="73"/>
    </row>
    <row r="1387" spans="2:9" ht="15">
      <c r="B1387" s="396"/>
      <c r="C1387" s="71"/>
      <c r="D1387" s="71"/>
      <c r="F1387" s="71"/>
      <c r="G1387" s="71"/>
      <c r="H1387" s="71"/>
      <c r="I1387" s="73"/>
    </row>
    <row r="1388" spans="2:9" ht="15">
      <c r="B1388" s="396"/>
      <c r="C1388" s="71"/>
      <c r="D1388" s="71"/>
      <c r="F1388" s="71"/>
      <c r="G1388" s="71"/>
      <c r="H1388" s="71"/>
      <c r="I1388" s="73"/>
    </row>
    <row r="1389" spans="2:9" ht="15">
      <c r="B1389" s="396"/>
      <c r="C1389" s="71"/>
      <c r="D1389" s="71"/>
      <c r="F1389" s="71"/>
      <c r="G1389" s="71"/>
      <c r="H1389" s="71"/>
      <c r="I1389" s="73"/>
    </row>
    <row r="1390" spans="2:9" ht="15">
      <c r="B1390" s="396"/>
      <c r="C1390" s="71"/>
      <c r="D1390" s="71"/>
      <c r="F1390" s="71"/>
      <c r="G1390" s="71"/>
      <c r="H1390" s="71"/>
      <c r="I1390" s="73"/>
    </row>
    <row r="1391" spans="2:9" ht="15">
      <c r="B1391" s="396"/>
      <c r="C1391" s="71"/>
      <c r="D1391" s="71"/>
      <c r="F1391" s="71"/>
      <c r="G1391" s="71"/>
      <c r="H1391" s="71"/>
      <c r="I1391" s="73"/>
    </row>
    <row r="1392" spans="2:9" ht="15">
      <c r="B1392" s="396"/>
      <c r="C1392" s="71"/>
      <c r="D1392" s="71"/>
      <c r="F1392" s="71"/>
      <c r="G1392" s="71"/>
      <c r="H1392" s="71"/>
      <c r="I1392" s="73"/>
    </row>
    <row r="1393" spans="2:9" ht="15">
      <c r="B1393" s="396"/>
      <c r="C1393" s="71"/>
      <c r="D1393" s="71"/>
      <c r="F1393" s="71"/>
      <c r="G1393" s="71"/>
      <c r="H1393" s="71"/>
      <c r="I1393" s="73"/>
    </row>
    <row r="1394" spans="2:9" ht="15">
      <c r="B1394" s="396"/>
      <c r="C1394" s="71"/>
      <c r="D1394" s="71"/>
      <c r="F1394" s="71"/>
      <c r="G1394" s="71"/>
      <c r="H1394" s="71"/>
      <c r="I1394" s="73"/>
    </row>
    <row r="1395" spans="2:9" ht="15">
      <c r="B1395" s="396"/>
      <c r="C1395" s="71"/>
      <c r="D1395" s="71"/>
      <c r="F1395" s="71"/>
      <c r="G1395" s="71"/>
      <c r="H1395" s="71"/>
      <c r="I1395" s="73"/>
    </row>
    <row r="1396" spans="2:9" ht="15">
      <c r="B1396" s="396"/>
      <c r="C1396" s="71"/>
      <c r="D1396" s="71"/>
      <c r="F1396" s="71"/>
      <c r="G1396" s="71"/>
      <c r="H1396" s="71"/>
      <c r="I1396" s="73"/>
    </row>
    <row r="1397" spans="2:9" ht="15">
      <c r="B1397" s="396"/>
      <c r="C1397" s="71"/>
      <c r="D1397" s="71"/>
      <c r="F1397" s="71"/>
      <c r="G1397" s="71"/>
      <c r="H1397" s="71"/>
      <c r="I1397" s="73"/>
    </row>
    <row r="1398" spans="2:9" ht="15">
      <c r="B1398" s="396"/>
      <c r="C1398" s="71"/>
      <c r="D1398" s="71"/>
      <c r="F1398" s="71"/>
      <c r="G1398" s="71"/>
      <c r="H1398" s="71"/>
      <c r="I1398" s="73"/>
    </row>
    <row r="1399" spans="2:9" ht="15">
      <c r="B1399" s="396"/>
      <c r="C1399" s="71"/>
      <c r="D1399" s="71"/>
      <c r="F1399" s="71"/>
      <c r="G1399" s="71"/>
      <c r="H1399" s="71"/>
      <c r="I1399" s="73"/>
    </row>
    <row r="1400" spans="2:9" ht="15">
      <c r="B1400" s="396"/>
      <c r="C1400" s="71"/>
      <c r="D1400" s="71"/>
      <c r="F1400" s="71"/>
      <c r="G1400" s="71"/>
      <c r="H1400" s="71"/>
      <c r="I1400" s="73"/>
    </row>
    <row r="1401" spans="2:9" ht="15">
      <c r="B1401" s="396"/>
      <c r="C1401" s="71"/>
      <c r="D1401" s="71"/>
      <c r="F1401" s="71"/>
      <c r="G1401" s="71"/>
      <c r="H1401" s="71"/>
      <c r="I1401" s="73"/>
    </row>
    <row r="1402" spans="2:9" ht="15">
      <c r="B1402" s="396"/>
      <c r="C1402" s="71"/>
      <c r="D1402" s="71"/>
      <c r="F1402" s="71"/>
      <c r="G1402" s="71"/>
      <c r="H1402" s="71"/>
      <c r="I1402" s="73"/>
    </row>
    <row r="1403" spans="2:9" ht="15">
      <c r="B1403" s="396"/>
      <c r="C1403" s="71"/>
      <c r="D1403" s="71"/>
      <c r="F1403" s="71"/>
      <c r="G1403" s="71"/>
      <c r="H1403" s="71"/>
      <c r="I1403" s="73"/>
    </row>
    <row r="1404" spans="2:9" ht="15">
      <c r="B1404" s="396"/>
      <c r="C1404" s="71"/>
      <c r="D1404" s="71"/>
      <c r="F1404" s="71"/>
      <c r="G1404" s="71"/>
      <c r="H1404" s="71"/>
      <c r="I1404" s="73"/>
    </row>
    <row r="1405" spans="2:9" ht="15">
      <c r="B1405" s="396"/>
      <c r="C1405" s="71"/>
      <c r="D1405" s="71"/>
      <c r="F1405" s="71"/>
      <c r="G1405" s="71"/>
      <c r="H1405" s="71"/>
      <c r="I1405" s="73"/>
    </row>
    <row r="1406" spans="2:9" ht="15">
      <c r="B1406" s="396"/>
      <c r="C1406" s="71"/>
      <c r="D1406" s="71"/>
      <c r="F1406" s="71"/>
      <c r="G1406" s="71"/>
      <c r="H1406" s="71"/>
      <c r="I1406" s="73"/>
    </row>
    <row r="1407" spans="2:9" ht="15">
      <c r="B1407" s="396"/>
      <c r="C1407" s="71"/>
      <c r="D1407" s="71"/>
      <c r="F1407" s="71"/>
      <c r="G1407" s="71"/>
      <c r="H1407" s="71"/>
      <c r="I1407" s="73"/>
    </row>
    <row r="1408" spans="2:9" ht="15">
      <c r="B1408" s="396"/>
      <c r="C1408" s="71"/>
      <c r="D1408" s="71"/>
      <c r="F1408" s="71"/>
      <c r="G1408" s="71"/>
      <c r="H1408" s="71"/>
      <c r="I1408" s="73"/>
    </row>
    <row r="1409" spans="2:9" ht="15">
      <c r="B1409" s="396"/>
      <c r="C1409" s="71"/>
      <c r="D1409" s="71"/>
      <c r="F1409" s="71"/>
      <c r="G1409" s="71"/>
      <c r="H1409" s="71"/>
      <c r="I1409" s="73"/>
    </row>
    <row r="1410" spans="2:9" ht="15">
      <c r="B1410" s="396"/>
      <c r="C1410" s="71"/>
      <c r="D1410" s="71"/>
      <c r="F1410" s="71"/>
      <c r="G1410" s="71"/>
      <c r="H1410" s="71"/>
      <c r="I1410" s="73"/>
    </row>
    <row r="1411" spans="2:9" ht="15">
      <c r="B1411" s="396"/>
      <c r="C1411" s="71"/>
      <c r="D1411" s="71"/>
      <c r="F1411" s="71"/>
      <c r="G1411" s="71"/>
      <c r="H1411" s="71"/>
      <c r="I1411" s="73"/>
    </row>
    <row r="1412" spans="2:9" ht="15">
      <c r="B1412" s="396"/>
      <c r="C1412" s="71"/>
      <c r="D1412" s="71"/>
      <c r="F1412" s="71"/>
      <c r="G1412" s="71"/>
      <c r="H1412" s="71"/>
      <c r="I1412" s="73"/>
    </row>
    <row r="1413" spans="2:9" ht="15">
      <c r="B1413" s="396"/>
      <c r="C1413" s="71"/>
      <c r="D1413" s="71"/>
      <c r="F1413" s="71"/>
      <c r="G1413" s="71"/>
      <c r="H1413" s="71"/>
      <c r="I1413" s="73"/>
    </row>
    <row r="1414" spans="2:9" ht="15">
      <c r="B1414" s="396"/>
      <c r="C1414" s="71"/>
      <c r="D1414" s="71"/>
      <c r="F1414" s="71"/>
      <c r="G1414" s="71"/>
      <c r="H1414" s="71"/>
      <c r="I1414" s="73"/>
    </row>
    <row r="1415" spans="2:9" ht="15">
      <c r="B1415" s="396"/>
      <c r="C1415" s="71"/>
      <c r="D1415" s="71"/>
      <c r="F1415" s="71"/>
      <c r="G1415" s="71"/>
      <c r="H1415" s="71"/>
      <c r="I1415" s="73"/>
    </row>
    <row r="1416" spans="2:9" ht="15">
      <c r="B1416" s="396"/>
      <c r="C1416" s="71"/>
      <c r="D1416" s="71"/>
      <c r="F1416" s="71"/>
      <c r="G1416" s="71"/>
      <c r="H1416" s="71"/>
      <c r="I1416" s="73"/>
    </row>
    <row r="1417" spans="2:9" ht="15">
      <c r="B1417" s="396"/>
      <c r="C1417" s="71"/>
      <c r="D1417" s="71"/>
      <c r="F1417" s="71"/>
      <c r="G1417" s="71"/>
      <c r="H1417" s="71"/>
      <c r="I1417" s="73"/>
    </row>
    <row r="1418" spans="2:9" ht="15">
      <c r="B1418" s="396"/>
      <c r="C1418" s="71"/>
      <c r="D1418" s="71"/>
      <c r="F1418" s="71"/>
      <c r="G1418" s="71"/>
      <c r="H1418" s="71"/>
      <c r="I1418" s="73"/>
    </row>
    <row r="1419" spans="2:9" ht="15">
      <c r="B1419" s="396"/>
      <c r="C1419" s="71"/>
      <c r="D1419" s="71"/>
      <c r="F1419" s="71"/>
      <c r="G1419" s="71"/>
      <c r="H1419" s="71"/>
      <c r="I1419" s="73"/>
    </row>
    <row r="1420" spans="2:9" ht="15">
      <c r="B1420" s="396"/>
      <c r="C1420" s="71"/>
      <c r="D1420" s="71"/>
      <c r="F1420" s="71"/>
      <c r="G1420" s="71"/>
      <c r="H1420" s="71"/>
      <c r="I1420" s="73"/>
    </row>
    <row r="1421" spans="2:9" ht="15">
      <c r="B1421" s="396"/>
      <c r="C1421" s="71"/>
      <c r="D1421" s="71"/>
      <c r="F1421" s="71"/>
      <c r="G1421" s="71"/>
      <c r="H1421" s="71"/>
      <c r="I1421" s="73"/>
    </row>
    <row r="1422" spans="2:9" ht="15">
      <c r="B1422" s="396"/>
      <c r="C1422" s="71"/>
      <c r="D1422" s="71"/>
      <c r="F1422" s="71"/>
      <c r="G1422" s="71"/>
      <c r="H1422" s="71"/>
      <c r="I1422" s="73"/>
    </row>
    <row r="1423" spans="2:9" ht="15">
      <c r="B1423" s="396"/>
      <c r="C1423" s="71"/>
      <c r="D1423" s="71"/>
      <c r="F1423" s="71"/>
      <c r="G1423" s="71"/>
      <c r="H1423" s="71"/>
      <c r="I1423" s="73"/>
    </row>
    <row r="1424" spans="2:9" ht="15">
      <c r="B1424" s="396"/>
      <c r="C1424" s="71"/>
      <c r="D1424" s="71"/>
      <c r="F1424" s="71"/>
      <c r="G1424" s="71"/>
      <c r="H1424" s="71"/>
      <c r="I1424" s="73"/>
    </row>
    <row r="1425" spans="2:9" ht="15">
      <c r="B1425" s="396"/>
      <c r="C1425" s="71"/>
      <c r="D1425" s="71"/>
      <c r="F1425" s="71"/>
      <c r="G1425" s="71"/>
      <c r="H1425" s="71"/>
      <c r="I1425" s="73"/>
    </row>
    <row r="1426" spans="2:9" ht="15">
      <c r="B1426" s="396"/>
      <c r="C1426" s="71"/>
      <c r="D1426" s="71"/>
      <c r="F1426" s="71"/>
      <c r="G1426" s="71"/>
      <c r="H1426" s="71"/>
      <c r="I1426" s="73"/>
    </row>
    <row r="1427" spans="2:9" ht="15">
      <c r="B1427" s="396"/>
      <c r="C1427" s="71"/>
      <c r="D1427" s="71"/>
      <c r="F1427" s="71"/>
      <c r="G1427" s="71"/>
      <c r="H1427" s="71"/>
      <c r="I1427" s="73"/>
    </row>
    <row r="1428" spans="2:9" ht="15">
      <c r="B1428" s="396"/>
      <c r="C1428" s="71"/>
      <c r="D1428" s="71"/>
      <c r="F1428" s="71"/>
      <c r="G1428" s="71"/>
      <c r="H1428" s="71"/>
      <c r="I1428" s="73"/>
    </row>
    <row r="1429" spans="2:9" ht="15">
      <c r="B1429" s="396"/>
      <c r="C1429" s="71"/>
      <c r="D1429" s="71"/>
      <c r="F1429" s="71"/>
      <c r="G1429" s="71"/>
      <c r="H1429" s="71"/>
      <c r="I1429" s="73"/>
    </row>
    <row r="1430" spans="2:9" ht="15">
      <c r="B1430" s="396"/>
      <c r="C1430" s="71"/>
      <c r="D1430" s="71"/>
      <c r="F1430" s="71"/>
      <c r="G1430" s="71"/>
      <c r="H1430" s="71"/>
      <c r="I1430" s="73"/>
    </row>
    <row r="1431" spans="2:9" ht="15">
      <c r="B1431" s="396"/>
      <c r="C1431" s="71"/>
      <c r="D1431" s="71"/>
      <c r="F1431" s="71"/>
      <c r="G1431" s="71"/>
      <c r="H1431" s="71"/>
      <c r="I1431" s="73"/>
    </row>
    <row r="1432" spans="2:9" ht="15">
      <c r="B1432" s="396"/>
      <c r="C1432" s="71"/>
      <c r="D1432" s="71"/>
      <c r="F1432" s="71"/>
      <c r="G1432" s="71"/>
      <c r="H1432" s="71"/>
      <c r="I1432" s="73"/>
    </row>
    <row r="1433" spans="2:9" ht="15">
      <c r="B1433" s="396"/>
      <c r="C1433" s="71"/>
      <c r="D1433" s="71"/>
      <c r="F1433" s="71"/>
      <c r="G1433" s="71"/>
      <c r="H1433" s="71"/>
      <c r="I1433" s="73"/>
    </row>
    <row r="1434" spans="2:9" ht="15">
      <c r="B1434" s="396"/>
      <c r="C1434" s="71"/>
      <c r="D1434" s="71"/>
      <c r="F1434" s="71"/>
      <c r="G1434" s="71"/>
      <c r="H1434" s="71"/>
      <c r="I1434" s="73"/>
    </row>
    <row r="1435" spans="2:9" ht="15">
      <c r="B1435" s="396"/>
      <c r="C1435" s="71"/>
      <c r="D1435" s="71"/>
      <c r="F1435" s="71"/>
      <c r="G1435" s="71"/>
      <c r="H1435" s="71"/>
      <c r="I1435" s="73"/>
    </row>
    <row r="1436" spans="2:9" ht="15">
      <c r="B1436" s="396"/>
      <c r="C1436" s="71"/>
      <c r="D1436" s="71"/>
      <c r="F1436" s="71"/>
      <c r="G1436" s="71"/>
      <c r="H1436" s="71"/>
      <c r="I1436" s="73"/>
    </row>
    <row r="1437" spans="2:9" ht="15">
      <c r="B1437" s="396"/>
      <c r="C1437" s="71"/>
      <c r="D1437" s="71"/>
      <c r="F1437" s="71"/>
      <c r="G1437" s="71"/>
      <c r="H1437" s="71"/>
      <c r="I1437" s="73"/>
    </row>
    <row r="1438" spans="2:9" ht="15">
      <c r="B1438" s="396"/>
      <c r="C1438" s="71"/>
      <c r="D1438" s="71"/>
      <c r="F1438" s="71"/>
      <c r="G1438" s="71"/>
      <c r="H1438" s="71"/>
      <c r="I1438" s="73"/>
    </row>
    <row r="1439" spans="2:9" ht="15">
      <c r="B1439" s="396"/>
      <c r="C1439" s="71"/>
      <c r="D1439" s="71"/>
      <c r="F1439" s="71"/>
      <c r="G1439" s="71"/>
      <c r="H1439" s="71"/>
      <c r="I1439" s="73"/>
    </row>
    <row r="1440" spans="2:9" ht="15">
      <c r="B1440" s="396"/>
      <c r="C1440" s="71"/>
      <c r="D1440" s="71"/>
      <c r="F1440" s="71"/>
      <c r="G1440" s="71"/>
      <c r="H1440" s="71"/>
      <c r="I1440" s="73"/>
    </row>
    <row r="1441" spans="2:9" ht="15">
      <c r="B1441" s="396"/>
      <c r="C1441" s="71"/>
      <c r="D1441" s="71"/>
      <c r="F1441" s="71"/>
      <c r="G1441" s="71"/>
      <c r="H1441" s="71"/>
      <c r="I1441" s="73"/>
    </row>
    <row r="1442" spans="2:9" ht="15">
      <c r="B1442" s="396"/>
      <c r="C1442" s="71"/>
      <c r="D1442" s="71"/>
      <c r="F1442" s="71"/>
      <c r="G1442" s="71"/>
      <c r="H1442" s="71"/>
      <c r="I1442" s="73"/>
    </row>
    <row r="1443" spans="2:9" ht="15">
      <c r="B1443" s="396"/>
      <c r="C1443" s="71"/>
      <c r="D1443" s="71"/>
      <c r="F1443" s="71"/>
      <c r="G1443" s="71"/>
      <c r="H1443" s="71"/>
      <c r="I1443" s="73"/>
    </row>
    <row r="1444" spans="2:9" ht="15">
      <c r="B1444" s="396"/>
      <c r="C1444" s="71"/>
      <c r="D1444" s="71"/>
      <c r="F1444" s="71"/>
      <c r="G1444" s="71"/>
      <c r="H1444" s="71"/>
      <c r="I1444" s="73"/>
    </row>
    <row r="1445" spans="2:9" ht="15">
      <c r="B1445" s="396"/>
      <c r="C1445" s="71"/>
      <c r="D1445" s="71"/>
      <c r="F1445" s="71"/>
      <c r="G1445" s="71"/>
      <c r="H1445" s="71"/>
      <c r="I1445" s="73"/>
    </row>
    <row r="1446" spans="2:9" ht="15">
      <c r="B1446" s="396"/>
      <c r="C1446" s="71"/>
      <c r="D1446" s="71"/>
      <c r="F1446" s="71"/>
      <c r="G1446" s="71"/>
      <c r="H1446" s="71"/>
      <c r="I1446" s="73"/>
    </row>
    <row r="1447" spans="2:9" ht="15">
      <c r="B1447" s="396"/>
      <c r="C1447" s="71"/>
      <c r="D1447" s="71"/>
      <c r="F1447" s="71"/>
      <c r="G1447" s="71"/>
      <c r="H1447" s="71"/>
      <c r="I1447" s="73"/>
    </row>
    <row r="1448" spans="2:9" ht="15">
      <c r="B1448" s="396"/>
      <c r="C1448" s="71"/>
      <c r="D1448" s="71"/>
      <c r="F1448" s="71"/>
      <c r="G1448" s="71"/>
      <c r="H1448" s="71"/>
      <c r="I1448" s="73"/>
    </row>
    <row r="1449" spans="2:9" ht="15">
      <c r="B1449" s="396"/>
      <c r="C1449" s="71"/>
      <c r="D1449" s="71"/>
      <c r="F1449" s="71"/>
      <c r="G1449" s="71"/>
      <c r="H1449" s="71"/>
      <c r="I1449" s="73"/>
    </row>
    <row r="1450" spans="2:9" ht="15">
      <c r="B1450" s="396"/>
      <c r="C1450" s="71"/>
      <c r="D1450" s="71"/>
      <c r="F1450" s="71"/>
      <c r="G1450" s="71"/>
      <c r="H1450" s="71"/>
      <c r="I1450" s="73"/>
    </row>
    <row r="1451" spans="2:9" ht="15">
      <c r="B1451" s="396"/>
      <c r="C1451" s="71"/>
      <c r="D1451" s="71"/>
      <c r="F1451" s="71"/>
      <c r="G1451" s="71"/>
      <c r="H1451" s="71"/>
      <c r="I1451" s="73"/>
    </row>
    <row r="1452" spans="2:9" ht="15">
      <c r="B1452" s="396"/>
      <c r="C1452" s="71"/>
      <c r="D1452" s="71"/>
      <c r="F1452" s="71"/>
      <c r="G1452" s="71"/>
      <c r="H1452" s="71"/>
      <c r="I1452" s="73"/>
    </row>
    <row r="1453" spans="2:9" ht="15">
      <c r="B1453" s="396"/>
      <c r="C1453" s="71"/>
      <c r="D1453" s="71"/>
      <c r="F1453" s="71"/>
      <c r="G1453" s="71"/>
      <c r="H1453" s="71"/>
      <c r="I1453" s="73"/>
    </row>
    <row r="1454" spans="2:9" ht="15">
      <c r="B1454" s="396"/>
      <c r="C1454" s="71"/>
      <c r="D1454" s="71"/>
      <c r="F1454" s="71"/>
      <c r="G1454" s="71"/>
      <c r="H1454" s="71"/>
      <c r="I1454" s="73"/>
    </row>
    <row r="1455" spans="2:9" ht="15">
      <c r="B1455" s="396"/>
      <c r="C1455" s="71"/>
      <c r="D1455" s="71"/>
      <c r="F1455" s="71"/>
      <c r="G1455" s="71"/>
      <c r="H1455" s="71"/>
      <c r="I1455" s="73"/>
    </row>
    <row r="1456" spans="2:9" ht="15">
      <c r="B1456" s="396"/>
      <c r="C1456" s="71"/>
      <c r="D1456" s="71"/>
      <c r="F1456" s="71"/>
      <c r="G1456" s="71"/>
      <c r="H1456" s="71"/>
      <c r="I1456" s="73"/>
    </row>
    <row r="1457" spans="2:9" ht="15">
      <c r="B1457" s="396"/>
      <c r="C1457" s="71"/>
      <c r="D1457" s="71"/>
      <c r="F1457" s="71"/>
      <c r="G1457" s="71"/>
      <c r="H1457" s="71"/>
      <c r="I1457" s="73"/>
    </row>
    <row r="1458" spans="2:9" ht="15">
      <c r="B1458" s="396"/>
      <c r="C1458" s="71"/>
      <c r="D1458" s="71"/>
      <c r="F1458" s="71"/>
      <c r="G1458" s="71"/>
      <c r="H1458" s="71"/>
      <c r="I1458" s="73"/>
    </row>
    <row r="1459" spans="2:9" ht="15">
      <c r="B1459" s="396"/>
      <c r="C1459" s="71"/>
      <c r="D1459" s="71"/>
      <c r="F1459" s="71"/>
      <c r="G1459" s="71"/>
      <c r="H1459" s="71"/>
      <c r="I1459" s="73"/>
    </row>
    <row r="1460" spans="2:9" ht="15">
      <c r="B1460" s="396"/>
      <c r="C1460" s="71"/>
      <c r="D1460" s="71"/>
      <c r="F1460" s="71"/>
      <c r="G1460" s="71"/>
      <c r="H1460" s="71"/>
      <c r="I1460" s="73"/>
    </row>
    <row r="1461" spans="2:9" ht="15">
      <c r="B1461" s="396"/>
      <c r="C1461" s="71"/>
      <c r="D1461" s="71"/>
      <c r="F1461" s="71"/>
      <c r="G1461" s="71"/>
      <c r="H1461" s="71"/>
      <c r="I1461" s="73"/>
    </row>
    <row r="1462" spans="2:9" ht="15">
      <c r="B1462" s="396"/>
      <c r="C1462" s="71"/>
      <c r="D1462" s="71"/>
      <c r="F1462" s="71"/>
      <c r="G1462" s="71"/>
      <c r="H1462" s="71"/>
      <c r="I1462" s="73"/>
    </row>
    <row r="1463" spans="2:9" ht="15">
      <c r="B1463" s="396"/>
      <c r="C1463" s="71"/>
      <c r="D1463" s="71"/>
      <c r="F1463" s="71"/>
      <c r="G1463" s="71"/>
      <c r="H1463" s="71"/>
      <c r="I1463" s="73"/>
    </row>
    <row r="1464" spans="2:9" ht="15">
      <c r="B1464" s="396"/>
      <c r="C1464" s="71"/>
      <c r="D1464" s="71"/>
      <c r="F1464" s="71"/>
      <c r="G1464" s="71"/>
      <c r="H1464" s="71"/>
      <c r="I1464" s="73"/>
    </row>
    <row r="1465" spans="2:9" ht="15">
      <c r="B1465" s="396"/>
      <c r="C1465" s="71"/>
      <c r="D1465" s="71"/>
      <c r="F1465" s="71"/>
      <c r="G1465" s="71"/>
      <c r="H1465" s="71"/>
      <c r="I1465" s="73"/>
    </row>
    <row r="1466" spans="2:9" ht="15">
      <c r="B1466" s="396"/>
      <c r="C1466" s="71"/>
      <c r="D1466" s="71"/>
      <c r="F1466" s="71"/>
      <c r="G1466" s="71"/>
      <c r="H1466" s="71"/>
      <c r="I1466" s="73"/>
    </row>
    <row r="1467" spans="2:9" ht="15">
      <c r="B1467" s="396"/>
      <c r="C1467" s="71"/>
      <c r="D1467" s="71"/>
      <c r="F1467" s="71"/>
      <c r="G1467" s="71"/>
      <c r="H1467" s="71"/>
      <c r="I1467" s="73"/>
    </row>
    <row r="1468" spans="2:9" ht="15">
      <c r="B1468" s="396"/>
      <c r="C1468" s="71"/>
      <c r="D1468" s="71"/>
      <c r="F1468" s="71"/>
      <c r="G1468" s="71"/>
      <c r="H1468" s="71"/>
      <c r="I1468" s="73"/>
    </row>
    <row r="1469" spans="2:9" ht="15">
      <c r="B1469" s="396"/>
      <c r="C1469" s="71"/>
      <c r="D1469" s="71"/>
      <c r="F1469" s="71"/>
      <c r="G1469" s="71"/>
      <c r="H1469" s="71"/>
      <c r="I1469" s="73"/>
    </row>
    <row r="1470" spans="2:9" ht="15">
      <c r="B1470" s="396"/>
      <c r="C1470" s="71"/>
      <c r="D1470" s="71"/>
      <c r="F1470" s="71"/>
      <c r="G1470" s="71"/>
      <c r="H1470" s="71"/>
      <c r="I1470" s="73"/>
    </row>
    <row r="1471" spans="2:9" ht="15">
      <c r="B1471" s="396"/>
      <c r="C1471" s="71"/>
      <c r="D1471" s="71"/>
      <c r="F1471" s="71"/>
      <c r="G1471" s="71"/>
      <c r="H1471" s="71"/>
      <c r="I1471" s="73"/>
    </row>
    <row r="1472" spans="2:9" ht="15">
      <c r="B1472" s="396"/>
      <c r="C1472" s="71"/>
      <c r="D1472" s="71"/>
      <c r="F1472" s="71"/>
      <c r="G1472" s="71"/>
      <c r="H1472" s="71"/>
      <c r="I1472" s="73"/>
    </row>
    <row r="1473" spans="2:9" ht="15">
      <c r="B1473" s="396"/>
      <c r="C1473" s="71"/>
      <c r="D1473" s="71"/>
      <c r="F1473" s="71"/>
      <c r="G1473" s="71"/>
      <c r="H1473" s="71"/>
      <c r="I1473" s="73"/>
    </row>
    <row r="1474" spans="2:9" ht="15">
      <c r="B1474" s="396"/>
      <c r="C1474" s="71"/>
      <c r="D1474" s="71"/>
      <c r="F1474" s="71"/>
      <c r="G1474" s="71"/>
      <c r="H1474" s="71"/>
      <c r="I1474" s="73"/>
    </row>
    <row r="1475" spans="2:9" ht="15">
      <c r="B1475" s="396"/>
      <c r="C1475" s="71"/>
      <c r="D1475" s="71"/>
      <c r="F1475" s="71"/>
      <c r="G1475" s="71"/>
      <c r="H1475" s="71"/>
      <c r="I1475" s="73"/>
    </row>
    <row r="1476" spans="2:9" ht="15">
      <c r="B1476" s="396"/>
      <c r="C1476" s="71"/>
      <c r="D1476" s="71"/>
      <c r="F1476" s="71"/>
      <c r="G1476" s="71"/>
      <c r="H1476" s="71"/>
      <c r="I1476" s="73"/>
    </row>
    <row r="1477" spans="2:9" ht="15">
      <c r="B1477" s="396"/>
      <c r="C1477" s="71"/>
      <c r="D1477" s="71"/>
      <c r="F1477" s="71"/>
      <c r="G1477" s="71"/>
      <c r="H1477" s="71"/>
      <c r="I1477" s="73"/>
    </row>
    <row r="1478" spans="2:9" ht="15">
      <c r="B1478" s="396"/>
      <c r="C1478" s="71"/>
      <c r="D1478" s="71"/>
      <c r="F1478" s="71"/>
      <c r="G1478" s="71"/>
      <c r="H1478" s="71"/>
      <c r="I1478" s="73"/>
    </row>
    <row r="1479" spans="2:9" ht="15">
      <c r="B1479" s="396"/>
      <c r="C1479" s="71"/>
      <c r="D1479" s="71"/>
      <c r="F1479" s="71"/>
      <c r="G1479" s="71"/>
      <c r="H1479" s="71"/>
      <c r="I1479" s="73"/>
    </row>
    <row r="1480" spans="2:9" ht="15">
      <c r="B1480" s="396"/>
      <c r="C1480" s="71"/>
      <c r="D1480" s="71"/>
      <c r="F1480" s="71"/>
      <c r="G1480" s="71"/>
      <c r="H1480" s="71"/>
      <c r="I1480" s="73"/>
    </row>
    <row r="1481" spans="2:9" ht="15">
      <c r="B1481" s="396"/>
      <c r="C1481" s="71"/>
      <c r="D1481" s="71"/>
      <c r="F1481" s="71"/>
      <c r="G1481" s="71"/>
      <c r="H1481" s="71"/>
      <c r="I1481" s="73"/>
    </row>
    <row r="1482" spans="2:9" ht="15">
      <c r="B1482" s="396"/>
      <c r="C1482" s="71"/>
      <c r="D1482" s="71"/>
      <c r="F1482" s="71"/>
      <c r="G1482" s="71"/>
      <c r="H1482" s="71"/>
      <c r="I1482" s="73"/>
    </row>
    <row r="1483" spans="2:9" ht="15">
      <c r="B1483" s="396"/>
      <c r="C1483" s="71"/>
      <c r="D1483" s="71"/>
      <c r="F1483" s="71"/>
      <c r="G1483" s="71"/>
      <c r="H1483" s="71"/>
      <c r="I1483" s="73"/>
    </row>
    <row r="1484" spans="2:9" ht="15">
      <c r="B1484" s="396"/>
      <c r="C1484" s="71"/>
      <c r="D1484" s="71"/>
      <c r="F1484" s="71"/>
      <c r="G1484" s="71"/>
      <c r="H1484" s="71"/>
      <c r="I1484" s="73"/>
    </row>
    <row r="1485" spans="2:9" ht="15">
      <c r="B1485" s="396"/>
      <c r="C1485" s="71"/>
      <c r="D1485" s="71"/>
      <c r="F1485" s="71"/>
      <c r="G1485" s="71"/>
      <c r="H1485" s="71"/>
      <c r="I1485" s="73"/>
    </row>
    <row r="1486" spans="2:9" ht="15">
      <c r="B1486" s="396"/>
      <c r="C1486" s="71"/>
      <c r="D1486" s="71"/>
      <c r="F1486" s="71"/>
      <c r="G1486" s="71"/>
      <c r="H1486" s="71"/>
      <c r="I1486" s="73"/>
    </row>
    <row r="1487" spans="2:9" ht="15">
      <c r="B1487" s="396"/>
      <c r="C1487" s="71"/>
      <c r="D1487" s="71"/>
      <c r="F1487" s="71"/>
      <c r="G1487" s="71"/>
      <c r="H1487" s="71"/>
      <c r="I1487" s="73"/>
    </row>
    <row r="1488" spans="2:9" ht="15">
      <c r="B1488" s="396"/>
      <c r="C1488" s="71"/>
      <c r="D1488" s="71"/>
      <c r="F1488" s="71"/>
      <c r="G1488" s="71"/>
      <c r="H1488" s="71"/>
      <c r="I1488" s="73"/>
    </row>
    <row r="1489" spans="2:9" ht="15">
      <c r="B1489" s="396"/>
      <c r="C1489" s="71"/>
      <c r="D1489" s="71"/>
      <c r="F1489" s="71"/>
      <c r="G1489" s="71"/>
      <c r="H1489" s="71"/>
      <c r="I1489" s="73"/>
    </row>
    <row r="1490" spans="2:9" ht="15">
      <c r="B1490" s="396"/>
      <c r="C1490" s="71"/>
      <c r="D1490" s="71"/>
      <c r="F1490" s="71"/>
      <c r="G1490" s="71"/>
      <c r="H1490" s="71"/>
      <c r="I1490" s="73"/>
    </row>
    <row r="1491" spans="2:9" ht="15">
      <c r="B1491" s="396"/>
      <c r="C1491" s="71"/>
      <c r="D1491" s="71"/>
      <c r="F1491" s="71"/>
      <c r="G1491" s="71"/>
      <c r="H1491" s="71"/>
      <c r="I1491" s="73"/>
    </row>
    <row r="1492" spans="2:9" ht="15">
      <c r="B1492" s="396"/>
      <c r="C1492" s="71"/>
      <c r="D1492" s="71"/>
      <c r="F1492" s="71"/>
      <c r="G1492" s="71"/>
      <c r="H1492" s="71"/>
      <c r="I1492" s="73"/>
    </row>
    <row r="1493" spans="2:9" ht="15">
      <c r="B1493" s="396"/>
      <c r="C1493" s="71"/>
      <c r="D1493" s="71"/>
      <c r="F1493" s="71"/>
      <c r="G1493" s="71"/>
      <c r="H1493" s="71"/>
      <c r="I1493" s="73"/>
    </row>
    <row r="1494" spans="2:9" ht="15">
      <c r="B1494" s="396"/>
      <c r="C1494" s="71"/>
      <c r="D1494" s="71"/>
      <c r="F1494" s="71"/>
      <c r="G1494" s="71"/>
      <c r="H1494" s="71"/>
      <c r="I1494" s="73"/>
    </row>
    <row r="1495" spans="2:9" ht="15">
      <c r="B1495" s="396"/>
      <c r="C1495" s="71"/>
      <c r="D1495" s="71"/>
      <c r="F1495" s="71"/>
      <c r="G1495" s="71"/>
      <c r="H1495" s="71"/>
      <c r="I1495" s="73"/>
    </row>
    <row r="1496" spans="2:9" ht="15">
      <c r="B1496" s="396"/>
      <c r="C1496" s="71"/>
      <c r="D1496" s="71"/>
      <c r="F1496" s="71"/>
      <c r="G1496" s="71"/>
      <c r="H1496" s="71"/>
      <c r="I1496" s="73"/>
    </row>
    <row r="1497" spans="2:9" ht="15">
      <c r="B1497" s="396"/>
      <c r="C1497" s="71"/>
      <c r="D1497" s="71"/>
      <c r="F1497" s="71"/>
      <c r="G1497" s="71"/>
      <c r="H1497" s="71"/>
      <c r="I1497" s="73"/>
    </row>
    <row r="1498" spans="2:9" ht="15">
      <c r="B1498" s="396"/>
      <c r="C1498" s="71"/>
      <c r="D1498" s="71"/>
      <c r="F1498" s="71"/>
      <c r="G1498" s="71"/>
      <c r="H1498" s="71"/>
      <c r="I1498" s="73"/>
    </row>
    <row r="1499" spans="2:9" ht="15">
      <c r="B1499" s="396"/>
      <c r="C1499" s="71"/>
      <c r="D1499" s="71"/>
      <c r="F1499" s="71"/>
      <c r="G1499" s="71"/>
      <c r="H1499" s="71"/>
      <c r="I1499" s="73"/>
    </row>
    <row r="1500" spans="2:9" ht="15">
      <c r="B1500" s="396"/>
      <c r="C1500" s="71"/>
      <c r="D1500" s="71"/>
      <c r="F1500" s="71"/>
      <c r="G1500" s="71"/>
      <c r="H1500" s="71"/>
      <c r="I1500" s="73"/>
    </row>
    <row r="1501" spans="2:9" ht="15">
      <c r="B1501" s="396"/>
      <c r="C1501" s="71"/>
      <c r="D1501" s="71"/>
      <c r="F1501" s="71"/>
      <c r="G1501" s="71"/>
      <c r="H1501" s="71"/>
      <c r="I1501" s="73"/>
    </row>
    <row r="1502" spans="2:9" ht="15">
      <c r="B1502" s="396"/>
      <c r="C1502" s="71"/>
      <c r="D1502" s="71"/>
      <c r="F1502" s="71"/>
      <c r="G1502" s="71"/>
      <c r="H1502" s="71"/>
      <c r="I1502" s="73"/>
    </row>
    <row r="1503" spans="2:9" ht="15">
      <c r="B1503" s="396"/>
      <c r="C1503" s="71"/>
      <c r="D1503" s="71"/>
      <c r="F1503" s="71"/>
      <c r="G1503" s="71"/>
      <c r="H1503" s="71"/>
      <c r="I1503" s="73"/>
    </row>
    <row r="1504" spans="2:9" ht="15">
      <c r="B1504" s="396"/>
      <c r="C1504" s="71"/>
      <c r="D1504" s="71"/>
      <c r="F1504" s="71"/>
      <c r="G1504" s="71"/>
      <c r="H1504" s="71"/>
      <c r="I1504" s="73"/>
    </row>
    <row r="1505" spans="2:9" ht="15">
      <c r="B1505" s="396"/>
      <c r="C1505" s="71"/>
      <c r="D1505" s="71"/>
      <c r="F1505" s="71"/>
      <c r="G1505" s="71"/>
      <c r="H1505" s="71"/>
      <c r="I1505" s="73"/>
    </row>
    <row r="1506" spans="2:9" ht="15">
      <c r="B1506" s="396"/>
      <c r="C1506" s="71"/>
      <c r="D1506" s="71"/>
      <c r="F1506" s="71"/>
      <c r="G1506" s="71"/>
      <c r="H1506" s="71"/>
      <c r="I1506" s="73"/>
    </row>
    <row r="1507" spans="2:9" ht="15">
      <c r="B1507" s="396"/>
      <c r="C1507" s="71"/>
      <c r="D1507" s="71"/>
      <c r="F1507" s="71"/>
      <c r="G1507" s="71"/>
      <c r="H1507" s="71"/>
      <c r="I1507" s="73"/>
    </row>
    <row r="1508" spans="2:9" ht="15">
      <c r="B1508" s="396"/>
      <c r="C1508" s="71"/>
      <c r="D1508" s="71"/>
      <c r="F1508" s="71"/>
      <c r="G1508" s="71"/>
      <c r="H1508" s="71"/>
      <c r="I1508" s="73"/>
    </row>
    <row r="1509" spans="2:9" ht="15">
      <c r="B1509" s="396"/>
      <c r="C1509" s="71"/>
      <c r="D1509" s="71"/>
      <c r="F1509" s="71"/>
      <c r="G1509" s="71"/>
      <c r="H1509" s="71"/>
      <c r="I1509" s="73"/>
    </row>
    <row r="1510" spans="2:9" ht="15">
      <c r="B1510" s="396"/>
      <c r="C1510" s="71"/>
      <c r="D1510" s="71"/>
      <c r="F1510" s="71"/>
      <c r="G1510" s="71"/>
      <c r="H1510" s="71"/>
      <c r="I1510" s="73"/>
    </row>
    <row r="1511" spans="2:9" ht="15">
      <c r="B1511" s="396"/>
      <c r="C1511" s="71"/>
      <c r="D1511" s="71"/>
      <c r="F1511" s="71"/>
      <c r="G1511" s="71"/>
      <c r="H1511" s="71"/>
      <c r="I1511" s="73"/>
    </row>
    <row r="1512" spans="2:9" ht="15">
      <c r="B1512" s="396"/>
      <c r="C1512" s="71"/>
      <c r="D1512" s="71"/>
      <c r="F1512" s="71"/>
      <c r="G1512" s="71"/>
      <c r="H1512" s="71"/>
      <c r="I1512" s="73"/>
    </row>
    <row r="1513" spans="2:9" ht="15">
      <c r="B1513" s="396"/>
      <c r="C1513" s="71"/>
      <c r="D1513" s="71"/>
      <c r="F1513" s="71"/>
      <c r="G1513" s="71"/>
      <c r="H1513" s="71"/>
      <c r="I1513" s="73"/>
    </row>
    <row r="1514" spans="2:9" ht="15">
      <c r="B1514" s="396"/>
      <c r="C1514" s="71"/>
      <c r="D1514" s="71"/>
      <c r="F1514" s="71"/>
      <c r="G1514" s="71"/>
      <c r="H1514" s="71"/>
      <c r="I1514" s="73"/>
    </row>
    <row r="1515" spans="2:9" ht="15">
      <c r="B1515" s="396"/>
      <c r="C1515" s="71"/>
      <c r="D1515" s="71"/>
      <c r="F1515" s="71"/>
      <c r="G1515" s="71"/>
      <c r="H1515" s="71"/>
      <c r="I1515" s="73"/>
    </row>
    <row r="1516" spans="2:9" ht="15">
      <c r="B1516" s="396"/>
      <c r="C1516" s="71"/>
      <c r="D1516" s="71"/>
      <c r="F1516" s="71"/>
      <c r="G1516" s="71"/>
      <c r="H1516" s="71"/>
      <c r="I1516" s="73"/>
    </row>
    <row r="1517" spans="2:9" ht="15">
      <c r="B1517" s="396"/>
      <c r="C1517" s="71"/>
      <c r="D1517" s="71"/>
      <c r="F1517" s="71"/>
      <c r="G1517" s="71"/>
      <c r="H1517" s="71"/>
      <c r="I1517" s="73"/>
    </row>
    <row r="1518" spans="2:9" ht="15">
      <c r="B1518" s="396"/>
      <c r="C1518" s="71"/>
      <c r="D1518" s="71"/>
      <c r="F1518" s="71"/>
      <c r="G1518" s="71"/>
      <c r="H1518" s="71"/>
      <c r="I1518" s="73"/>
    </row>
    <row r="1519" spans="2:9" ht="15">
      <c r="B1519" s="396"/>
      <c r="C1519" s="71"/>
      <c r="D1519" s="71"/>
      <c r="F1519" s="71"/>
      <c r="G1519" s="71"/>
      <c r="H1519" s="71"/>
      <c r="I1519" s="73"/>
    </row>
    <row r="1520" spans="2:9" ht="15">
      <c r="B1520" s="396"/>
      <c r="C1520" s="71"/>
      <c r="D1520" s="71"/>
      <c r="F1520" s="71"/>
      <c r="G1520" s="71"/>
      <c r="H1520" s="71"/>
      <c r="I1520" s="73"/>
    </row>
    <row r="1521" spans="2:9" ht="15">
      <c r="B1521" s="396"/>
      <c r="C1521" s="71"/>
      <c r="D1521" s="71"/>
      <c r="F1521" s="71"/>
      <c r="G1521" s="71"/>
      <c r="H1521" s="71"/>
      <c r="I1521" s="73"/>
    </row>
    <row r="1522" spans="2:9" ht="15">
      <c r="B1522" s="396"/>
      <c r="C1522" s="71"/>
      <c r="D1522" s="71"/>
      <c r="F1522" s="71"/>
      <c r="G1522" s="71"/>
      <c r="H1522" s="71"/>
      <c r="I1522" s="73"/>
    </row>
    <row r="1523" spans="2:9" ht="15">
      <c r="B1523" s="396"/>
      <c r="C1523" s="71"/>
      <c r="D1523" s="71"/>
      <c r="F1523" s="71"/>
      <c r="G1523" s="71"/>
      <c r="H1523" s="71"/>
      <c r="I1523" s="73"/>
    </row>
    <row r="1524" spans="2:9" ht="15">
      <c r="B1524" s="396"/>
      <c r="C1524" s="71"/>
      <c r="D1524" s="71"/>
      <c r="F1524" s="71"/>
      <c r="G1524" s="71"/>
      <c r="H1524" s="71"/>
      <c r="I1524" s="73"/>
    </row>
    <row r="1525" spans="2:9" ht="15">
      <c r="B1525" s="396"/>
      <c r="C1525" s="71"/>
      <c r="D1525" s="71"/>
      <c r="F1525" s="71"/>
      <c r="G1525" s="71"/>
      <c r="H1525" s="71"/>
      <c r="I1525" s="73"/>
    </row>
    <row r="1526" spans="2:9" ht="15">
      <c r="B1526" s="396"/>
      <c r="C1526" s="71"/>
      <c r="D1526" s="71"/>
      <c r="F1526" s="71"/>
      <c r="G1526" s="71"/>
      <c r="H1526" s="71"/>
      <c r="I1526" s="73"/>
    </row>
    <row r="1527" spans="2:9" ht="15">
      <c r="B1527" s="396"/>
      <c r="C1527" s="71"/>
      <c r="D1527" s="71"/>
      <c r="F1527" s="71"/>
      <c r="G1527" s="71"/>
      <c r="H1527" s="71"/>
      <c r="I1527" s="73"/>
    </row>
    <row r="1528" spans="2:9" ht="15">
      <c r="B1528" s="396"/>
      <c r="C1528" s="71"/>
      <c r="D1528" s="71"/>
      <c r="F1528" s="71"/>
      <c r="G1528" s="71"/>
      <c r="H1528" s="71"/>
      <c r="I1528" s="73"/>
    </row>
    <row r="1529" spans="2:9" ht="15">
      <c r="B1529" s="396"/>
      <c r="C1529" s="71"/>
      <c r="D1529" s="71"/>
      <c r="F1529" s="71"/>
      <c r="G1529" s="71"/>
      <c r="H1529" s="71"/>
      <c r="I1529" s="73"/>
    </row>
    <row r="1530" spans="2:9" ht="15">
      <c r="B1530" s="396"/>
      <c r="C1530" s="71"/>
      <c r="D1530" s="71"/>
      <c r="F1530" s="71"/>
      <c r="G1530" s="71"/>
      <c r="H1530" s="71"/>
      <c r="I1530" s="73"/>
    </row>
    <row r="1531" spans="2:9" ht="15">
      <c r="B1531" s="396"/>
      <c r="C1531" s="71"/>
      <c r="D1531" s="71"/>
      <c r="F1531" s="71"/>
      <c r="G1531" s="71"/>
      <c r="H1531" s="71"/>
      <c r="I1531" s="73"/>
    </row>
    <row r="1532" spans="2:9" ht="15">
      <c r="B1532" s="396"/>
      <c r="C1532" s="71"/>
      <c r="D1532" s="71"/>
      <c r="F1532" s="71"/>
      <c r="G1532" s="71"/>
      <c r="H1532" s="71"/>
      <c r="I1532" s="73"/>
    </row>
    <row r="1533" spans="2:9" ht="15">
      <c r="B1533" s="396"/>
      <c r="C1533" s="71"/>
      <c r="D1533" s="71"/>
      <c r="F1533" s="71"/>
      <c r="G1533" s="71"/>
      <c r="H1533" s="71"/>
      <c r="I1533" s="73"/>
    </row>
    <row r="1534" spans="2:9" ht="15">
      <c r="B1534" s="396"/>
      <c r="C1534" s="71"/>
      <c r="D1534" s="71"/>
      <c r="F1534" s="71"/>
      <c r="G1534" s="71"/>
      <c r="H1534" s="71"/>
      <c r="I1534" s="73"/>
    </row>
    <row r="1535" spans="2:9" ht="15">
      <c r="B1535" s="396"/>
      <c r="C1535" s="71"/>
      <c r="D1535" s="71"/>
      <c r="F1535" s="71"/>
      <c r="G1535" s="71"/>
      <c r="H1535" s="71"/>
      <c r="I1535" s="73"/>
    </row>
    <row r="1536" spans="2:9" ht="15">
      <c r="B1536" s="396"/>
      <c r="C1536" s="71"/>
      <c r="D1536" s="71"/>
      <c r="F1536" s="71"/>
      <c r="G1536" s="71"/>
      <c r="H1536" s="71"/>
      <c r="I1536" s="73"/>
    </row>
    <row r="1537" spans="2:9" ht="15">
      <c r="B1537" s="396"/>
      <c r="C1537" s="71"/>
      <c r="D1537" s="71"/>
      <c r="F1537" s="71"/>
      <c r="G1537" s="71"/>
      <c r="H1537" s="71"/>
      <c r="I1537" s="73"/>
    </row>
    <row r="1538" spans="2:9" ht="15">
      <c r="B1538" s="396"/>
      <c r="C1538" s="71"/>
      <c r="D1538" s="71"/>
      <c r="F1538" s="71"/>
      <c r="G1538" s="71"/>
      <c r="H1538" s="71"/>
      <c r="I1538" s="73"/>
    </row>
    <row r="1539" spans="2:9" ht="15">
      <c r="B1539" s="396"/>
      <c r="C1539" s="71"/>
      <c r="D1539" s="71"/>
      <c r="F1539" s="71"/>
      <c r="G1539" s="71"/>
      <c r="H1539" s="71"/>
      <c r="I1539" s="73"/>
    </row>
    <row r="1540" spans="2:9" ht="15">
      <c r="B1540" s="396"/>
      <c r="C1540" s="71"/>
      <c r="D1540" s="71"/>
      <c r="F1540" s="71"/>
      <c r="G1540" s="71"/>
      <c r="H1540" s="71"/>
      <c r="I1540" s="73"/>
    </row>
    <row r="1541" spans="2:9" ht="15">
      <c r="B1541" s="396"/>
      <c r="C1541" s="71"/>
      <c r="D1541" s="71"/>
      <c r="F1541" s="71"/>
      <c r="G1541" s="71"/>
      <c r="H1541" s="71"/>
      <c r="I1541" s="73"/>
    </row>
    <row r="1542" spans="2:9" ht="15">
      <c r="B1542" s="396"/>
      <c r="C1542" s="71"/>
      <c r="D1542" s="71"/>
      <c r="F1542" s="71"/>
      <c r="G1542" s="71"/>
      <c r="H1542" s="71"/>
      <c r="I1542" s="73"/>
    </row>
    <row r="1543" spans="2:9" ht="15">
      <c r="B1543" s="396"/>
      <c r="C1543" s="71"/>
      <c r="D1543" s="71"/>
      <c r="F1543" s="71"/>
      <c r="G1543" s="71"/>
      <c r="H1543" s="71"/>
      <c r="I1543" s="73"/>
    </row>
    <row r="1544" spans="2:9" ht="15">
      <c r="B1544" s="396"/>
      <c r="C1544" s="71"/>
      <c r="D1544" s="71"/>
      <c r="F1544" s="71"/>
      <c r="G1544" s="71"/>
      <c r="H1544" s="71"/>
      <c r="I1544" s="73"/>
    </row>
    <row r="1545" spans="2:9" ht="15">
      <c r="B1545" s="396"/>
      <c r="C1545" s="71"/>
      <c r="D1545" s="71"/>
      <c r="F1545" s="71"/>
      <c r="G1545" s="71"/>
      <c r="H1545" s="71"/>
      <c r="I1545" s="73"/>
    </row>
    <row r="1546" spans="2:9" ht="15">
      <c r="B1546" s="396"/>
      <c r="C1546" s="71"/>
      <c r="D1546" s="71"/>
      <c r="F1546" s="71"/>
      <c r="G1546" s="71"/>
      <c r="H1546" s="71"/>
      <c r="I1546" s="73"/>
    </row>
    <row r="1547" spans="2:9" ht="15">
      <c r="B1547" s="396"/>
      <c r="C1547" s="71"/>
      <c r="D1547" s="71"/>
      <c r="F1547" s="71"/>
      <c r="G1547" s="71"/>
      <c r="H1547" s="71"/>
      <c r="I1547" s="73"/>
    </row>
    <row r="1548" spans="2:9" ht="15">
      <c r="B1548" s="396"/>
      <c r="C1548" s="71"/>
      <c r="D1548" s="71"/>
      <c r="F1548" s="71"/>
      <c r="G1548" s="71"/>
      <c r="H1548" s="71"/>
      <c r="I1548" s="73"/>
    </row>
    <row r="1549" spans="2:9" ht="15">
      <c r="B1549" s="396"/>
      <c r="C1549" s="71"/>
      <c r="D1549" s="71"/>
      <c r="F1549" s="71"/>
      <c r="G1549" s="71"/>
      <c r="H1549" s="71"/>
      <c r="I1549" s="73"/>
    </row>
    <row r="1550" spans="2:9" ht="15">
      <c r="B1550" s="396"/>
      <c r="C1550" s="71"/>
      <c r="D1550" s="71"/>
      <c r="F1550" s="71"/>
      <c r="G1550" s="71"/>
      <c r="H1550" s="71"/>
      <c r="I1550" s="73"/>
    </row>
    <row r="1551" spans="2:9" ht="15">
      <c r="B1551" s="396"/>
      <c r="C1551" s="71"/>
      <c r="D1551" s="71"/>
      <c r="F1551" s="71"/>
      <c r="G1551" s="71"/>
      <c r="H1551" s="71"/>
      <c r="I1551" s="73"/>
    </row>
    <row r="1552" spans="2:9" ht="15">
      <c r="B1552" s="396"/>
      <c r="C1552" s="71"/>
      <c r="D1552" s="71"/>
      <c r="F1552" s="71"/>
      <c r="G1552" s="71"/>
      <c r="H1552" s="71"/>
      <c r="I1552" s="73"/>
    </row>
    <row r="1553" spans="2:9" ht="15">
      <c r="B1553" s="396"/>
      <c r="C1553" s="71"/>
      <c r="D1553" s="71"/>
      <c r="F1553" s="71"/>
      <c r="G1553" s="71"/>
      <c r="H1553" s="71"/>
      <c r="I1553" s="73"/>
    </row>
    <row r="1554" spans="2:9" ht="15">
      <c r="B1554" s="396"/>
      <c r="C1554" s="71"/>
      <c r="D1554" s="71"/>
      <c r="F1554" s="71"/>
      <c r="G1554" s="71"/>
      <c r="H1554" s="71"/>
      <c r="I1554" s="73"/>
    </row>
    <row r="1555" spans="2:9" ht="15">
      <c r="B1555" s="396"/>
      <c r="C1555" s="71"/>
      <c r="D1555" s="71"/>
      <c r="F1555" s="71"/>
      <c r="G1555" s="71"/>
      <c r="H1555" s="71"/>
      <c r="I1555" s="73"/>
    </row>
    <row r="1556" spans="2:9" ht="15">
      <c r="B1556" s="396"/>
      <c r="C1556" s="71"/>
      <c r="D1556" s="71"/>
      <c r="F1556" s="71"/>
      <c r="G1556" s="71"/>
      <c r="H1556" s="71"/>
      <c r="I1556" s="73"/>
    </row>
    <row r="1557" spans="2:9" ht="15">
      <c r="B1557" s="396"/>
      <c r="C1557" s="71"/>
      <c r="D1557" s="71"/>
      <c r="F1557" s="71"/>
      <c r="G1557" s="71"/>
      <c r="H1557" s="71"/>
      <c r="I1557" s="73"/>
    </row>
    <row r="1558" spans="2:9" ht="15">
      <c r="B1558" s="396"/>
      <c r="C1558" s="71"/>
      <c r="D1558" s="71"/>
      <c r="F1558" s="71"/>
      <c r="G1558" s="71"/>
      <c r="H1558" s="71"/>
      <c r="I1558" s="73"/>
    </row>
    <row r="1559" spans="2:9" ht="15">
      <c r="B1559" s="396"/>
      <c r="C1559" s="71"/>
      <c r="D1559" s="71"/>
      <c r="F1559" s="71"/>
      <c r="G1559" s="71"/>
      <c r="H1559" s="71"/>
      <c r="I1559" s="73"/>
    </row>
    <row r="1560" spans="2:9" ht="15">
      <c r="B1560" s="396"/>
      <c r="C1560" s="71"/>
      <c r="D1560" s="71"/>
      <c r="F1560" s="71"/>
      <c r="G1560" s="71"/>
      <c r="H1560" s="71"/>
      <c r="I1560" s="73"/>
    </row>
    <row r="1561" spans="2:9" ht="15">
      <c r="B1561" s="396"/>
      <c r="C1561" s="71"/>
      <c r="D1561" s="71"/>
      <c r="F1561" s="71"/>
      <c r="G1561" s="71"/>
      <c r="H1561" s="71"/>
      <c r="I1561" s="73"/>
    </row>
    <row r="1562" spans="2:9" ht="15">
      <c r="B1562" s="396"/>
      <c r="C1562" s="71"/>
      <c r="D1562" s="71"/>
      <c r="F1562" s="71"/>
      <c r="G1562" s="71"/>
      <c r="H1562" s="71"/>
      <c r="I1562" s="73"/>
    </row>
    <row r="1563" spans="2:9" ht="15">
      <c r="B1563" s="396"/>
      <c r="C1563" s="71"/>
      <c r="D1563" s="71"/>
      <c r="F1563" s="71"/>
      <c r="G1563" s="71"/>
      <c r="H1563" s="71"/>
      <c r="I1563" s="73"/>
    </row>
    <row r="1564" spans="2:9" ht="15">
      <c r="B1564" s="396"/>
      <c r="C1564" s="71"/>
      <c r="D1564" s="71"/>
      <c r="F1564" s="71"/>
      <c r="G1564" s="71"/>
      <c r="H1564" s="71"/>
      <c r="I1564" s="73"/>
    </row>
    <row r="1565" spans="2:9" ht="15">
      <c r="B1565" s="396"/>
      <c r="C1565" s="71"/>
      <c r="D1565" s="71"/>
      <c r="F1565" s="71"/>
      <c r="G1565" s="71"/>
      <c r="H1565" s="71"/>
      <c r="I1565" s="73"/>
    </row>
    <row r="1566" spans="2:9" ht="15">
      <c r="B1566" s="396"/>
      <c r="C1566" s="71"/>
      <c r="D1566" s="71"/>
      <c r="F1566" s="71"/>
      <c r="G1566" s="71"/>
      <c r="H1566" s="71"/>
      <c r="I1566" s="73"/>
    </row>
    <row r="1567" spans="2:9" ht="15">
      <c r="B1567" s="396"/>
      <c r="C1567" s="71"/>
      <c r="D1567" s="71"/>
      <c r="F1567" s="71"/>
      <c r="G1567" s="71"/>
      <c r="H1567" s="71"/>
      <c r="I1567" s="73"/>
    </row>
    <row r="1568" spans="2:9" ht="15">
      <c r="B1568" s="396"/>
      <c r="C1568" s="71"/>
      <c r="D1568" s="71"/>
      <c r="F1568" s="71"/>
      <c r="G1568" s="71"/>
      <c r="H1568" s="71"/>
      <c r="I1568" s="73"/>
    </row>
    <row r="1569" spans="2:9" ht="15">
      <c r="B1569" s="396"/>
      <c r="C1569" s="71"/>
      <c r="D1569" s="71"/>
      <c r="F1569" s="71"/>
      <c r="G1569" s="71"/>
      <c r="H1569" s="71"/>
      <c r="I1569" s="73"/>
    </row>
    <row r="1570" spans="2:9" ht="15">
      <c r="B1570" s="396"/>
      <c r="C1570" s="71"/>
      <c r="D1570" s="71"/>
      <c r="F1570" s="71"/>
      <c r="G1570" s="71"/>
      <c r="H1570" s="71"/>
      <c r="I1570" s="73"/>
    </row>
    <row r="1571" spans="2:9" ht="15">
      <c r="B1571" s="396"/>
      <c r="C1571" s="71"/>
      <c r="D1571" s="71"/>
      <c r="F1571" s="71"/>
      <c r="G1571" s="71"/>
      <c r="H1571" s="71"/>
      <c r="I1571" s="73"/>
    </row>
    <row r="1572" spans="2:9" ht="15">
      <c r="B1572" s="396"/>
      <c r="C1572" s="71"/>
      <c r="D1572" s="71"/>
      <c r="F1572" s="71"/>
      <c r="G1572" s="71"/>
      <c r="H1572" s="71"/>
      <c r="I1572" s="73"/>
    </row>
    <row r="1573" spans="2:9" ht="15">
      <c r="B1573" s="396"/>
      <c r="C1573" s="71"/>
      <c r="D1573" s="71"/>
      <c r="F1573" s="71"/>
      <c r="G1573" s="71"/>
      <c r="H1573" s="71"/>
      <c r="I1573" s="73"/>
    </row>
    <row r="1574" spans="2:9" ht="15">
      <c r="B1574" s="396"/>
      <c r="C1574" s="71"/>
      <c r="D1574" s="71"/>
      <c r="F1574" s="71"/>
      <c r="G1574" s="71"/>
      <c r="H1574" s="71"/>
      <c r="I1574" s="73"/>
    </row>
    <row r="1575" spans="2:9" ht="15">
      <c r="B1575" s="396"/>
      <c r="C1575" s="71"/>
      <c r="D1575" s="71"/>
      <c r="F1575" s="71"/>
      <c r="G1575" s="71"/>
      <c r="H1575" s="71"/>
      <c r="I1575" s="73"/>
    </row>
    <row r="1576" spans="2:9" ht="15">
      <c r="B1576" s="396"/>
      <c r="C1576" s="71"/>
      <c r="D1576" s="71"/>
      <c r="F1576" s="71"/>
      <c r="G1576" s="71"/>
      <c r="H1576" s="71"/>
      <c r="I1576" s="73"/>
    </row>
    <row r="1577" spans="2:9" ht="15">
      <c r="B1577" s="396"/>
      <c r="C1577" s="71"/>
      <c r="D1577" s="71"/>
      <c r="F1577" s="71"/>
      <c r="G1577" s="71"/>
      <c r="H1577" s="71"/>
      <c r="I1577" s="73"/>
    </row>
    <row r="1578" spans="2:9" ht="15">
      <c r="B1578" s="396"/>
      <c r="C1578" s="71"/>
      <c r="D1578" s="71"/>
      <c r="F1578" s="71"/>
      <c r="G1578" s="71"/>
      <c r="H1578" s="71"/>
      <c r="I1578" s="73"/>
    </row>
    <row r="1579" spans="2:9" ht="15">
      <c r="B1579" s="396"/>
      <c r="C1579" s="71"/>
      <c r="D1579" s="71"/>
      <c r="F1579" s="71"/>
      <c r="G1579" s="71"/>
      <c r="H1579" s="71"/>
      <c r="I1579" s="73"/>
    </row>
    <row r="1580" spans="2:9" ht="15">
      <c r="B1580" s="396"/>
      <c r="C1580" s="71"/>
      <c r="D1580" s="71"/>
      <c r="F1580" s="71"/>
      <c r="G1580" s="71"/>
      <c r="H1580" s="71"/>
      <c r="I1580" s="73"/>
    </row>
    <row r="1581" spans="2:9" ht="15">
      <c r="B1581" s="396"/>
      <c r="C1581" s="71"/>
      <c r="D1581" s="71"/>
      <c r="F1581" s="71"/>
      <c r="G1581" s="71"/>
      <c r="H1581" s="71"/>
      <c r="I1581" s="73"/>
    </row>
    <row r="1582" spans="2:9" ht="15">
      <c r="B1582" s="396"/>
      <c r="C1582" s="71"/>
      <c r="D1582" s="71"/>
      <c r="F1582" s="71"/>
      <c r="G1582" s="71"/>
      <c r="H1582" s="71"/>
      <c r="I1582" s="73"/>
    </row>
    <row r="1583" spans="2:9" ht="15">
      <c r="B1583" s="396"/>
      <c r="C1583" s="71"/>
      <c r="D1583" s="71"/>
      <c r="F1583" s="71"/>
      <c r="G1583" s="71"/>
      <c r="H1583" s="71"/>
      <c r="I1583" s="73"/>
    </row>
    <row r="1584" spans="2:9" ht="15">
      <c r="B1584" s="396"/>
      <c r="C1584" s="71"/>
      <c r="D1584" s="71"/>
      <c r="F1584" s="71"/>
      <c r="G1584" s="71"/>
      <c r="H1584" s="71"/>
      <c r="I1584" s="73"/>
    </row>
    <row r="1585" spans="2:9" ht="15">
      <c r="B1585" s="396"/>
      <c r="C1585" s="71"/>
      <c r="D1585" s="71"/>
      <c r="F1585" s="71"/>
      <c r="G1585" s="71"/>
      <c r="H1585" s="71"/>
      <c r="I1585" s="73"/>
    </row>
    <row r="1586" spans="2:9" ht="15">
      <c r="B1586" s="396"/>
      <c r="C1586" s="71"/>
      <c r="D1586" s="71"/>
      <c r="F1586" s="71"/>
      <c r="G1586" s="71"/>
      <c r="H1586" s="71"/>
      <c r="I1586" s="73"/>
    </row>
    <row r="1587" spans="2:9" ht="15">
      <c r="B1587" s="396"/>
      <c r="C1587" s="71"/>
      <c r="D1587" s="71"/>
      <c r="F1587" s="71"/>
      <c r="G1587" s="71"/>
      <c r="H1587" s="71"/>
      <c r="I1587" s="73"/>
    </row>
    <row r="1588" spans="2:9" ht="15">
      <c r="B1588" s="396"/>
      <c r="C1588" s="71"/>
      <c r="D1588" s="71"/>
      <c r="F1588" s="71"/>
      <c r="G1588" s="71"/>
      <c r="H1588" s="71"/>
      <c r="I1588" s="73"/>
    </row>
    <row r="1589" spans="2:9" ht="15">
      <c r="B1589" s="396"/>
      <c r="C1589" s="71"/>
      <c r="D1589" s="71"/>
      <c r="F1589" s="71"/>
      <c r="G1589" s="71"/>
      <c r="H1589" s="71"/>
      <c r="I1589" s="73"/>
    </row>
    <row r="1590" spans="2:9" ht="15">
      <c r="B1590" s="396"/>
      <c r="C1590" s="71"/>
      <c r="D1590" s="71"/>
      <c r="F1590" s="71"/>
      <c r="G1590" s="71"/>
      <c r="H1590" s="71"/>
      <c r="I1590" s="73"/>
    </row>
    <row r="1591" spans="2:9" ht="15">
      <c r="B1591" s="396"/>
      <c r="C1591" s="71"/>
      <c r="D1591" s="71"/>
      <c r="F1591" s="71"/>
      <c r="G1591" s="71"/>
      <c r="H1591" s="71"/>
      <c r="I1591" s="73"/>
    </row>
    <row r="1592" spans="2:9" ht="15">
      <c r="B1592" s="396"/>
      <c r="C1592" s="71"/>
      <c r="D1592" s="71"/>
      <c r="F1592" s="71"/>
      <c r="G1592" s="71"/>
      <c r="H1592" s="71"/>
      <c r="I1592" s="73"/>
    </row>
    <row r="1593" spans="2:9" ht="15">
      <c r="B1593" s="396"/>
      <c r="C1593" s="71"/>
      <c r="D1593" s="71"/>
      <c r="F1593" s="71"/>
      <c r="G1593" s="71"/>
      <c r="H1593" s="71"/>
      <c r="I1593" s="73"/>
    </row>
    <row r="1594" spans="2:9" ht="15">
      <c r="B1594" s="396"/>
      <c r="C1594" s="71"/>
      <c r="D1594" s="71"/>
      <c r="F1594" s="71"/>
      <c r="G1594" s="71"/>
      <c r="H1594" s="71"/>
      <c r="I1594" s="73"/>
    </row>
    <row r="1595" spans="2:9" ht="15">
      <c r="B1595" s="396"/>
      <c r="C1595" s="71"/>
      <c r="D1595" s="71"/>
      <c r="F1595" s="71"/>
      <c r="G1595" s="71"/>
      <c r="H1595" s="71"/>
      <c r="I1595" s="73"/>
    </row>
    <row r="1596" spans="2:9" ht="15">
      <c r="B1596" s="396"/>
      <c r="C1596" s="71"/>
      <c r="D1596" s="71"/>
      <c r="F1596" s="71"/>
      <c r="G1596" s="71"/>
      <c r="H1596" s="71"/>
      <c r="I1596" s="73"/>
    </row>
    <row r="1597" spans="2:9" ht="15">
      <c r="B1597" s="396"/>
      <c r="C1597" s="71"/>
      <c r="D1597" s="71"/>
      <c r="F1597" s="71"/>
      <c r="G1597" s="71"/>
      <c r="H1597" s="71"/>
      <c r="I1597" s="73"/>
    </row>
    <row r="1598" spans="2:9" ht="15">
      <c r="B1598" s="396"/>
      <c r="C1598" s="71"/>
      <c r="D1598" s="71"/>
      <c r="F1598" s="71"/>
      <c r="G1598" s="71"/>
      <c r="H1598" s="71"/>
      <c r="I1598" s="73"/>
    </row>
    <row r="1599" spans="2:9" ht="15">
      <c r="B1599" s="396"/>
      <c r="C1599" s="71"/>
      <c r="D1599" s="71"/>
      <c r="F1599" s="71"/>
      <c r="G1599" s="71"/>
      <c r="H1599" s="71"/>
      <c r="I1599" s="73"/>
    </row>
    <row r="1600" spans="2:9" ht="15">
      <c r="B1600" s="396"/>
      <c r="C1600" s="71"/>
      <c r="D1600" s="71"/>
      <c r="F1600" s="71"/>
      <c r="G1600" s="71"/>
      <c r="H1600" s="71"/>
      <c r="I1600" s="73"/>
    </row>
    <row r="1601" spans="2:9" ht="15">
      <c r="B1601" s="396"/>
      <c r="C1601" s="71"/>
      <c r="D1601" s="71"/>
      <c r="F1601" s="71"/>
      <c r="G1601" s="71"/>
      <c r="H1601" s="71"/>
      <c r="I1601" s="73"/>
    </row>
    <row r="1602" spans="2:9" ht="15">
      <c r="B1602" s="396"/>
      <c r="C1602" s="71"/>
      <c r="D1602" s="71"/>
      <c r="F1602" s="71"/>
      <c r="G1602" s="71"/>
      <c r="H1602" s="71"/>
      <c r="I1602" s="73"/>
    </row>
    <row r="1603" spans="2:9" ht="15">
      <c r="B1603" s="396"/>
      <c r="C1603" s="71"/>
      <c r="D1603" s="71"/>
      <c r="F1603" s="71"/>
      <c r="G1603" s="71"/>
      <c r="H1603" s="71"/>
      <c r="I1603" s="73"/>
    </row>
    <row r="1604" spans="2:9" ht="15">
      <c r="B1604" s="396"/>
      <c r="C1604" s="71"/>
      <c r="D1604" s="71"/>
      <c r="F1604" s="71"/>
      <c r="G1604" s="71"/>
      <c r="H1604" s="71"/>
      <c r="I1604" s="73"/>
    </row>
    <row r="1605" spans="2:9" ht="15">
      <c r="B1605" s="396"/>
      <c r="C1605" s="71"/>
      <c r="D1605" s="71"/>
      <c r="F1605" s="71"/>
      <c r="G1605" s="71"/>
      <c r="H1605" s="71"/>
      <c r="I1605" s="73"/>
    </row>
    <row r="1606" spans="2:9" ht="15">
      <c r="B1606" s="396"/>
      <c r="C1606" s="71"/>
      <c r="D1606" s="71"/>
      <c r="F1606" s="71"/>
      <c r="G1606" s="71"/>
      <c r="H1606" s="71"/>
      <c r="I1606" s="73"/>
    </row>
    <row r="1607" spans="2:9" ht="15">
      <c r="B1607" s="396"/>
      <c r="C1607" s="71"/>
      <c r="D1607" s="71"/>
      <c r="F1607" s="71"/>
      <c r="G1607" s="71"/>
      <c r="H1607" s="71"/>
      <c r="I1607" s="73"/>
    </row>
    <row r="1608" spans="2:9" ht="15">
      <c r="B1608" s="396"/>
      <c r="C1608" s="71"/>
      <c r="D1608" s="71"/>
      <c r="F1608" s="71"/>
      <c r="G1608" s="71"/>
      <c r="H1608" s="71"/>
      <c r="I1608" s="73"/>
    </row>
    <row r="1609" spans="2:9" ht="15">
      <c r="B1609" s="396"/>
      <c r="C1609" s="71"/>
      <c r="D1609" s="71"/>
      <c r="F1609" s="71"/>
      <c r="G1609" s="71"/>
      <c r="H1609" s="71"/>
      <c r="I1609" s="73"/>
    </row>
    <row r="1610" spans="2:9" ht="15">
      <c r="B1610" s="396"/>
      <c r="C1610" s="71"/>
      <c r="D1610" s="71"/>
      <c r="F1610" s="71"/>
      <c r="G1610" s="71"/>
      <c r="H1610" s="71"/>
      <c r="I1610" s="73"/>
    </row>
    <row r="1611" spans="2:9" ht="15">
      <c r="B1611" s="396"/>
      <c r="C1611" s="71"/>
      <c r="D1611" s="71"/>
      <c r="F1611" s="71"/>
      <c r="G1611" s="71"/>
      <c r="H1611" s="71"/>
      <c r="I1611" s="73"/>
    </row>
    <row r="1612" spans="2:9" ht="15">
      <c r="B1612" s="396"/>
      <c r="C1612" s="71"/>
      <c r="D1612" s="71"/>
      <c r="F1612" s="71"/>
      <c r="G1612" s="71"/>
      <c r="H1612" s="71"/>
      <c r="I1612" s="73"/>
    </row>
    <row r="1613" spans="2:9" ht="15">
      <c r="B1613" s="396"/>
      <c r="C1613" s="71"/>
      <c r="D1613" s="71"/>
      <c r="F1613" s="71"/>
      <c r="G1613" s="71"/>
      <c r="H1613" s="71"/>
      <c r="I1613" s="73"/>
    </row>
    <row r="1614" spans="2:9" ht="15">
      <c r="B1614" s="396"/>
      <c r="C1614" s="71"/>
      <c r="D1614" s="71"/>
      <c r="F1614" s="71"/>
      <c r="G1614" s="71"/>
      <c r="H1614" s="71"/>
      <c r="I1614" s="73"/>
    </row>
    <row r="1615" spans="2:9" ht="15">
      <c r="B1615" s="396"/>
      <c r="C1615" s="71"/>
      <c r="D1615" s="71"/>
      <c r="F1615" s="71"/>
      <c r="G1615" s="71"/>
      <c r="H1615" s="71"/>
      <c r="I1615" s="73"/>
    </row>
    <row r="1616" spans="2:9" ht="15">
      <c r="B1616" s="396"/>
      <c r="C1616" s="71"/>
      <c r="D1616" s="71"/>
      <c r="F1616" s="71"/>
      <c r="G1616" s="71"/>
      <c r="H1616" s="71"/>
      <c r="I1616" s="73"/>
    </row>
    <row r="1617" spans="2:9" ht="15">
      <c r="B1617" s="396"/>
      <c r="C1617" s="71"/>
      <c r="D1617" s="71"/>
      <c r="F1617" s="71"/>
      <c r="G1617" s="71"/>
      <c r="H1617" s="71"/>
      <c r="I1617" s="73"/>
    </row>
    <row r="1618" spans="2:9" ht="15">
      <c r="B1618" s="396"/>
      <c r="C1618" s="71"/>
      <c r="D1618" s="71"/>
      <c r="F1618" s="71"/>
      <c r="G1618" s="71"/>
      <c r="H1618" s="71"/>
      <c r="I1618" s="73"/>
    </row>
    <row r="1619" spans="2:9" ht="15">
      <c r="B1619" s="396"/>
      <c r="C1619" s="71"/>
      <c r="D1619" s="71"/>
      <c r="F1619" s="71"/>
      <c r="G1619" s="71"/>
      <c r="H1619" s="71"/>
      <c r="I1619" s="73"/>
    </row>
    <row r="1620" spans="2:9" ht="15">
      <c r="B1620" s="396"/>
      <c r="C1620" s="71"/>
      <c r="D1620" s="71"/>
      <c r="F1620" s="71"/>
      <c r="G1620" s="71"/>
      <c r="H1620" s="71"/>
      <c r="I1620" s="73"/>
    </row>
    <row r="1621" spans="2:9" ht="15">
      <c r="B1621" s="396"/>
      <c r="C1621" s="71"/>
      <c r="D1621" s="71"/>
      <c r="F1621" s="71"/>
      <c r="G1621" s="71"/>
      <c r="H1621" s="71"/>
      <c r="I1621" s="73"/>
    </row>
    <row r="1622" spans="2:9" ht="15">
      <c r="B1622" s="396"/>
      <c r="C1622" s="71"/>
      <c r="D1622" s="71"/>
      <c r="F1622" s="71"/>
      <c r="G1622" s="71"/>
      <c r="H1622" s="71"/>
      <c r="I1622" s="73"/>
    </row>
    <row r="1623" spans="2:9" ht="15">
      <c r="B1623" s="396"/>
      <c r="C1623" s="71"/>
      <c r="D1623" s="71"/>
      <c r="F1623" s="71"/>
      <c r="G1623" s="71"/>
      <c r="H1623" s="71"/>
      <c r="I1623" s="73"/>
    </row>
    <row r="1624" spans="2:9" ht="15">
      <c r="B1624" s="396"/>
      <c r="C1624" s="71"/>
      <c r="D1624" s="71"/>
      <c r="F1624" s="71"/>
      <c r="G1624" s="71"/>
      <c r="H1624" s="71"/>
      <c r="I1624" s="73"/>
    </row>
    <row r="1625" spans="2:9" ht="15">
      <c r="B1625" s="396"/>
      <c r="C1625" s="71"/>
      <c r="D1625" s="71"/>
      <c r="F1625" s="71"/>
      <c r="G1625" s="71"/>
      <c r="H1625" s="71"/>
      <c r="I1625" s="73"/>
    </row>
    <row r="1626" spans="2:9" ht="15">
      <c r="B1626" s="396"/>
      <c r="C1626" s="71"/>
      <c r="D1626" s="71"/>
      <c r="F1626" s="71"/>
      <c r="G1626" s="71"/>
      <c r="H1626" s="71"/>
      <c r="I1626" s="73"/>
    </row>
    <row r="1627" spans="2:9" ht="15">
      <c r="B1627" s="396"/>
      <c r="C1627" s="71"/>
      <c r="D1627" s="71"/>
      <c r="F1627" s="71"/>
      <c r="G1627" s="71"/>
      <c r="H1627" s="71"/>
      <c r="I1627" s="73"/>
    </row>
    <row r="1628" spans="2:9" ht="15">
      <c r="B1628" s="396"/>
      <c r="C1628" s="71"/>
      <c r="D1628" s="71"/>
      <c r="F1628" s="71"/>
      <c r="G1628" s="71"/>
      <c r="H1628" s="71"/>
      <c r="I1628" s="73"/>
    </row>
    <row r="1629" spans="2:9" ht="15">
      <c r="B1629" s="396"/>
      <c r="C1629" s="71"/>
      <c r="D1629" s="71"/>
      <c r="F1629" s="71"/>
      <c r="G1629" s="71"/>
      <c r="H1629" s="71"/>
      <c r="I1629" s="73"/>
    </row>
    <row r="1630" spans="2:9" ht="15">
      <c r="B1630" s="396"/>
      <c r="C1630" s="71"/>
      <c r="D1630" s="71"/>
      <c r="F1630" s="71"/>
      <c r="G1630" s="71"/>
      <c r="H1630" s="71"/>
      <c r="I1630" s="73"/>
    </row>
    <row r="1631" spans="2:9" ht="15">
      <c r="B1631" s="396"/>
      <c r="C1631" s="71"/>
      <c r="D1631" s="71"/>
      <c r="F1631" s="71"/>
      <c r="G1631" s="71"/>
      <c r="H1631" s="71"/>
      <c r="I1631" s="73"/>
    </row>
    <row r="1632" spans="2:9" ht="15">
      <c r="B1632" s="396"/>
      <c r="C1632" s="71"/>
      <c r="D1632" s="71"/>
      <c r="F1632" s="71"/>
      <c r="G1632" s="71"/>
      <c r="H1632" s="71"/>
      <c r="I1632" s="73"/>
    </row>
    <row r="1633" spans="2:9" ht="15">
      <c r="B1633" s="396"/>
      <c r="C1633" s="71"/>
      <c r="D1633" s="71"/>
      <c r="F1633" s="71"/>
      <c r="G1633" s="71"/>
      <c r="H1633" s="71"/>
      <c r="I1633" s="73"/>
    </row>
    <row r="1634" spans="2:9" ht="15">
      <c r="B1634" s="396"/>
      <c r="C1634" s="71"/>
      <c r="D1634" s="71"/>
      <c r="F1634" s="71"/>
      <c r="G1634" s="71"/>
      <c r="H1634" s="71"/>
      <c r="I1634" s="73"/>
    </row>
    <row r="1635" spans="2:9" ht="15">
      <c r="B1635" s="396"/>
      <c r="C1635" s="71"/>
      <c r="D1635" s="71"/>
      <c r="F1635" s="71"/>
      <c r="G1635" s="71"/>
      <c r="H1635" s="71"/>
      <c r="I1635" s="73"/>
    </row>
    <row r="1636" spans="2:9" ht="15">
      <c r="B1636" s="396"/>
      <c r="C1636" s="71"/>
      <c r="D1636" s="71"/>
      <c r="F1636" s="71"/>
      <c r="G1636" s="71"/>
      <c r="H1636" s="71"/>
      <c r="I1636" s="73"/>
    </row>
    <row r="1637" spans="2:9" ht="15">
      <c r="B1637" s="396"/>
      <c r="C1637" s="71"/>
      <c r="D1637" s="71"/>
      <c r="F1637" s="71"/>
      <c r="G1637" s="71"/>
      <c r="H1637" s="71"/>
      <c r="I1637" s="73"/>
    </row>
    <row r="1638" spans="2:9" ht="15">
      <c r="B1638" s="396"/>
      <c r="C1638" s="71"/>
      <c r="D1638" s="71"/>
      <c r="F1638" s="71"/>
      <c r="G1638" s="71"/>
      <c r="H1638" s="71"/>
      <c r="I1638" s="73"/>
    </row>
    <row r="1639" spans="2:9" ht="15">
      <c r="B1639" s="396"/>
      <c r="C1639" s="71"/>
      <c r="D1639" s="71"/>
      <c r="F1639" s="71"/>
      <c r="G1639" s="71"/>
      <c r="H1639" s="71"/>
      <c r="I1639" s="73"/>
    </row>
    <row r="1640" spans="2:9" ht="15">
      <c r="B1640" s="396"/>
      <c r="C1640" s="71"/>
      <c r="D1640" s="71"/>
      <c r="F1640" s="71"/>
      <c r="G1640" s="71"/>
      <c r="H1640" s="71"/>
      <c r="I1640" s="73"/>
    </row>
    <row r="1641" spans="2:9" ht="15">
      <c r="B1641" s="396"/>
      <c r="C1641" s="71"/>
      <c r="D1641" s="71"/>
      <c r="F1641" s="71"/>
      <c r="G1641" s="71"/>
      <c r="H1641" s="71"/>
      <c r="I1641" s="73"/>
    </row>
    <row r="1642" spans="2:9" ht="15">
      <c r="B1642" s="396"/>
      <c r="C1642" s="71"/>
      <c r="D1642" s="71"/>
      <c r="F1642" s="71"/>
      <c r="G1642" s="71"/>
      <c r="H1642" s="71"/>
      <c r="I1642" s="73"/>
    </row>
    <row r="1643" spans="2:9" ht="15">
      <c r="B1643" s="396"/>
      <c r="C1643" s="71"/>
      <c r="D1643" s="71"/>
      <c r="F1643" s="71"/>
      <c r="G1643" s="71"/>
      <c r="H1643" s="71"/>
      <c r="I1643" s="73"/>
    </row>
    <row r="1644" spans="2:9" ht="15">
      <c r="B1644" s="396"/>
      <c r="C1644" s="71"/>
      <c r="D1644" s="71"/>
      <c r="F1644" s="71"/>
      <c r="G1644" s="71"/>
      <c r="H1644" s="71"/>
      <c r="I1644" s="73"/>
    </row>
    <row r="1645" spans="2:9" ht="15">
      <c r="B1645" s="396"/>
      <c r="C1645" s="71"/>
      <c r="D1645" s="71"/>
      <c r="F1645" s="71"/>
      <c r="G1645" s="71"/>
      <c r="H1645" s="71"/>
      <c r="I1645" s="73"/>
    </row>
    <row r="1646" spans="2:9" ht="15">
      <c r="B1646" s="396"/>
      <c r="C1646" s="71"/>
      <c r="D1646" s="71"/>
      <c r="F1646" s="71"/>
      <c r="G1646" s="71"/>
      <c r="H1646" s="71"/>
      <c r="I1646" s="73"/>
    </row>
    <row r="1647" spans="2:9" ht="15">
      <c r="B1647" s="396"/>
      <c r="C1647" s="71"/>
      <c r="D1647" s="71"/>
      <c r="F1647" s="71"/>
      <c r="G1647" s="71"/>
      <c r="H1647" s="71"/>
      <c r="I1647" s="73"/>
    </row>
    <row r="1648" spans="2:9" ht="15">
      <c r="B1648" s="396"/>
      <c r="C1648" s="71"/>
      <c r="D1648" s="71"/>
      <c r="F1648" s="71"/>
      <c r="G1648" s="71"/>
      <c r="H1648" s="71"/>
      <c r="I1648" s="73"/>
    </row>
    <row r="1649" spans="2:9" ht="15">
      <c r="B1649" s="396"/>
      <c r="C1649" s="71"/>
      <c r="D1649" s="71"/>
      <c r="F1649" s="71"/>
      <c r="G1649" s="71"/>
      <c r="H1649" s="71"/>
      <c r="I1649" s="73"/>
    </row>
    <row r="1650" spans="2:9" ht="15">
      <c r="B1650" s="396"/>
      <c r="C1650" s="71"/>
      <c r="D1650" s="71"/>
      <c r="F1650" s="71"/>
      <c r="G1650" s="71"/>
      <c r="H1650" s="71"/>
      <c r="I1650" s="73"/>
    </row>
    <row r="1651" spans="2:9" ht="15">
      <c r="B1651" s="396"/>
      <c r="C1651" s="71"/>
      <c r="D1651" s="71"/>
      <c r="F1651" s="71"/>
      <c r="G1651" s="71"/>
      <c r="H1651" s="71"/>
      <c r="I1651" s="73"/>
    </row>
    <row r="1652" spans="2:9" ht="15">
      <c r="B1652" s="396"/>
      <c r="C1652" s="71"/>
      <c r="D1652" s="71"/>
      <c r="F1652" s="71"/>
      <c r="G1652" s="71"/>
      <c r="H1652" s="71"/>
      <c r="I1652" s="73"/>
    </row>
    <row r="1653" spans="2:9" ht="15">
      <c r="B1653" s="396"/>
      <c r="C1653" s="71"/>
      <c r="D1653" s="71"/>
      <c r="F1653" s="71"/>
      <c r="G1653" s="71"/>
      <c r="H1653" s="71"/>
      <c r="I1653" s="73"/>
    </row>
    <row r="1654" spans="2:9" ht="15">
      <c r="B1654" s="396"/>
      <c r="C1654" s="71"/>
      <c r="D1654" s="71"/>
      <c r="F1654" s="71"/>
      <c r="G1654" s="71"/>
      <c r="H1654" s="71"/>
      <c r="I1654" s="73"/>
    </row>
    <row r="1655" spans="2:9" ht="15">
      <c r="B1655" s="396"/>
      <c r="C1655" s="71"/>
      <c r="D1655" s="71"/>
      <c r="F1655" s="71"/>
      <c r="G1655" s="71"/>
      <c r="H1655" s="71"/>
      <c r="I1655" s="73"/>
    </row>
    <row r="1656" spans="2:9" ht="15">
      <c r="B1656" s="396"/>
      <c r="C1656" s="71"/>
      <c r="D1656" s="71"/>
      <c r="F1656" s="71"/>
      <c r="G1656" s="71"/>
      <c r="H1656" s="71"/>
      <c r="I1656" s="73"/>
    </row>
    <row r="1657" spans="2:9" ht="15">
      <c r="B1657" s="396"/>
      <c r="C1657" s="71"/>
      <c r="D1657" s="71"/>
      <c r="F1657" s="71"/>
      <c r="G1657" s="71"/>
      <c r="H1657" s="71"/>
      <c r="I1657" s="73"/>
    </row>
    <row r="1658" spans="2:9" ht="15">
      <c r="B1658" s="396"/>
      <c r="C1658" s="71"/>
      <c r="D1658" s="71"/>
      <c r="F1658" s="71"/>
      <c r="G1658" s="71"/>
      <c r="H1658" s="71"/>
      <c r="I1658" s="73"/>
    </row>
    <row r="1659" spans="2:9" ht="15">
      <c r="B1659" s="396"/>
      <c r="C1659" s="71"/>
      <c r="D1659" s="71"/>
      <c r="F1659" s="71"/>
      <c r="G1659" s="71"/>
      <c r="H1659" s="71"/>
      <c r="I1659" s="73"/>
    </row>
    <row r="1660" spans="2:9" ht="15">
      <c r="B1660" s="396"/>
      <c r="C1660" s="71"/>
      <c r="D1660" s="71"/>
      <c r="F1660" s="71"/>
      <c r="G1660" s="71"/>
      <c r="H1660" s="71"/>
      <c r="I1660" s="73"/>
    </row>
    <row r="1661" spans="2:9" ht="15">
      <c r="B1661" s="396"/>
      <c r="C1661" s="71"/>
      <c r="D1661" s="71"/>
      <c r="F1661" s="71"/>
      <c r="G1661" s="71"/>
      <c r="H1661" s="71"/>
      <c r="I1661" s="73"/>
    </row>
    <row r="1662" spans="2:9" ht="15">
      <c r="B1662" s="396"/>
      <c r="C1662" s="71"/>
      <c r="D1662" s="71"/>
      <c r="F1662" s="71"/>
      <c r="G1662" s="71"/>
      <c r="H1662" s="71"/>
      <c r="I1662" s="73"/>
    </row>
    <row r="1663" spans="2:9" ht="15">
      <c r="B1663" s="396"/>
      <c r="C1663" s="71"/>
      <c r="D1663" s="71"/>
      <c r="F1663" s="71"/>
      <c r="G1663" s="71"/>
      <c r="H1663" s="71"/>
      <c r="I1663" s="73"/>
    </row>
    <row r="1664" spans="2:9" ht="15">
      <c r="B1664" s="396"/>
      <c r="C1664" s="71"/>
      <c r="D1664" s="71"/>
      <c r="F1664" s="71"/>
      <c r="G1664" s="71"/>
      <c r="H1664" s="71"/>
      <c r="I1664" s="73"/>
    </row>
    <row r="1665" spans="2:9" ht="15">
      <c r="B1665" s="396"/>
      <c r="C1665" s="71"/>
      <c r="D1665" s="71"/>
      <c r="F1665" s="71"/>
      <c r="G1665" s="71"/>
      <c r="H1665" s="71"/>
      <c r="I1665" s="73"/>
    </row>
    <row r="1666" spans="2:9" ht="15">
      <c r="B1666" s="396"/>
      <c r="C1666" s="71"/>
      <c r="D1666" s="71"/>
      <c r="F1666" s="71"/>
      <c r="G1666" s="71"/>
      <c r="H1666" s="71"/>
      <c r="I1666" s="73"/>
    </row>
    <row r="1667" spans="2:9" ht="15">
      <c r="B1667" s="396"/>
      <c r="C1667" s="71"/>
      <c r="D1667" s="71"/>
      <c r="F1667" s="71"/>
      <c r="G1667" s="71"/>
      <c r="H1667" s="71"/>
      <c r="I1667" s="73"/>
    </row>
    <row r="1668" spans="2:9" ht="15">
      <c r="B1668" s="396"/>
      <c r="C1668" s="71"/>
      <c r="D1668" s="71"/>
      <c r="F1668" s="71"/>
      <c r="G1668" s="71"/>
      <c r="H1668" s="71"/>
      <c r="I1668" s="73"/>
    </row>
    <row r="1669" spans="2:9" ht="15">
      <c r="B1669" s="396"/>
      <c r="C1669" s="71"/>
      <c r="D1669" s="71"/>
      <c r="F1669" s="71"/>
      <c r="G1669" s="71"/>
      <c r="H1669" s="71"/>
      <c r="I1669" s="73"/>
    </row>
    <row r="1670" spans="2:9" ht="15">
      <c r="B1670" s="396"/>
      <c r="C1670" s="71"/>
      <c r="D1670" s="71"/>
      <c r="F1670" s="71"/>
      <c r="G1670" s="71"/>
      <c r="H1670" s="71"/>
      <c r="I1670" s="73"/>
    </row>
    <row r="1671" spans="2:9" ht="15">
      <c r="B1671" s="396"/>
      <c r="C1671" s="71"/>
      <c r="D1671" s="71"/>
      <c r="F1671" s="71"/>
      <c r="G1671" s="71"/>
      <c r="H1671" s="71"/>
      <c r="I1671" s="73"/>
    </row>
    <row r="1672" spans="2:9" ht="15">
      <c r="B1672" s="396"/>
      <c r="C1672" s="71"/>
      <c r="D1672" s="71"/>
      <c r="F1672" s="71"/>
      <c r="G1672" s="71"/>
      <c r="H1672" s="71"/>
      <c r="I1672" s="73"/>
    </row>
    <row r="1673" spans="2:9" ht="15">
      <c r="B1673" s="396"/>
      <c r="C1673" s="71"/>
      <c r="D1673" s="71"/>
      <c r="F1673" s="71"/>
      <c r="G1673" s="71"/>
      <c r="H1673" s="71"/>
      <c r="I1673" s="73"/>
    </row>
    <row r="1674" spans="2:9" ht="15">
      <c r="B1674" s="396"/>
      <c r="C1674" s="71"/>
      <c r="D1674" s="71"/>
      <c r="F1674" s="71"/>
      <c r="G1674" s="71"/>
      <c r="H1674" s="71"/>
      <c r="I1674" s="73"/>
    </row>
    <row r="1675" spans="2:9" ht="15">
      <c r="B1675" s="396"/>
      <c r="C1675" s="71"/>
      <c r="D1675" s="71"/>
      <c r="F1675" s="71"/>
      <c r="G1675" s="71"/>
      <c r="H1675" s="71"/>
      <c r="I1675" s="73"/>
    </row>
    <row r="1676" spans="2:9" ht="15">
      <c r="B1676" s="396"/>
      <c r="C1676" s="71"/>
      <c r="D1676" s="71"/>
      <c r="F1676" s="71"/>
      <c r="G1676" s="71"/>
      <c r="H1676" s="71"/>
      <c r="I1676" s="73"/>
    </row>
    <row r="1677" spans="2:9" ht="15">
      <c r="B1677" s="396"/>
      <c r="C1677" s="71"/>
      <c r="D1677" s="71"/>
      <c r="F1677" s="71"/>
      <c r="G1677" s="71"/>
      <c r="H1677" s="71"/>
      <c r="I1677" s="73"/>
    </row>
    <row r="1678" spans="2:9" ht="15">
      <c r="B1678" s="396"/>
      <c r="C1678" s="71"/>
      <c r="D1678" s="71"/>
      <c r="F1678" s="71"/>
      <c r="G1678" s="71"/>
      <c r="H1678" s="71"/>
      <c r="I1678" s="73"/>
    </row>
    <row r="1679" spans="2:9" ht="15">
      <c r="B1679" s="396"/>
      <c r="C1679" s="71"/>
      <c r="D1679" s="71"/>
      <c r="F1679" s="71"/>
      <c r="G1679" s="71"/>
      <c r="H1679" s="71"/>
      <c r="I1679" s="73"/>
    </row>
    <row r="1680" spans="2:9" ht="15">
      <c r="B1680" s="396"/>
      <c r="C1680" s="71"/>
      <c r="D1680" s="71"/>
      <c r="F1680" s="71"/>
      <c r="G1680" s="71"/>
      <c r="H1680" s="71"/>
      <c r="I1680" s="73"/>
    </row>
    <row r="1681" spans="2:9" ht="15">
      <c r="B1681" s="396"/>
      <c r="C1681" s="71"/>
      <c r="D1681" s="71"/>
      <c r="F1681" s="71"/>
      <c r="G1681" s="71"/>
      <c r="H1681" s="71"/>
      <c r="I1681" s="73"/>
    </row>
    <row r="1682" spans="2:9" ht="15">
      <c r="B1682" s="396"/>
      <c r="C1682" s="71"/>
      <c r="D1682" s="71"/>
      <c r="F1682" s="71"/>
      <c r="G1682" s="71"/>
      <c r="H1682" s="71"/>
      <c r="I1682" s="73"/>
    </row>
    <row r="1683" spans="2:9" ht="15">
      <c r="B1683" s="396"/>
      <c r="C1683" s="71"/>
      <c r="D1683" s="71"/>
      <c r="F1683" s="71"/>
      <c r="G1683" s="71"/>
      <c r="H1683" s="71"/>
      <c r="I1683" s="73"/>
    </row>
    <row r="1684" spans="2:9" ht="15">
      <c r="B1684" s="396"/>
      <c r="C1684" s="71"/>
      <c r="D1684" s="71"/>
      <c r="F1684" s="71"/>
      <c r="G1684" s="71"/>
      <c r="H1684" s="71"/>
      <c r="I1684" s="73"/>
    </row>
    <row r="1685" spans="2:9" ht="15">
      <c r="B1685" s="396"/>
      <c r="C1685" s="71"/>
      <c r="D1685" s="71"/>
      <c r="F1685" s="71"/>
      <c r="G1685" s="71"/>
      <c r="H1685" s="71"/>
      <c r="I1685" s="73"/>
    </row>
    <row r="1686" spans="2:9" ht="15">
      <c r="B1686" s="396"/>
      <c r="C1686" s="71"/>
      <c r="D1686" s="71"/>
      <c r="F1686" s="71"/>
      <c r="G1686" s="71"/>
      <c r="H1686" s="71"/>
      <c r="I1686" s="73"/>
    </row>
    <row r="1687" spans="2:9" ht="15">
      <c r="B1687" s="396"/>
      <c r="C1687" s="71"/>
      <c r="D1687" s="71"/>
      <c r="F1687" s="71"/>
      <c r="G1687" s="71"/>
      <c r="H1687" s="71"/>
      <c r="I1687" s="73"/>
    </row>
    <row r="1688" spans="2:9" ht="15">
      <c r="B1688" s="396"/>
      <c r="C1688" s="71"/>
      <c r="D1688" s="71"/>
      <c r="F1688" s="71"/>
      <c r="G1688" s="71"/>
      <c r="H1688" s="71"/>
      <c r="I1688" s="73"/>
    </row>
    <row r="1689" spans="2:9" ht="15">
      <c r="B1689" s="396"/>
      <c r="C1689" s="71"/>
      <c r="D1689" s="71"/>
      <c r="F1689" s="71"/>
      <c r="G1689" s="71"/>
      <c r="H1689" s="71"/>
      <c r="I1689" s="73"/>
    </row>
    <row r="1690" spans="2:9" ht="15">
      <c r="B1690" s="396"/>
      <c r="C1690" s="71"/>
      <c r="D1690" s="71"/>
      <c r="F1690" s="71"/>
      <c r="G1690" s="71"/>
      <c r="H1690" s="71"/>
      <c r="I1690" s="73"/>
    </row>
    <row r="1691" spans="2:9" ht="15">
      <c r="B1691" s="396"/>
      <c r="C1691" s="71"/>
      <c r="D1691" s="71"/>
      <c r="F1691" s="71"/>
      <c r="G1691" s="71"/>
      <c r="H1691" s="71"/>
      <c r="I1691" s="73"/>
    </row>
    <row r="1692" spans="2:9" ht="15">
      <c r="B1692" s="396"/>
      <c r="C1692" s="71"/>
      <c r="D1692" s="71"/>
      <c r="F1692" s="71"/>
      <c r="G1692" s="71"/>
      <c r="H1692" s="71"/>
      <c r="I1692" s="73"/>
    </row>
    <row r="1693" spans="2:9" ht="15">
      <c r="B1693" s="396"/>
      <c r="C1693" s="71"/>
      <c r="D1693" s="71"/>
      <c r="F1693" s="71"/>
      <c r="G1693" s="71"/>
      <c r="H1693" s="71"/>
      <c r="I1693" s="73"/>
    </row>
    <row r="1694" spans="2:9" ht="15">
      <c r="B1694" s="396"/>
      <c r="C1694" s="71"/>
      <c r="D1694" s="71"/>
      <c r="F1694" s="71"/>
      <c r="G1694" s="71"/>
      <c r="H1694" s="71"/>
      <c r="I1694" s="73"/>
    </row>
    <row r="1695" spans="2:9" ht="15">
      <c r="B1695" s="396"/>
      <c r="C1695" s="71"/>
      <c r="D1695" s="71"/>
      <c r="F1695" s="71"/>
      <c r="G1695" s="71"/>
      <c r="H1695" s="71"/>
      <c r="I1695" s="73"/>
    </row>
    <row r="1696" spans="2:9" ht="15">
      <c r="B1696" s="396"/>
      <c r="C1696" s="71"/>
      <c r="D1696" s="71"/>
      <c r="F1696" s="71"/>
      <c r="G1696" s="71"/>
      <c r="H1696" s="71"/>
      <c r="I1696" s="73"/>
    </row>
    <row r="1697" spans="2:9" ht="15">
      <c r="B1697" s="396"/>
      <c r="C1697" s="71"/>
      <c r="D1697" s="71"/>
      <c r="F1697" s="71"/>
      <c r="G1697" s="71"/>
      <c r="H1697" s="71"/>
      <c r="I1697" s="73"/>
    </row>
    <row r="1698" spans="2:9" ht="15">
      <c r="B1698" s="396"/>
      <c r="C1698" s="71"/>
      <c r="D1698" s="71"/>
      <c r="F1698" s="71"/>
      <c r="G1698" s="71"/>
      <c r="H1698" s="71"/>
      <c r="I1698" s="73"/>
    </row>
    <row r="1699" spans="2:9" ht="15">
      <c r="B1699" s="396"/>
      <c r="C1699" s="71"/>
      <c r="D1699" s="71"/>
      <c r="F1699" s="71"/>
      <c r="G1699" s="71"/>
      <c r="H1699" s="71"/>
      <c r="I1699" s="73"/>
    </row>
    <row r="1700" spans="2:9" ht="15">
      <c r="B1700" s="396"/>
      <c r="C1700" s="71"/>
      <c r="D1700" s="71"/>
      <c r="F1700" s="71"/>
      <c r="G1700" s="71"/>
      <c r="H1700" s="71"/>
      <c r="I1700" s="73"/>
    </row>
    <row r="1701" spans="2:9" ht="15">
      <c r="B1701" s="396"/>
      <c r="C1701" s="71"/>
      <c r="D1701" s="71"/>
      <c r="F1701" s="71"/>
      <c r="G1701" s="71"/>
      <c r="H1701" s="71"/>
      <c r="I1701" s="73"/>
    </row>
    <row r="1702" spans="2:9" ht="15">
      <c r="B1702" s="396"/>
      <c r="C1702" s="71"/>
      <c r="D1702" s="71"/>
      <c r="F1702" s="71"/>
      <c r="G1702" s="71"/>
      <c r="H1702" s="71"/>
      <c r="I1702" s="73"/>
    </row>
    <row r="1703" spans="2:9" ht="15">
      <c r="B1703" s="396"/>
      <c r="C1703" s="71"/>
      <c r="D1703" s="71"/>
      <c r="F1703" s="71"/>
      <c r="G1703" s="71"/>
      <c r="H1703" s="71"/>
      <c r="I1703" s="73"/>
    </row>
    <row r="1704" spans="2:9" ht="15">
      <c r="B1704" s="396"/>
      <c r="C1704" s="71"/>
      <c r="D1704" s="71"/>
      <c r="F1704" s="71"/>
      <c r="G1704" s="71"/>
      <c r="H1704" s="71"/>
      <c r="I1704" s="73"/>
    </row>
    <row r="1705" spans="2:9" ht="15">
      <c r="B1705" s="396"/>
      <c r="C1705" s="71"/>
      <c r="D1705" s="71"/>
      <c r="F1705" s="71"/>
      <c r="G1705" s="71"/>
      <c r="H1705" s="71"/>
      <c r="I1705" s="73"/>
    </row>
    <row r="1706" spans="2:9" ht="15">
      <c r="B1706" s="396"/>
      <c r="C1706" s="71"/>
      <c r="D1706" s="71"/>
      <c r="F1706" s="71"/>
      <c r="G1706" s="71"/>
      <c r="H1706" s="71"/>
      <c r="I1706" s="73"/>
    </row>
    <row r="1707" spans="2:9" ht="15">
      <c r="B1707" s="396"/>
      <c r="C1707" s="71"/>
      <c r="D1707" s="71"/>
      <c r="F1707" s="71"/>
      <c r="G1707" s="71"/>
      <c r="H1707" s="71"/>
      <c r="I1707" s="73"/>
    </row>
    <row r="1708" spans="2:9" ht="15">
      <c r="B1708" s="396"/>
      <c r="C1708" s="71"/>
      <c r="D1708" s="71"/>
      <c r="F1708" s="71"/>
      <c r="G1708" s="71"/>
      <c r="H1708" s="71"/>
      <c r="I1708" s="73"/>
    </row>
    <row r="1709" spans="2:9" ht="15">
      <c r="B1709" s="396"/>
      <c r="C1709" s="71"/>
      <c r="D1709" s="71"/>
      <c r="F1709" s="71"/>
      <c r="G1709" s="71"/>
      <c r="H1709" s="71"/>
      <c r="I1709" s="73"/>
    </row>
    <row r="1710" spans="2:9" ht="15">
      <c r="B1710" s="396"/>
      <c r="C1710" s="71"/>
      <c r="D1710" s="71"/>
      <c r="F1710" s="71"/>
      <c r="G1710" s="71"/>
      <c r="H1710" s="71"/>
      <c r="I1710" s="73"/>
    </row>
    <row r="1711" spans="2:9" ht="15">
      <c r="B1711" s="396"/>
      <c r="C1711" s="71"/>
      <c r="D1711" s="71"/>
      <c r="F1711" s="71"/>
      <c r="G1711" s="71"/>
      <c r="H1711" s="71"/>
      <c r="I1711" s="73"/>
    </row>
    <row r="1712" spans="2:9" ht="15">
      <c r="B1712" s="396"/>
      <c r="C1712" s="71"/>
      <c r="D1712" s="71"/>
      <c r="F1712" s="71"/>
      <c r="G1712" s="71"/>
      <c r="H1712" s="71"/>
      <c r="I1712" s="73"/>
    </row>
    <row r="1713" spans="2:9" ht="15">
      <c r="B1713" s="396"/>
      <c r="C1713" s="71"/>
      <c r="D1713" s="71"/>
      <c r="F1713" s="71"/>
      <c r="G1713" s="71"/>
      <c r="H1713" s="71"/>
      <c r="I1713" s="73"/>
    </row>
    <row r="1714" spans="2:9" ht="15">
      <c r="B1714" s="396"/>
      <c r="C1714" s="71"/>
      <c r="D1714" s="71"/>
      <c r="F1714" s="71"/>
      <c r="G1714" s="71"/>
      <c r="H1714" s="71"/>
      <c r="I1714" s="73"/>
    </row>
    <row r="1715" spans="2:9" ht="15">
      <c r="B1715" s="396"/>
      <c r="C1715" s="71"/>
      <c r="D1715" s="71"/>
      <c r="F1715" s="71"/>
      <c r="G1715" s="71"/>
      <c r="H1715" s="71"/>
      <c r="I1715" s="73"/>
    </row>
    <row r="1716" spans="2:9" ht="15">
      <c r="B1716" s="396"/>
      <c r="C1716" s="71"/>
      <c r="D1716" s="71"/>
      <c r="F1716" s="71"/>
      <c r="G1716" s="71"/>
      <c r="H1716" s="71"/>
      <c r="I1716" s="73"/>
    </row>
    <row r="1717" spans="2:9" ht="15">
      <c r="B1717" s="396"/>
      <c r="C1717" s="71"/>
      <c r="D1717" s="71"/>
      <c r="F1717" s="71"/>
      <c r="G1717" s="71"/>
      <c r="H1717" s="71"/>
      <c r="I1717" s="73"/>
    </row>
    <row r="1718" spans="2:9" ht="15">
      <c r="B1718" s="396"/>
      <c r="C1718" s="71"/>
      <c r="D1718" s="71"/>
      <c r="F1718" s="71"/>
      <c r="G1718" s="71"/>
      <c r="H1718" s="71"/>
      <c r="I1718" s="73"/>
    </row>
    <row r="1719" spans="2:9" ht="15">
      <c r="B1719" s="396"/>
      <c r="C1719" s="71"/>
      <c r="D1719" s="71"/>
      <c r="F1719" s="71"/>
      <c r="G1719" s="71"/>
      <c r="H1719" s="71"/>
      <c r="I1719" s="73"/>
    </row>
    <row r="1720" spans="2:9" ht="15">
      <c r="B1720" s="396"/>
      <c r="C1720" s="71"/>
      <c r="D1720" s="71"/>
      <c r="F1720" s="71"/>
      <c r="G1720" s="71"/>
      <c r="H1720" s="71"/>
      <c r="I1720" s="73"/>
    </row>
    <row r="1721" spans="2:9" ht="15">
      <c r="B1721" s="396"/>
      <c r="C1721" s="71"/>
      <c r="D1721" s="71"/>
      <c r="F1721" s="71"/>
      <c r="G1721" s="71"/>
      <c r="H1721" s="71"/>
      <c r="I1721" s="73"/>
    </row>
    <row r="1722" spans="2:9" ht="15">
      <c r="B1722" s="396"/>
      <c r="C1722" s="71"/>
      <c r="D1722" s="71"/>
      <c r="F1722" s="71"/>
      <c r="G1722" s="71"/>
      <c r="H1722" s="71"/>
      <c r="I1722" s="73"/>
    </row>
    <row r="1723" spans="2:9" ht="15">
      <c r="B1723" s="396"/>
      <c r="C1723" s="71"/>
      <c r="D1723" s="71"/>
      <c r="F1723" s="71"/>
      <c r="G1723" s="71"/>
      <c r="H1723" s="71"/>
      <c r="I1723" s="73"/>
    </row>
  </sheetData>
  <sheetProtection formatCells="0" formatColumns="0" formatRows="0" insertColumns="0" insertRows="0" insertHyperlinks="0" deleteColumns="0" deleteRows="0" sort="0" autoFilter="0" pivotTables="0"/>
  <dataConsolidate link="1"/>
  <phoneticPr fontId="49" type="noConversion"/>
  <hyperlinks>
    <hyperlink ref="I21" r:id="rId1" tooltip="http://www.BikeReg.com/52644" xr:uid="{9852093C-6B7D-41F4-BBD1-F4297F132588}"/>
    <hyperlink ref="I22" r:id="rId2" tooltip="http://www.BikeReg.com/53755" xr:uid="{FA0DD9C3-A7EC-4D17-84A2-8BF04E20F529}"/>
    <hyperlink ref="I23" r:id="rId3" tooltip="http://www.BikeReg.com/54353" xr:uid="{5274CEE9-FAA0-46B4-9B2B-29D2D7813861}"/>
    <hyperlink ref="I24" r:id="rId4" tooltip="http://www.BikeReg.com/54042" xr:uid="{86878392-E5A4-430E-B49A-C09F9232631C}"/>
    <hyperlink ref="I25" r:id="rId5" tooltip="http://www.BikeReg.com/54495" xr:uid="{72E9A511-F3DD-4800-9E77-1F63DF246094}"/>
    <hyperlink ref="I27" r:id="rId6" tooltip="http://www.BikeReg.com/54371" xr:uid="{CEF49383-E06E-42D7-8814-8A6FDACAB9E2}"/>
    <hyperlink ref="I28" r:id="rId7" tooltip="http://www.BikeReg.com/54043" xr:uid="{F9DFFBAA-4E97-47F0-940D-096E9A103595}"/>
    <hyperlink ref="I29" r:id="rId8" tooltip="http://www.BikeReg.com/54708" xr:uid="{79FECDB5-BC58-427F-BBA0-4522DCC7612F}"/>
    <hyperlink ref="I30" r:id="rId9" tooltip="http://www.BikeReg.com/54045" xr:uid="{F054EA2A-7749-4EE9-B0A6-4F151268261C}"/>
    <hyperlink ref="I31" r:id="rId10" tooltip="http://www.BikeReg.com/54143" xr:uid="{30BEC979-C51D-4DAF-B98D-E112AE5F01A0}"/>
    <hyperlink ref="I32" r:id="rId11" tooltip="http://www.BikeReg.com/54738" xr:uid="{D2414A7B-E90D-4FD6-AB80-4AF321B27A0C}"/>
    <hyperlink ref="I33" r:id="rId12" tooltip="http://www.BikeReg.com/54364" xr:uid="{422155D2-86FC-46E2-A609-7685CEF92D5C}"/>
    <hyperlink ref="I35" r:id="rId13" tooltip="http://www.BikeReg.com/54736" xr:uid="{608D76ED-48E3-45DC-A195-125709356286}"/>
    <hyperlink ref="I36" r:id="rId14" tooltip="http://www.BikeReg.com/53159" xr:uid="{8BAD2698-12A4-43D2-BA8E-53E75AC2D86C}"/>
    <hyperlink ref="I38" r:id="rId15" tooltip="http://www.BikeReg.com/54356" xr:uid="{33591E4D-1FF2-454F-908E-17092DF190B1}"/>
    <hyperlink ref="I39" r:id="rId16" tooltip="http://www.BikeReg.com/54638" xr:uid="{A2F92A00-835B-48DD-8033-F51722C03354}"/>
    <hyperlink ref="I40" r:id="rId17" tooltip="http://www.BikeReg.com/53953" xr:uid="{62294698-7B1F-4634-90C6-0442FD378687}"/>
    <hyperlink ref="I41" r:id="rId18" tooltip="http://www.BikeReg.com/54636" xr:uid="{01BA2CA5-348A-40FA-9236-6A6CD9BBA815}"/>
    <hyperlink ref="I43" r:id="rId19" tooltip="http://www.BikeReg.com/54741" xr:uid="{A3ADDA21-220D-4C43-8372-2A2D20175576}"/>
    <hyperlink ref="I44" r:id="rId20" tooltip="http://www.BikeReg.com/54357" xr:uid="{217A289F-776F-4098-B70B-E914E7978DD8}"/>
    <hyperlink ref="I45" r:id="rId21" tooltip="http://www.BikeReg.com/55109" xr:uid="{59BFA339-4F34-4650-B183-91066A59B548}"/>
    <hyperlink ref="I46" r:id="rId22" tooltip="http://www.BikeReg.com/53165" xr:uid="{CF94F74B-FE18-4252-BE6A-1A105E687C86}"/>
    <hyperlink ref="I48" r:id="rId23" tooltip="http://www.BikeReg.com/55110" xr:uid="{A829C2E4-0557-4F7B-9F9A-A0B41BEEB4A8}"/>
    <hyperlink ref="I50" r:id="rId24" tooltip="http://www.BikeReg.com/54154" xr:uid="{C9A9DB24-5AFA-4FDA-B592-A696B1FC8C4A}"/>
    <hyperlink ref="I51" r:id="rId25" tooltip="http://www.BikeReg.com/54712" xr:uid="{952B41A6-29FB-4C4A-92A0-657302005FD9}"/>
    <hyperlink ref="I52" r:id="rId26" tooltip="http://www.BikeReg.com/53343" xr:uid="{8C7EC1FB-CDD1-47D4-96A2-DD99B4B5504E}"/>
    <hyperlink ref="I53" r:id="rId27" tooltip="http://www.BikeReg.com/54122" xr:uid="{D0024C25-AEA1-42BF-868B-7AE8257BB65B}"/>
    <hyperlink ref="I54" r:id="rId28" tooltip="http://www.BikeReg.com/55299" xr:uid="{99F39562-6133-46A6-8F6C-DED4A1364712}"/>
    <hyperlink ref="I55" r:id="rId29" tooltip="http://www.BikeReg.com/54358" xr:uid="{286981DF-C450-4207-9550-877C8E27EFFF}"/>
    <hyperlink ref="I56" r:id="rId30" tooltip="http://www.BikeReg.com/52319" xr:uid="{69563687-84E6-4A2C-A5EE-D73B88E2FBAD}"/>
    <hyperlink ref="I57" r:id="rId31" tooltip="http://www.BikeReg.com/54194" xr:uid="{C97390F4-C0E4-4D8C-A474-3CC151035A15}"/>
    <hyperlink ref="I58" r:id="rId32" tooltip="http://www.BikeReg.com/55234" xr:uid="{DC0025AD-CE5E-4EF6-AF77-47026F53018D}"/>
    <hyperlink ref="I59" r:id="rId33" tooltip="http://www.BikeReg.com/53065" xr:uid="{EA267CB9-EA8A-41A8-A3DE-3FC14A11BC99}"/>
    <hyperlink ref="I60" r:id="rId34" tooltip="http://www.BikeReg.com/54359" xr:uid="{3A011317-F8B8-4C52-89AF-3A5815C60A0B}"/>
    <hyperlink ref="I61" r:id="rId35" tooltip="http://www.BikeReg.com/54349" xr:uid="{1B0ED9D9-2626-438D-9807-9EE2AD4A8F93}"/>
    <hyperlink ref="I62" r:id="rId36" tooltip="http://www.BikeReg.com/55217" xr:uid="{11EA0C1C-CF0E-4C60-8DE0-BB064EA7DD87}"/>
    <hyperlink ref="I63" r:id="rId37" tooltip="http://www.BikeReg.com/53870" xr:uid="{641D2334-98B1-49BE-AF80-4681415B4FC3}"/>
    <hyperlink ref="I64" r:id="rId38" tooltip="http://www.BikeReg.com/55555" xr:uid="{1098C52B-AC52-4AA2-A9FB-1F48D27C9B80}"/>
    <hyperlink ref="I65" r:id="rId39" tooltip="http://www.BikeReg.com/53930" xr:uid="{978801AB-AA1E-4009-9719-FE3E4CBDE84D}"/>
    <hyperlink ref="I66" r:id="rId40" tooltip="http://www.BikeReg.com/54788" xr:uid="{343E78CE-436D-41C8-AD77-D4F95BFCF4C6}"/>
    <hyperlink ref="I67" r:id="rId41" tooltip="http://www.BikeReg.com/55231" xr:uid="{5355D042-7F72-49E6-8C72-7D86316DFC58}"/>
    <hyperlink ref="I68" r:id="rId42" tooltip="http://www.BikeReg.com/55227" xr:uid="{40A662C1-5C25-4911-A7DF-BEA4B1AF26F3}"/>
    <hyperlink ref="I69" r:id="rId43" tooltip="http://www.BikeReg.com/55546" xr:uid="{565F8C95-61E5-4D3C-9F88-D1D9BE1B09C9}"/>
    <hyperlink ref="I70" r:id="rId44" tooltip="http://www.BikeReg.com/54365" xr:uid="{39F5B579-7C3D-4BD7-9BFC-A2B7318499AD}"/>
    <hyperlink ref="I71" r:id="rId45" tooltip="http://www.BikeReg.com/55273" xr:uid="{27E32BC2-48FC-4582-B3BE-8AB078656448}"/>
    <hyperlink ref="I72" r:id="rId46" tooltip="http://www.BikeReg.com/55228" xr:uid="{09453A49-9D5F-4CE0-A8E5-5F67B5568C81}"/>
    <hyperlink ref="I73" r:id="rId47" tooltip="http://www.BikeReg.com/55274" xr:uid="{16D9229E-BA37-4BC5-8459-20A13B9076E7}"/>
    <hyperlink ref="I74" r:id="rId48" tooltip="http://www.BikeReg.com/54373" xr:uid="{16C5719C-27DE-4DF5-AFA3-12D07A0AD7B6}"/>
    <hyperlink ref="I75" r:id="rId49" tooltip="http://www.BikeReg.com/53135" xr:uid="{D17D79F2-4453-45B4-984E-A60BC4D985D5}"/>
    <hyperlink ref="I76" r:id="rId50" tooltip="http://www.BikeReg.com/55229" xr:uid="{32C5B2F7-9E88-4466-8BA6-F3009B6C6CAE}"/>
    <hyperlink ref="I77" r:id="rId51" tooltip="http://www.BikeReg.com/55387" xr:uid="{BB42642A-1C45-4CD4-8334-CD2ABC8E8B8D}"/>
    <hyperlink ref="I78" r:id="rId52" tooltip="http://www.BikeReg.com/54370" xr:uid="{54C1B8EB-4988-44CC-8677-10A31672222F}"/>
    <hyperlink ref="I79" r:id="rId53" tooltip="http://www.BikeReg.com/54360" xr:uid="{AF9B3339-A19B-4533-8663-37E7990D2B4F}"/>
    <hyperlink ref="I80" r:id="rId54" tooltip="http://www.BikeReg.com/53932" xr:uid="{D1130D6D-00D9-4B8B-88C4-3279DB0F4D48}"/>
    <hyperlink ref="I81" r:id="rId55" tooltip="http://www.BikeReg.com/54361" xr:uid="{EB799AD2-6F71-4E19-985E-EAB6337FB4DB}"/>
    <hyperlink ref="I82" r:id="rId56" tooltip="http://www.BikeReg.com/53035" xr:uid="{C11539D7-E45D-485A-9F1A-26D6EE7EDC1F}"/>
    <hyperlink ref="I84" r:id="rId57" tooltip="http://www.BikeReg.com/54362" xr:uid="{D8B843E5-A203-4F01-A9C2-D19754ABCC26}"/>
    <hyperlink ref="I86" r:id="rId58" tooltip="http://www.BikeReg.com/54379" xr:uid="{0DF0E686-F985-4FE8-8AA9-10A261D54663}"/>
    <hyperlink ref="I87" r:id="rId59" tooltip="http://www.BikeReg.com/54363" xr:uid="{2F37539E-4367-4A92-BE3B-5AA420A0F837}"/>
    <hyperlink ref="I89" r:id="rId60" tooltip="http://www.BikeReg.com/53972" xr:uid="{A6FD4FEB-AE34-46CD-9F53-D9149FA5A02B}"/>
  </hyperlinks>
  <pageMargins left="0.7" right="0.7" top="0.75" bottom="0.75" header="0.3" footer="0.3"/>
  <pageSetup orientation="portrait" horizontalDpi="4294967293" verticalDpi="4294967293" r:id="rId61"/>
  <drawing r:id="rId62"/>
  <legacyDrawing r:id="rId63"/>
  <controls>
    <mc:AlternateContent xmlns:mc="http://schemas.openxmlformats.org/markup-compatibility/2006">
      <mc:Choice Requires="x14">
        <control shapeId="7176" r:id="rId64" name="StateBox">
          <controlPr defaultSize="0" autoFill="0" autoLine="0" linkedCell="StateSearch" listFillRange="StateNames" r:id="rId65">
            <anchor>
              <from>
                <xdr:col>2</xdr:col>
                <xdr:colOff>4029075</xdr:colOff>
                <xdr:row>15</xdr:row>
                <xdr:rowOff>152400</xdr:rowOff>
              </from>
              <to>
                <xdr:col>4</xdr:col>
                <xdr:colOff>419100</xdr:colOff>
                <xdr:row>17</xdr:row>
                <xdr:rowOff>57150</xdr:rowOff>
              </to>
            </anchor>
          </controlPr>
        </control>
      </mc:Choice>
      <mc:Fallback>
        <control shapeId="7176" r:id="rId64" name="StateBox"/>
      </mc:Fallback>
    </mc:AlternateContent>
    <mc:AlternateContent xmlns:mc="http://schemas.openxmlformats.org/markup-compatibility/2006">
      <mc:Choice Requires="x14">
        <control shapeId="7184" r:id="rId66" name="APIBox">
          <controlPr defaultSize="0" autoFill="0" autoLine="0" linkedCell="APISearch" listFillRange="APIList" r:id="rId67">
            <anchor>
              <from>
                <xdr:col>1</xdr:col>
                <xdr:colOff>47625</xdr:colOff>
                <xdr:row>15</xdr:row>
                <xdr:rowOff>152400</xdr:rowOff>
              </from>
              <to>
                <xdr:col>2</xdr:col>
                <xdr:colOff>381000</xdr:colOff>
                <xdr:row>17</xdr:row>
                <xdr:rowOff>57150</xdr:rowOff>
              </to>
            </anchor>
          </controlPr>
        </control>
      </mc:Choice>
      <mc:Fallback>
        <control shapeId="7184" r:id="rId66" name="APIBox"/>
      </mc:Fallback>
    </mc:AlternateContent>
    <mc:AlternateContent xmlns:mc="http://schemas.openxmlformats.org/markup-compatibility/2006">
      <mc:Choice Requires="x14">
        <control shapeId="7185" r:id="rId68" name="EventTypeBox">
          <controlPr defaultSize="0" autoFill="0" autoLine="0" linkedCell="EventType" listFillRange="EventTypeList" r:id="rId69">
            <anchor>
              <from>
                <xdr:col>2</xdr:col>
                <xdr:colOff>2352675</xdr:colOff>
                <xdr:row>15</xdr:row>
                <xdr:rowOff>152400</xdr:rowOff>
              </from>
              <to>
                <xdr:col>2</xdr:col>
                <xdr:colOff>3752850</xdr:colOff>
                <xdr:row>17</xdr:row>
                <xdr:rowOff>57150</xdr:rowOff>
              </to>
            </anchor>
          </controlPr>
        </control>
      </mc:Choice>
      <mc:Fallback>
        <control shapeId="7185" r:id="rId68" name="EventTypeBox"/>
      </mc:Fallback>
    </mc:AlternateContent>
    <mc:AlternateContent xmlns:mc="http://schemas.openxmlformats.org/markup-compatibility/2006">
      <mc:Choice Requires="x14">
        <control shapeId="7186" r:id="rId70" name="SeasonBox">
          <controlPr defaultSize="0" autoFill="0" autoLine="0" linkedCell="SeasonSearch" listFillRange="SeasonList" r:id="rId71">
            <anchor>
              <from>
                <xdr:col>2</xdr:col>
                <xdr:colOff>666750</xdr:colOff>
                <xdr:row>15</xdr:row>
                <xdr:rowOff>152400</xdr:rowOff>
              </from>
              <to>
                <xdr:col>2</xdr:col>
                <xdr:colOff>2066925</xdr:colOff>
                <xdr:row>17</xdr:row>
                <xdr:rowOff>57150</xdr:rowOff>
              </to>
            </anchor>
          </controlPr>
        </control>
      </mc:Choice>
      <mc:Fallback>
        <control shapeId="7186" r:id="rId70" name="SeasonBox"/>
      </mc:Fallback>
    </mc:AlternateContent>
    <mc:AlternateContent xmlns:mc="http://schemas.openxmlformats.org/markup-compatibility/2006">
      <mc:Choice Requires="x14">
        <control shapeId="7170" r:id="rId72" name="EventsAddButton">
          <controlPr defaultSize="0" autoFill="0" autoPict="0" macro="[0]!AddEvents" altText="Add Event to Calendar">
            <anchor>
              <from>
                <xdr:col>2</xdr:col>
                <xdr:colOff>38100</xdr:colOff>
                <xdr:row>1</xdr:row>
                <xdr:rowOff>57150</xdr:rowOff>
              </from>
              <to>
                <xdr:col>2</xdr:col>
                <xdr:colOff>1866900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3" r:id="rId73" name="EventsTransferButton">
          <controlPr defaultSize="0" autoFill="0" autoPict="0" macro="[0]!AddFavoritesEvents" altText="Add Event to Calendar">
            <anchor>
              <from>
                <xdr:col>6</xdr:col>
                <xdr:colOff>285750</xdr:colOff>
                <xdr:row>15</xdr:row>
                <xdr:rowOff>142875</xdr:rowOff>
              </from>
              <to>
                <xdr:col>8</xdr:col>
                <xdr:colOff>809625</xdr:colOff>
                <xdr:row>17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7" r:id="rId74" name="EventsUpdateButton">
          <controlPr defaultSize="0" autoFill="0" autoPict="0" macro="[0]!UpdateCalendarButton" altText="Update Calendar">
            <anchor>
              <from>
                <xdr:col>5</xdr:col>
                <xdr:colOff>200025</xdr:colOff>
                <xdr:row>15</xdr:row>
                <xdr:rowOff>152400</xdr:rowOff>
              </from>
              <to>
                <xdr:col>5</xdr:col>
                <xdr:colOff>2028825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8" r:id="rId75" name="EventsDateButton">
          <controlPr defaultSize="0" autoFill="0" autoPict="0" macro="[0]!EventsDateButton_Click" altText="Add Event to Calendar">
            <anchor>
              <from>
                <xdr:col>2</xdr:col>
                <xdr:colOff>2047875</xdr:colOff>
                <xdr:row>1</xdr:row>
                <xdr:rowOff>57150</xdr:rowOff>
              </from>
              <to>
                <xdr:col>2</xdr:col>
                <xdr:colOff>3876675</xdr:colOff>
                <xdr:row>2</xdr:row>
                <xdr:rowOff>114300</xdr:rowOff>
              </to>
            </anchor>
          </controlPr>
        </control>
      </mc:Choice>
    </mc:AlternateContent>
  </controls>
  <tableParts count="2">
    <tablePart r:id="rId76"/>
    <tablePart r:id="rId7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96926-81C4-42F6-AFF6-C1EB76FAF200}">
  <sheetPr codeName="Sheet1"/>
  <dimension ref="A1:AX34"/>
  <sheetViews>
    <sheetView showGridLines="0" showRowColHeaders="0" zoomScaleNormal="100" zoomScaleSheetLayoutView="100" workbookViewId="0">
      <pane ySplit="1" topLeftCell="A2" activePane="bottomLeft" state="frozen"/>
      <selection pane="bottomLeft" activeCell="C4" sqref="C4"/>
    </sheetView>
  </sheetViews>
  <sheetFormatPr defaultColWidth="0" defaultRowHeight="14.25"/>
  <cols>
    <col min="1" max="1" width="1.7109375" style="39" customWidth="1"/>
    <col min="2" max="2" width="38.5703125" style="39" bestFit="1" customWidth="1"/>
    <col min="3" max="3" width="6.7109375" style="39" customWidth="1"/>
    <col min="4" max="4" width="4.28515625" style="39" customWidth="1"/>
    <col min="5" max="5" width="5.7109375" style="39" customWidth="1"/>
    <col min="6" max="6" width="4.28515625" style="39" customWidth="1"/>
    <col min="7" max="7" width="6.7109375" style="39" customWidth="1"/>
    <col min="8" max="8" width="6.140625" style="39" bestFit="1" customWidth="1"/>
    <col min="9" max="9" width="5.7109375" style="96" customWidth="1"/>
    <col min="10" max="10" width="13.28515625" style="96" customWidth="1"/>
    <col min="11" max="11" width="55.7109375" style="96" customWidth="1"/>
    <col min="12" max="12" width="23.140625" style="96" bestFit="1" customWidth="1"/>
    <col min="13" max="13" width="7" style="96" bestFit="1" customWidth="1"/>
    <col min="14" max="22" width="10.7109375" style="96" customWidth="1"/>
    <col min="23" max="27" width="10.7109375" style="96" hidden="1" customWidth="1"/>
    <col min="28" max="31" width="10.7109375" style="39" hidden="1" customWidth="1"/>
    <col min="32" max="50" width="0" style="39" hidden="1" customWidth="1"/>
    <col min="51" max="16384" width="9.140625" style="39" hidden="1"/>
  </cols>
  <sheetData>
    <row r="1" spans="1:50" s="38" customFormat="1" ht="21" customHeight="1">
      <c r="A1" s="107"/>
      <c r="B1" s="106" t="s">
        <v>551</v>
      </c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</row>
    <row r="2" spans="1:50" ht="5.0999999999999996" customHeight="1"/>
    <row r="3" spans="1:50" s="40" customFormat="1" ht="18">
      <c r="B3" s="423" t="s">
        <v>54</v>
      </c>
      <c r="C3" s="424"/>
      <c r="D3" s="424"/>
      <c r="E3" s="424"/>
      <c r="F3" s="424"/>
      <c r="G3" s="424"/>
      <c r="H3" s="425"/>
      <c r="I3" s="97"/>
      <c r="J3" s="139" t="s">
        <v>528</v>
      </c>
      <c r="K3" s="140"/>
      <c r="L3" s="140"/>
      <c r="M3" s="143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</row>
    <row r="4" spans="1:50" ht="15.75">
      <c r="B4" s="195" t="s">
        <v>59</v>
      </c>
      <c r="C4" s="275">
        <v>1</v>
      </c>
      <c r="D4" s="276" t="s">
        <v>52</v>
      </c>
      <c r="E4" s="275">
        <v>30</v>
      </c>
      <c r="F4" s="277" t="s">
        <v>53</v>
      </c>
      <c r="G4" s="278"/>
      <c r="H4" s="272">
        <f>Available_Annual_Hours</f>
        <v>360</v>
      </c>
      <c r="I4" s="136"/>
      <c r="J4" s="101" t="s">
        <v>18</v>
      </c>
      <c r="K4" s="101" t="s">
        <v>10</v>
      </c>
      <c r="L4" s="101" t="s">
        <v>354</v>
      </c>
      <c r="M4" s="4" t="s">
        <v>209</v>
      </c>
      <c r="N4" s="136"/>
      <c r="O4" s="136"/>
      <c r="P4" s="136"/>
      <c r="Q4" s="136"/>
      <c r="R4" s="136"/>
      <c r="S4" s="136"/>
      <c r="T4" s="136"/>
      <c r="U4" s="136"/>
      <c r="V4" s="136"/>
      <c r="W4" s="136"/>
      <c r="X4" s="136"/>
      <c r="Y4" s="136"/>
      <c r="Z4" s="136"/>
      <c r="AA4" s="39"/>
    </row>
    <row r="5" spans="1:50" ht="15.75">
      <c r="B5" s="195" t="s">
        <v>58</v>
      </c>
      <c r="C5" s="279">
        <v>5</v>
      </c>
      <c r="D5" s="280"/>
      <c r="E5" s="281"/>
      <c r="F5" s="282"/>
      <c r="G5" s="282"/>
      <c r="H5" s="273">
        <f>Available_Annual_Hours</f>
        <v>360</v>
      </c>
      <c r="I5" s="136"/>
      <c r="J5" s="137"/>
      <c r="K5" s="138"/>
      <c r="L5" s="138"/>
      <c r="M5" s="144"/>
      <c r="N5" s="236" t="s">
        <v>97</v>
      </c>
      <c r="O5" s="136"/>
      <c r="P5" s="136"/>
      <c r="Q5" s="136"/>
      <c r="R5" s="136"/>
      <c r="S5" s="136"/>
      <c r="T5" s="136"/>
      <c r="U5" s="136"/>
      <c r="V5" s="136"/>
      <c r="W5" s="136"/>
      <c r="X5" s="136"/>
      <c r="Y5" s="136"/>
      <c r="Z5" s="136"/>
      <c r="AA5" s="39"/>
    </row>
    <row r="6" spans="1:50" ht="15.75">
      <c r="B6" s="195" t="s">
        <v>64</v>
      </c>
      <c r="C6" s="283">
        <v>2</v>
      </c>
      <c r="D6" s="284" t="s">
        <v>55</v>
      </c>
      <c r="E6" s="283">
        <v>28</v>
      </c>
      <c r="F6" s="284" t="s">
        <v>55</v>
      </c>
      <c r="G6" s="285">
        <v>2022</v>
      </c>
      <c r="H6" s="272">
        <f>Weeks_Available</f>
        <v>25</v>
      </c>
      <c r="I6" s="136"/>
      <c r="J6" s="137"/>
      <c r="K6" s="138"/>
      <c r="L6" s="138"/>
      <c r="M6" s="144"/>
      <c r="N6" s="236" t="s">
        <v>97</v>
      </c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39"/>
    </row>
    <row r="7" spans="1:50" ht="15.75">
      <c r="B7" s="195" t="s">
        <v>56</v>
      </c>
      <c r="C7" s="274">
        <v>8</v>
      </c>
      <c r="D7" s="284" t="s">
        <v>55</v>
      </c>
      <c r="E7" s="274">
        <v>20</v>
      </c>
      <c r="F7" s="284" t="s">
        <v>55</v>
      </c>
      <c r="G7" s="286">
        <v>2022</v>
      </c>
      <c r="H7" s="272">
        <f>Weeks_Available</f>
        <v>25</v>
      </c>
      <c r="I7" s="136"/>
      <c r="J7" s="137"/>
      <c r="K7" s="138"/>
      <c r="L7" s="138"/>
      <c r="M7" s="144"/>
      <c r="N7" s="236" t="s">
        <v>97</v>
      </c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39"/>
    </row>
    <row r="8" spans="1:50" ht="15.75">
      <c r="B8" s="195" t="s">
        <v>57</v>
      </c>
      <c r="C8" s="274">
        <v>6</v>
      </c>
      <c r="D8" s="282" t="s">
        <v>502</v>
      </c>
      <c r="E8" s="274">
        <v>0</v>
      </c>
      <c r="F8" s="287" t="str">
        <f>IF(ISBLANK(HeightUnit)=TRUE,"",IF(HeightUnit="ft","in","cm"))</f>
        <v>in</v>
      </c>
      <c r="G8" s="288"/>
      <c r="H8" s="289"/>
      <c r="I8" s="98"/>
      <c r="J8" s="137"/>
      <c r="K8" s="138"/>
      <c r="L8" s="138"/>
      <c r="M8" s="144"/>
      <c r="N8" s="237" t="s">
        <v>97</v>
      </c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39"/>
    </row>
    <row r="9" spans="1:50" ht="15.75">
      <c r="B9" s="196" t="s">
        <v>422</v>
      </c>
      <c r="C9" s="430">
        <f>IF(AND(StartYear&lt;&gt;"",StartMonth&lt;&gt;"",StartDay&lt;&gt;"")=TRUE,IFERROR(MONDAYDATE(DATE(StartYear,StartMonth,StartDay)),""),"")</f>
        <v>44620</v>
      </c>
      <c r="D9" s="430"/>
      <c r="E9" s="430"/>
      <c r="F9" s="430"/>
      <c r="G9" s="430"/>
      <c r="H9" s="290"/>
      <c r="I9" s="90"/>
      <c r="J9" s="137"/>
      <c r="K9" s="138"/>
      <c r="L9" s="138"/>
      <c r="M9" s="144"/>
      <c r="N9" s="238" t="s">
        <v>97</v>
      </c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39"/>
    </row>
    <row r="10" spans="1:50" ht="15.75">
      <c r="B10" s="196" t="s">
        <v>423</v>
      </c>
      <c r="C10" s="430">
        <f>IF(AND(RaceYear&lt;&gt;"",RaceMonth&lt;&gt;"",RaceDay&lt;&gt;"")=TRUE,IFERROR(MONDAYDATE(DATE(RaceYear,RaceMonth,RaceDay)),""),"")</f>
        <v>44788</v>
      </c>
      <c r="D10" s="430"/>
      <c r="E10" s="430"/>
      <c r="F10" s="430"/>
      <c r="G10" s="430"/>
      <c r="H10" s="290"/>
      <c r="I10" s="90"/>
      <c r="J10" s="137"/>
      <c r="K10" s="138"/>
      <c r="L10" s="138"/>
      <c r="M10" s="144"/>
      <c r="N10" s="238" t="s">
        <v>97</v>
      </c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39"/>
    </row>
    <row r="11" spans="1:50" ht="15.75">
      <c r="B11" s="197" t="s">
        <v>65</v>
      </c>
      <c r="C11" s="428" t="s">
        <v>340</v>
      </c>
      <c r="D11" s="428"/>
      <c r="E11" s="428"/>
      <c r="F11" s="428"/>
      <c r="G11" s="428"/>
      <c r="H11" s="429"/>
      <c r="I11" s="99"/>
      <c r="J11" s="137"/>
      <c r="K11" s="138"/>
      <c r="L11" s="138"/>
      <c r="M11" s="144"/>
      <c r="N11" s="239" t="s">
        <v>97</v>
      </c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39"/>
    </row>
    <row r="12" spans="1:50" ht="15.75" hidden="1" customHeight="1">
      <c r="B12" s="291" t="s">
        <v>67</v>
      </c>
      <c r="C12" s="292">
        <f>IFERROR((_xlfn.DAYS(LastWeek,FirstWeek)/7)+1,0)</f>
        <v>25</v>
      </c>
      <c r="D12" s="292"/>
      <c r="E12" s="293"/>
      <c r="F12" s="292"/>
      <c r="G12" s="292"/>
      <c r="H12" s="294"/>
      <c r="I12" s="90"/>
      <c r="J12" s="141"/>
      <c r="K12" s="142"/>
      <c r="L12" s="142"/>
      <c r="M12" s="144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39"/>
    </row>
    <row r="13" spans="1:50" ht="15.75" hidden="1" customHeight="1">
      <c r="B13" s="295" t="s">
        <v>421</v>
      </c>
      <c r="C13" s="296">
        <f>INT(((HoursPerDay + (MinPerDay / 60)) * DaysPerWeek * 48))</f>
        <v>360</v>
      </c>
      <c r="D13" s="296"/>
      <c r="E13" s="297"/>
      <c r="F13" s="296"/>
      <c r="G13" s="296"/>
      <c r="H13" s="298"/>
      <c r="I13" s="90"/>
      <c r="J13" s="141"/>
      <c r="K13" s="142"/>
      <c r="L13" s="142"/>
      <c r="M13" s="144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39"/>
    </row>
    <row r="14" spans="1:50" ht="15.75" hidden="1" customHeight="1">
      <c r="B14" s="299" t="s">
        <v>66</v>
      </c>
      <c r="C14" s="300"/>
      <c r="D14" s="300"/>
      <c r="E14" s="300"/>
      <c r="F14" s="300"/>
      <c r="G14" s="300"/>
      <c r="H14" s="301"/>
      <c r="I14" s="98"/>
      <c r="J14" s="141"/>
      <c r="K14" s="142"/>
      <c r="L14" s="142"/>
      <c r="M14" s="144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39"/>
    </row>
    <row r="15" spans="1:50" ht="15.75" hidden="1">
      <c r="A15" s="111"/>
      <c r="B15" s="302" t="s">
        <v>0</v>
      </c>
      <c r="C15" s="303" t="s">
        <v>14</v>
      </c>
      <c r="D15" s="304" t="s">
        <v>73</v>
      </c>
      <c r="E15" s="303" t="s">
        <v>15</v>
      </c>
      <c r="F15" s="304" t="s">
        <v>74</v>
      </c>
      <c r="G15" s="303" t="s">
        <v>16</v>
      </c>
      <c r="H15" s="305" t="s">
        <v>424</v>
      </c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</row>
    <row r="16" spans="1:50" ht="15.75" hidden="1">
      <c r="A16" s="111"/>
      <c r="B16" s="306" t="s">
        <v>2</v>
      </c>
      <c r="C16" s="307">
        <v>2</v>
      </c>
      <c r="D16" s="308">
        <f>IF(Number_of_Weeks[[#This Row],[Max]]&lt;Number_of_Weeks[[#This Row],[Min]],0,1)</f>
        <v>1</v>
      </c>
      <c r="E16" s="307">
        <v>1</v>
      </c>
      <c r="F16" s="308">
        <f>IF(Number_of_Weeks[[#This Row],[Max]]&lt;Number_of_Weeks[[#This Row],[Min]],0,1)</f>
        <v>1</v>
      </c>
      <c r="G16" s="309">
        <v>2</v>
      </c>
      <c r="H16" s="310">
        <v>8</v>
      </c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</row>
    <row r="17" spans="1:27" ht="15.75" hidden="1">
      <c r="A17" s="111"/>
      <c r="B17" s="302" t="s">
        <v>1</v>
      </c>
      <c r="C17" s="307">
        <v>2</v>
      </c>
      <c r="D17" s="308">
        <f>IF(Number_of_Weeks[[#This Row],[Max]]&lt;Number_of_Weeks[[#This Row],[Min]],0,1)</f>
        <v>1</v>
      </c>
      <c r="E17" s="307">
        <v>1</v>
      </c>
      <c r="F17" s="308">
        <f>IF(Number_of_Weeks[[#This Row],[Max]]&lt;Number_of_Weeks[[#This Row],[Min]],0,1)</f>
        <v>1</v>
      </c>
      <c r="G17" s="309">
        <v>2</v>
      </c>
      <c r="H17" s="310">
        <v>7</v>
      </c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  <c r="AA17" s="90"/>
    </row>
    <row r="18" spans="1:27" ht="15.75" hidden="1">
      <c r="A18" s="111"/>
      <c r="B18" s="302" t="s">
        <v>11</v>
      </c>
      <c r="C18" s="307">
        <v>4</v>
      </c>
      <c r="D18" s="308">
        <f>IF(Number_of_Weeks[[#This Row],[Max]]&lt;Number_of_Weeks[[#This Row],[Min]],0,1)</f>
        <v>1</v>
      </c>
      <c r="E18" s="307">
        <v>0</v>
      </c>
      <c r="F18" s="308">
        <f>IF(Number_of_Weeks[[#This Row],[Max]]&lt;Number_of_Weeks[[#This Row],[Min]],0,1)</f>
        <v>1</v>
      </c>
      <c r="G18" s="309">
        <v>4</v>
      </c>
      <c r="H18" s="310">
        <v>6</v>
      </c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</row>
    <row r="19" spans="1:27" ht="15.75" hidden="1">
      <c r="A19" s="111"/>
      <c r="B19" s="302" t="s">
        <v>12</v>
      </c>
      <c r="C19" s="307">
        <v>4</v>
      </c>
      <c r="D19" s="308">
        <f>IF(Number_of_Weeks[[#This Row],[Max]]&lt;Number_of_Weeks[[#This Row],[Min]],0,1)</f>
        <v>1</v>
      </c>
      <c r="E19" s="307">
        <v>0</v>
      </c>
      <c r="F19" s="308">
        <f>IF(Number_of_Weeks[[#This Row],[Max]]&lt;Number_of_Weeks[[#This Row],[Min]],0,1)</f>
        <v>1</v>
      </c>
      <c r="G19" s="309">
        <v>4</v>
      </c>
      <c r="H19" s="310">
        <v>5</v>
      </c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</row>
    <row r="20" spans="1:27" ht="15.75" hidden="1">
      <c r="A20" s="111"/>
      <c r="B20" s="302" t="s">
        <v>23</v>
      </c>
      <c r="C20" s="307">
        <v>4</v>
      </c>
      <c r="D20" s="308">
        <f>IF(Number_of_Weeks[[#This Row],[Max]]&lt;Number_of_Weeks[[#This Row],[Min]],0,1)</f>
        <v>1</v>
      </c>
      <c r="E20" s="307">
        <v>0</v>
      </c>
      <c r="F20" s="308">
        <f>IF(Number_of_Weeks[[#This Row],[Max]]&lt;Number_of_Weeks[[#This Row],[Min]],0,1)</f>
        <v>1</v>
      </c>
      <c r="G20" s="309">
        <v>4</v>
      </c>
      <c r="H20" s="310">
        <v>4</v>
      </c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</row>
    <row r="21" spans="1:27" ht="15.75" hidden="1">
      <c r="A21" s="111"/>
      <c r="B21" s="302" t="s">
        <v>22</v>
      </c>
      <c r="C21" s="307">
        <v>4</v>
      </c>
      <c r="D21" s="308">
        <f>IF(Number_of_Weeks[[#This Row],[Max]]&lt;Number_of_Weeks[[#This Row],[Min]],0,1)</f>
        <v>1</v>
      </c>
      <c r="E21" s="307">
        <v>0</v>
      </c>
      <c r="F21" s="308">
        <f>IF(Number_of_Weeks[[#This Row],[Max]]&lt;Number_of_Weeks[[#This Row],[Min]],0,1)</f>
        <v>1</v>
      </c>
      <c r="G21" s="309">
        <v>4</v>
      </c>
      <c r="H21" s="310">
        <v>3</v>
      </c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</row>
    <row r="22" spans="1:27" ht="15.75" hidden="1">
      <c r="A22" s="111"/>
      <c r="B22" s="302" t="s">
        <v>21</v>
      </c>
      <c r="C22" s="307">
        <v>4</v>
      </c>
      <c r="D22" s="308">
        <f>IF(Number_of_Weeks[[#This Row],[Max]]&lt;Number_of_Weeks[[#This Row],[Min]],0,1)</f>
        <v>1</v>
      </c>
      <c r="E22" s="307">
        <v>0</v>
      </c>
      <c r="F22" s="308">
        <f>IF(Number_of_Weeks[[#This Row],[Max]]&lt;Number_of_Weeks[[#This Row],[Min]],0,1)</f>
        <v>1</v>
      </c>
      <c r="G22" s="309">
        <v>1</v>
      </c>
      <c r="H22" s="310">
        <v>2</v>
      </c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</row>
    <row r="23" spans="1:27" ht="15.75" hidden="1">
      <c r="A23" s="111"/>
      <c r="B23" s="311" t="s">
        <v>98</v>
      </c>
      <c r="C23" s="312">
        <v>4</v>
      </c>
      <c r="D23" s="313">
        <f>IF(Number_of_Weeks[[#This Row],[Max]]&lt;Number_of_Weeks[[#This Row],[Min]],0,1)</f>
        <v>1</v>
      </c>
      <c r="E23" s="312">
        <v>0</v>
      </c>
      <c r="F23" s="313">
        <f>IF(Number_of_Weeks[[#This Row],[Max]]&lt;Number_of_Weeks[[#This Row],[Min]],0,1)</f>
        <v>1</v>
      </c>
      <c r="G23" s="314">
        <v>0</v>
      </c>
      <c r="H23" s="315">
        <v>1</v>
      </c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</row>
    <row r="24" spans="1:27" ht="15.75" hidden="1">
      <c r="A24" s="111"/>
      <c r="B24" s="316" t="s">
        <v>13</v>
      </c>
      <c r="C24" s="317">
        <f>SUM(Number_of_Weeks[Max])</f>
        <v>28</v>
      </c>
      <c r="D24" s="318"/>
      <c r="E24" s="317">
        <f>SUM(Number_of_Weeks[Min])</f>
        <v>2</v>
      </c>
      <c r="F24" s="319"/>
      <c r="G24" s="317">
        <f>SUM(Number_of_Weeks[Plan])</f>
        <v>21</v>
      </c>
      <c r="H24" s="320">
        <f>SUMPRODUCT(Period_Weight,Number_of_Weeks[Plan])</f>
        <v>104</v>
      </c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</row>
    <row r="25" spans="1:27" ht="24" hidden="1" customHeight="1">
      <c r="B25" s="321" t="s">
        <v>60</v>
      </c>
      <c r="C25" s="322"/>
      <c r="D25" s="323"/>
      <c r="E25" s="324"/>
      <c r="F25" s="325"/>
      <c r="G25" s="325"/>
      <c r="H25" s="326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1:27" ht="15.75" hidden="1">
      <c r="B26" s="327" t="s">
        <v>206</v>
      </c>
      <c r="C26" s="426" t="s">
        <v>207</v>
      </c>
      <c r="D26" s="426"/>
      <c r="E26" s="426"/>
      <c r="F26" s="426"/>
      <c r="G26" s="426"/>
      <c r="H26" s="427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</row>
    <row r="27" spans="1:27" ht="15.75" hidden="1">
      <c r="B27" s="327" t="s">
        <v>62</v>
      </c>
      <c r="C27" s="328">
        <v>21</v>
      </c>
      <c r="D27" s="329">
        <f>IF(BMI_min&gt;BMI_max,0,1)</f>
        <v>1</v>
      </c>
      <c r="E27" s="330"/>
      <c r="F27" s="330"/>
      <c r="G27" s="330"/>
      <c r="H27" s="331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1:27" ht="15.75" hidden="1">
      <c r="B28" s="327" t="s">
        <v>61</v>
      </c>
      <c r="C28" s="328">
        <v>22.4</v>
      </c>
      <c r="D28" s="329">
        <f>IF(BMI_min&gt;BMI_max,0,1)</f>
        <v>1</v>
      </c>
      <c r="E28" s="332"/>
      <c r="F28" s="330"/>
      <c r="G28" s="330"/>
      <c r="H28" s="331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1:27" ht="20.100000000000001" customHeight="1">
      <c r="B29" s="419"/>
      <c r="C29" s="419"/>
      <c r="D29" s="419"/>
      <c r="E29" s="419"/>
      <c r="F29" s="419"/>
      <c r="G29" s="419"/>
      <c r="H29" s="419"/>
      <c r="I29" s="103"/>
      <c r="J29" s="104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</row>
    <row r="30" spans="1:27" ht="20.100000000000001" customHeight="1">
      <c r="B30" s="420"/>
      <c r="C30" s="420"/>
      <c r="D30" s="420"/>
      <c r="E30" s="420"/>
      <c r="F30" s="420"/>
      <c r="G30" s="420"/>
      <c r="H30" s="420"/>
      <c r="I30" s="104"/>
      <c r="J30" s="259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</row>
    <row r="31" spans="1:27" ht="20.100000000000001" customHeight="1">
      <c r="B31" s="421"/>
      <c r="C31" s="421"/>
      <c r="D31" s="421"/>
      <c r="E31" s="421"/>
      <c r="F31" s="421"/>
      <c r="G31" s="421"/>
      <c r="H31" s="421"/>
      <c r="I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</row>
    <row r="32" spans="1:27" ht="20.100000000000001" customHeight="1">
      <c r="B32" s="422"/>
      <c r="C32" s="422"/>
      <c r="D32" s="422"/>
      <c r="E32" s="422"/>
      <c r="F32" s="422"/>
      <c r="G32" s="422"/>
      <c r="H32" s="422"/>
      <c r="I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9:27" ht="20.100000000000001" customHeight="1">
      <c r="I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</row>
    <row r="34" spans="9:27" ht="20.100000000000001" customHeight="1"/>
  </sheetData>
  <sheetProtection formatCells="0" formatColumns="0" formatRows="0" insertColumns="0" insertRows="0" insertHyperlinks="0" deleteColumns="0" deleteRows="0" sort="0" autoFilter="0" pivotTables="0"/>
  <mergeCells count="9">
    <mergeCell ref="B29:H29"/>
    <mergeCell ref="B30:H30"/>
    <mergeCell ref="B31:H31"/>
    <mergeCell ref="B32:H32"/>
    <mergeCell ref="B3:H3"/>
    <mergeCell ref="C26:H26"/>
    <mergeCell ref="C11:H11"/>
    <mergeCell ref="C9:G9"/>
    <mergeCell ref="C10:G10"/>
  </mergeCells>
  <phoneticPr fontId="49" type="noConversion"/>
  <dataValidations count="18">
    <dataValidation type="whole" allowBlank="1" showInputMessage="1" showErrorMessage="1" errorTitle="Invalid Number!" error="Enter a number between 0 and the maximum for this period" sqref="E18:E23" xr:uid="{9A42E661-3800-4662-B44A-078F719D275A}">
      <formula1>0</formula1>
      <formula2>C18</formula2>
    </dataValidation>
    <dataValidation type="whole" allowBlank="1" showInputMessage="1" showErrorMessage="1" errorTitle="Invalid Number" error="Enter a number between 1 and the maximum for the race period" sqref="E16" xr:uid="{03F0E6F5-27A0-4023-853A-D255027AFFAD}">
      <formula1>1</formula1>
      <formula2>C16</formula2>
    </dataValidation>
    <dataValidation type="list" allowBlank="1" showErrorMessage="1" errorTitle="Invalid Unit!" error="Height must be in feet (ft) or meters (m)." sqref="D8" xr:uid="{D8AF7238-F775-4E87-A3A4-277898C4F53C}">
      <formula1>"m,ft"</formula1>
    </dataValidation>
    <dataValidation operator="greaterThanOrEqual" allowBlank="1" showInputMessage="1" showErrorMessage="1" errorTitle="Invalid number!" error="Number must be greater than or equal to 0" sqref="F8" xr:uid="{2BF13E75-F033-41E6-AD3C-63ECB5951BB5}"/>
    <dataValidation type="decimal" showErrorMessage="1" errorTitle="BMI not valid" error="18.5 – 24.9 Normal or Healthy Weight" sqref="C27" xr:uid="{113612D5-F3A3-4D3A-AB5D-A793FB941362}">
      <formula1>18.5</formula1>
      <formula2>24.9</formula2>
    </dataValidation>
    <dataValidation type="whole" allowBlank="1" showInputMessage="1" showErrorMessage="1" errorTitle="Invalid number" error="Days must be between 3 and 7" promptTitle="Days" sqref="C5" xr:uid="{82660064-F372-48DA-BDFD-97A05B2AE3C0}">
      <formula1>3</formula1>
      <formula2>7</formula2>
    </dataValidation>
    <dataValidation type="whole" showInputMessage="1" showErrorMessage="1" errorTitle="Invalid number" error="Hours must be between 0 and 23" promptTitle="Hours" sqref="C4" xr:uid="{2F343229-99FE-4BAF-8FE3-2F938640B544}">
      <formula1>0</formula1>
      <formula2>23</formula2>
    </dataValidation>
    <dataValidation type="whole" showInputMessage="1" showErrorMessage="1" errorTitle="Invalid number" error="Minutes must be between 0 and 59" promptTitle="Minutes" sqref="E4" xr:uid="{35445DBB-D08D-43E6-80E1-1C9B7200181F}">
      <formula1>0</formula1>
      <formula2>59</formula2>
    </dataValidation>
    <dataValidation type="decimal" operator="greaterThanOrEqual" showInputMessage="1" showErrorMessage="1" errorTitle="BMI is invalid" error="18.5 – 24.9 Normal or Healthy Weight" sqref="C28" xr:uid="{253C54B7-800A-4E8B-95E7-9637EE9DF18C}">
      <formula1>BMI_min</formula1>
    </dataValidation>
    <dataValidation type="whole" allowBlank="1" showInputMessage="1" showErrorMessage="1" errorTitle="Invalid number!" error="Enter a number between 1 and 4" sqref="C18:C23" xr:uid="{0CC3D685-C0E7-46AB-BD03-C0993BD8A379}">
      <formula1>1</formula1>
      <formula2>4</formula2>
    </dataValidation>
    <dataValidation type="whole" allowBlank="1" showInputMessage="1" showErrorMessage="1" errorTitle="Invalid Number!" error="Enter a number between 1 and the maximum for this period" sqref="E17" xr:uid="{66EF6CBE-62DF-4CB8-9E0F-E77230875659}">
      <formula1>1</formula1>
      <formula2>C17</formula2>
    </dataValidation>
    <dataValidation type="whole" allowBlank="1" showInputMessage="1" showErrorMessage="1" errorTitle="Invalid number!" error="Number must be between 1 and 9" sqref="C8" xr:uid="{C9DBF13A-04DF-44B5-8366-B66062B26DF2}">
      <formula1>1</formula1>
      <formula2>9</formula2>
    </dataValidation>
    <dataValidation type="whole" allowBlank="1" showInputMessage="1" showErrorMessage="1" errorTitle="Invalid number!" error="Number must be between 0 and 99" sqref="E8" xr:uid="{AC249CA2-2C9B-40E5-834B-D86513D88800}">
      <formula1>0</formula1>
      <formula2>99</formula2>
    </dataValidation>
    <dataValidation type="whole" showInputMessage="1" showErrorMessage="1" errorTitle="Invalid number!" error="Month must be between 1 and 12" promptTitle="Month" sqref="C6:C7" xr:uid="{516250B5-C892-4F20-BD04-A3782FBBF391}">
      <formula1>1</formula1>
      <formula2>12</formula2>
    </dataValidation>
    <dataValidation type="whole" showInputMessage="1" showErrorMessage="1" errorTitle="Invalid number!" error="Day must be between 1 and 31" promptTitle="Day" sqref="E6:E7" xr:uid="{2EA568F4-D34B-46E7-BF27-3994819BACAE}">
      <formula1>1</formula1>
      <formula2>31</formula2>
    </dataValidation>
    <dataValidation type="whole" showInputMessage="1" showErrorMessage="1" errorTitle="Invalid Number!" error="Year must be between 1900 and 9999." promptTitle="Year" sqref="G6" xr:uid="{31308224-85B7-458C-94A1-B3AA15A1D45C}">
      <formula1>1900</formula1>
      <formula2>9999</formula2>
    </dataValidation>
    <dataValidation type="whole" showInputMessage="1" showErrorMessage="1" errorTitle="Invalid Number!" error="Year must be between 1900 and 9999. And Year must be equal or greater than start year." promptTitle="Year" sqref="G7" xr:uid="{1B28086C-5E7E-4C41-A186-4E61E26EBBB0}">
      <formula1>StartYear</formula1>
      <formula2>9999</formula2>
    </dataValidation>
    <dataValidation type="whole" allowBlank="1" showInputMessage="1" showErrorMessage="1" errorTitle="Invalid number!" error="Enter a number between 1 and 2" sqref="C16:C17" xr:uid="{7E0D6F23-4D72-4162-848E-38F84AD4239D}">
      <formula1>1</formula1>
      <formula2>2</formula2>
    </dataValidation>
  </dataValidations>
  <hyperlinks>
    <hyperlink ref="C26" r:id="rId1" display="*For adults 20 years old and older" xr:uid="{5CB6190D-14AC-484E-A9B8-469AE44EA0F2}"/>
  </hyperlinks>
  <pageMargins left="0.7" right="0.7" top="0.75" bottom="0.75" header="0.3" footer="0.3"/>
  <pageSetup scale="36" orientation="portrait" horizontalDpi="4294967293" verticalDpi="4294967293" r:id="rId2"/>
  <ignoredErrors>
    <ignoredError sqref="D16:D23 D24 F24 C9" unlockedFormula="1"/>
  </ignoredErrors>
  <drawing r:id="rId3"/>
  <legacyDrawing r:id="rId4"/>
  <controls>
    <mc:AlternateContent xmlns:mc="http://schemas.openxmlformats.org/markup-compatibility/2006">
      <mc:Choice Requires="x14">
        <control shapeId="1099" r:id="rId5" name="WeightUnitBox">
          <controlPr locked="0" defaultSize="0" autoFill="0" autoLine="0" linkedCell="WeightUnit" listFillRange="WeightUnitList" r:id="rId6">
            <anchor>
              <from>
                <xdr:col>2</xdr:col>
                <xdr:colOff>95250</xdr:colOff>
                <xdr:row>40</xdr:row>
                <xdr:rowOff>47625</xdr:rowOff>
              </from>
              <to>
                <xdr:col>3</xdr:col>
                <xdr:colOff>219075</xdr:colOff>
                <xdr:row>41</xdr:row>
                <xdr:rowOff>142875</xdr:rowOff>
              </to>
            </anchor>
          </controlPr>
        </control>
      </mc:Choice>
      <mc:Fallback>
        <control shapeId="1099" r:id="rId5" name="WeightUnitBox"/>
      </mc:Fallback>
    </mc:AlternateContent>
    <mc:AlternateContent xmlns:mc="http://schemas.openxmlformats.org/markup-compatibility/2006">
      <mc:Choice Requires="x14">
        <control shapeId="1049" r:id="rId7" name="AdvancedSetupButton">
          <controlPr defaultSize="0" print="0" autoFill="0" autoPict="0" macro="[0]!AdvancedSetup">
            <anchor moveWithCells="1">
              <from>
                <xdr:col>1</xdr:col>
                <xdr:colOff>2162175</xdr:colOff>
                <xdr:row>10</xdr:row>
                <xdr:rowOff>0</xdr:rowOff>
              </from>
              <to>
                <xdr:col>1</xdr:col>
                <xdr:colOff>2343150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8" name="ResetAllChartsBox">
          <controlPr defaultSize="0" autoFill="0" autoLine="0" autoPict="0" macro="[0]!ResetAllChartsBox_Click">
            <anchor moveWithCells="1">
              <from>
                <xdr:col>6</xdr:col>
                <xdr:colOff>428625</xdr:colOff>
                <xdr:row>9</xdr:row>
                <xdr:rowOff>171450</xdr:rowOff>
              </from>
              <to>
                <xdr:col>7</xdr:col>
                <xdr:colOff>209550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" r:id="rId9" name="CreatePlanButton">
          <controlPr defaultSize="0" autoFill="0" autoPict="0" macro="[0]!CreatePlan3" altText="Click Here to Create your Training Plan">
            <anchor moveWithCells="1">
              <from>
                <xdr:col>1</xdr:col>
                <xdr:colOff>971550</xdr:colOff>
                <xdr:row>28</xdr:row>
                <xdr:rowOff>209550</xdr:rowOff>
              </from>
              <to>
                <xdr:col>6</xdr:col>
                <xdr:colOff>0</xdr:colOff>
                <xdr:row>31</xdr:row>
                <xdr:rowOff>38100</xdr:rowOff>
              </to>
            </anchor>
          </controlPr>
        </control>
      </mc:Choice>
    </mc:AlternateContent>
  </controls>
  <tableParts count="2"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4" id="{6F197F08-94C5-43CE-AF91-DE047CC1C1C9}">
            <x14:iconSet iconSet="3Symbols2" showValue="0" custom="1">
              <x14:cfvo type="percent">
                <xm:f>0</xm:f>
              </x14:cfvo>
              <x14:cfvo type="formula" gte="0">
                <xm:f>Total_Weeks_Min</xm:f>
              </x14:cfvo>
              <x14:cfvo type="formula">
                <xm:f>Total_Weeks_Min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H6</xm:sqref>
        </x14:conditionalFormatting>
        <x14:conditionalFormatting xmlns:xm="http://schemas.microsoft.com/office/excel/2006/main">
          <x14:cfRule type="iconSet" priority="4" id="{220DF767-83E0-43F5-A33C-EC27E0C3E278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F16:F23</xm:sqref>
        </x14:conditionalFormatting>
        <x14:conditionalFormatting xmlns:xm="http://schemas.microsoft.com/office/excel/2006/main">
          <x14:cfRule type="iconSet" priority="3" id="{2672313D-38E1-4E2E-8A85-3AC4A6A5C8D4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115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H4</xm:sqref>
        </x14:conditionalFormatting>
        <x14:conditionalFormatting xmlns:xm="http://schemas.microsoft.com/office/excel/2006/main">
          <x14:cfRule type="iconSet" priority="1" id="{15C24C19-A91D-43ED-8069-653E76CA7605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115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H5</xm:sqref>
        </x14:conditionalFormatting>
        <x14:conditionalFormatting xmlns:xm="http://schemas.microsoft.com/office/excel/2006/main">
          <x14:cfRule type="iconSet" priority="41" id="{82CD7794-A0C5-44C5-AEA0-15354005CB6D}">
            <x14:iconSet iconSet="3Symbols2" showValue="0" custom="1">
              <x14:cfvo type="percent">
                <xm:f>0</xm:f>
              </x14:cfvo>
              <x14:cfvo type="formula" gte="0">
                <xm:f>Total_Weeks_Min</xm:f>
              </x14:cfvo>
              <x14:cfvo type="formula">
                <xm:f>Total_Weeks_Min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H7</xm:sqref>
        </x14:conditionalFormatting>
        <x14:conditionalFormatting xmlns:xm="http://schemas.microsoft.com/office/excel/2006/main">
          <x14:cfRule type="iconSet" priority="42" id="{6C692C5A-5F46-4F57-87A9-53BC94295438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D27</xm:sqref>
        </x14:conditionalFormatting>
        <x14:conditionalFormatting xmlns:xm="http://schemas.microsoft.com/office/excel/2006/main">
          <x14:cfRule type="iconSet" priority="43" id="{64E22C05-10C6-4531-8D7F-701E28A02D3E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D28</xm:sqref>
        </x14:conditionalFormatting>
        <x14:conditionalFormatting xmlns:xm="http://schemas.microsoft.com/office/excel/2006/main">
          <x14:cfRule type="iconSet" priority="44" id="{66A9BA11-2B4A-48F9-BCA6-2CF4F44D2DD7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D16:D23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479B8-ED14-43E2-8F03-E5CEC20F2E53}">
  <sheetPr codeName="Sheet2"/>
  <dimension ref="A1:XFC43"/>
  <sheetViews>
    <sheetView showGridLines="0" zoomScaleNormal="100" workbookViewId="0">
      <pane ySplit="15" topLeftCell="A16" activePane="bottomLeft" state="frozen"/>
      <selection activeCell="B1" sqref="B1"/>
      <selection pane="bottomLeft" activeCell="B16" sqref="B16"/>
    </sheetView>
  </sheetViews>
  <sheetFormatPr defaultColWidth="0" defaultRowHeight="15.75"/>
  <cols>
    <col min="1" max="1" width="1.7109375" style="148" customWidth="1"/>
    <col min="2" max="2" width="4.7109375" style="148" customWidth="1"/>
    <col min="3" max="3" width="11.7109375" style="148" customWidth="1"/>
    <col min="4" max="4" width="8.7109375" style="148" customWidth="1"/>
    <col min="5" max="5" width="40.7109375" style="148" customWidth="1"/>
    <col min="6" max="6" width="16.7109375" style="148" customWidth="1"/>
    <col min="7" max="14" width="6.7109375" style="148" customWidth="1"/>
    <col min="15" max="18" width="8.7109375" style="148" customWidth="1"/>
    <col min="19" max="19" width="8.7109375" style="269" customWidth="1"/>
    <col min="20" max="20" width="8.7109375" style="269" hidden="1" customWidth="1"/>
    <col min="21" max="21" width="9.7109375" style="269" hidden="1" customWidth="1"/>
    <col min="22" max="23" width="6.7109375" style="269" hidden="1" customWidth="1"/>
    <col min="24" max="24" width="9.7109375" style="269" hidden="1" customWidth="1"/>
    <col min="25" max="26" width="10.7109375" style="269" hidden="1" customWidth="1"/>
    <col min="27" max="27" width="9.7109375" style="269" hidden="1" customWidth="1"/>
    <col min="28" max="28" width="14.7109375" style="269" hidden="1" customWidth="1"/>
    <col min="29" max="29" width="13.7109375" style="269" hidden="1" customWidth="1"/>
    <col min="30" max="30" width="5.7109375" style="269" hidden="1" customWidth="1"/>
    <col min="31" max="31" width="8.7109375" style="269" hidden="1" customWidth="1"/>
    <col min="32" max="32" width="11.7109375" style="269" hidden="1" customWidth="1"/>
    <col min="33" max="33" width="10.7109375" style="269" hidden="1" customWidth="1"/>
    <col min="34" max="34" width="9.7109375" style="269" hidden="1" customWidth="1"/>
    <col min="35" max="36" width="7.7109375" style="269" hidden="1" customWidth="1"/>
    <col min="37" max="37" width="6.7109375" style="269" hidden="1" customWidth="1"/>
    <col min="38" max="38" width="8.7109375" style="269" hidden="1" customWidth="1"/>
    <col min="39" max="39" width="11.85546875" style="269" customWidth="1"/>
    <col min="40" max="40" width="10.28515625" style="148" customWidth="1"/>
    <col min="41" max="41" width="11.42578125" style="148" customWidth="1"/>
    <col min="42" max="49" width="7.7109375" style="148" customWidth="1"/>
    <col min="50" max="16383" width="7.7109375" style="148" hidden="1"/>
    <col min="16384" max="16384" width="6.28515625" style="148" hidden="1"/>
  </cols>
  <sheetData>
    <row r="1" spans="1:49" s="145" customFormat="1" ht="21" customHeight="1">
      <c r="A1" s="113"/>
      <c r="B1" s="89" t="s">
        <v>552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</row>
    <row r="2" spans="1:49" s="146" customFormat="1" ht="18">
      <c r="B2" s="147" t="s">
        <v>575</v>
      </c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</row>
    <row r="3" spans="1:49">
      <c r="B3" s="149"/>
      <c r="C3" s="150"/>
      <c r="D3" s="150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8"/>
      <c r="AM3" s="148"/>
    </row>
    <row r="4" spans="1:49">
      <c r="B4" s="150"/>
      <c r="C4" s="150"/>
      <c r="D4" s="150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148"/>
    </row>
    <row r="5" spans="1:49">
      <c r="B5" s="150"/>
      <c r="C5" s="150"/>
      <c r="D5" s="150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</row>
    <row r="6" spans="1:49">
      <c r="B6" s="150"/>
      <c r="C6" s="150"/>
      <c r="D6" s="150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R6" s="151"/>
      <c r="S6" s="151"/>
      <c r="T6" s="151"/>
      <c r="U6" s="151"/>
      <c r="V6" s="151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  <c r="AI6" s="148"/>
      <c r="AJ6" s="148"/>
      <c r="AK6" s="148"/>
      <c r="AL6" s="148"/>
      <c r="AM6" s="148"/>
    </row>
    <row r="7" spans="1:49">
      <c r="B7" s="150"/>
      <c r="C7" s="150"/>
      <c r="D7" s="150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</row>
    <row r="8" spans="1:49">
      <c r="B8" s="150"/>
      <c r="C8" s="150"/>
      <c r="D8" s="150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</row>
    <row r="9" spans="1:49">
      <c r="B9" s="150"/>
      <c r="C9" s="150"/>
      <c r="D9" s="150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</row>
    <row r="10" spans="1:49">
      <c r="B10" s="150"/>
      <c r="C10" s="150"/>
      <c r="D10" s="150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1"/>
      <c r="T10" s="151"/>
      <c r="U10" s="151"/>
      <c r="V10" s="151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  <c r="AI10" s="148"/>
      <c r="AJ10" s="148"/>
      <c r="AK10" s="148"/>
      <c r="AL10" s="148"/>
      <c r="AM10" s="148"/>
    </row>
    <row r="11" spans="1:49">
      <c r="B11" s="150"/>
      <c r="C11" s="150"/>
      <c r="D11" s="150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J11" s="148"/>
      <c r="AK11" s="148"/>
      <c r="AL11" s="148"/>
      <c r="AM11" s="148"/>
    </row>
    <row r="12" spans="1:49">
      <c r="B12" s="150"/>
      <c r="C12" s="150"/>
      <c r="D12" s="150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K12" s="148"/>
      <c r="AL12" s="152"/>
      <c r="AM12" s="400"/>
      <c r="AN12" s="152"/>
    </row>
    <row r="13" spans="1:49">
      <c r="B13" s="260"/>
      <c r="C13" s="150"/>
      <c r="D13" s="150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48"/>
      <c r="X13" s="148"/>
      <c r="Y13" s="242"/>
      <c r="Z13" s="148"/>
      <c r="AA13" s="148"/>
      <c r="AB13" s="148"/>
      <c r="AC13" s="148"/>
      <c r="AD13" s="148"/>
      <c r="AE13" s="148"/>
      <c r="AF13" s="148"/>
      <c r="AG13" s="148"/>
      <c r="AH13" s="153"/>
      <c r="AI13" s="148"/>
      <c r="AJ13" s="148"/>
      <c r="AK13" s="243"/>
      <c r="AL13" s="243"/>
      <c r="AM13" s="261"/>
    </row>
    <row r="14" spans="1:49">
      <c r="B14" s="154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48"/>
    </row>
    <row r="15" spans="1:49" ht="35.1" customHeight="1">
      <c r="B15" s="156" t="s">
        <v>27</v>
      </c>
      <c r="C15" s="156" t="s">
        <v>18</v>
      </c>
      <c r="D15" s="156" t="s">
        <v>0</v>
      </c>
      <c r="E15" s="156" t="s">
        <v>10</v>
      </c>
      <c r="F15" s="156" t="s">
        <v>96</v>
      </c>
      <c r="G15" s="333" t="s">
        <v>29</v>
      </c>
      <c r="H15" s="333" t="s">
        <v>3</v>
      </c>
      <c r="I15" s="333" t="s">
        <v>4</v>
      </c>
      <c r="J15" s="333" t="s">
        <v>5</v>
      </c>
      <c r="K15" s="333" t="s">
        <v>6</v>
      </c>
      <c r="L15" s="333" t="s">
        <v>7</v>
      </c>
      <c r="M15" s="333" t="s">
        <v>8</v>
      </c>
      <c r="N15" s="333" t="s">
        <v>9</v>
      </c>
      <c r="O15" s="333" t="s">
        <v>35</v>
      </c>
      <c r="P15" s="333" t="s">
        <v>25</v>
      </c>
      <c r="Q15" s="333" t="s">
        <v>26</v>
      </c>
      <c r="R15" s="333" t="s">
        <v>47</v>
      </c>
      <c r="S15" s="334" t="s">
        <v>334</v>
      </c>
      <c r="T15" s="270" t="s">
        <v>17</v>
      </c>
      <c r="U15" s="270" t="s">
        <v>19</v>
      </c>
      <c r="V15" s="270" t="s">
        <v>39</v>
      </c>
      <c r="W15" s="270" t="s">
        <v>45</v>
      </c>
      <c r="X15" s="270" t="s">
        <v>20</v>
      </c>
      <c r="Y15" s="270" t="s">
        <v>341</v>
      </c>
      <c r="Z15" s="270" t="s">
        <v>332</v>
      </c>
      <c r="AA15" s="270" t="s">
        <v>350</v>
      </c>
      <c r="AB15" s="270" t="s">
        <v>349</v>
      </c>
      <c r="AC15" s="270" t="s">
        <v>351</v>
      </c>
      <c r="AD15" s="270" t="s">
        <v>43</v>
      </c>
      <c r="AE15" s="270" t="s">
        <v>46</v>
      </c>
      <c r="AF15" s="270" t="s">
        <v>95</v>
      </c>
      <c r="AG15" s="270" t="s">
        <v>100</v>
      </c>
      <c r="AH15" s="270" t="s">
        <v>101</v>
      </c>
      <c r="AI15" s="270" t="s">
        <v>530</v>
      </c>
      <c r="AJ15" s="270" t="s">
        <v>34</v>
      </c>
      <c r="AK15" s="270" t="s">
        <v>412</v>
      </c>
      <c r="AL15" s="270" t="s">
        <v>413</v>
      </c>
      <c r="AM15" s="268"/>
    </row>
    <row r="16" spans="1:49" s="157" customFormat="1">
      <c r="A16" s="148"/>
      <c r="B16" s="335"/>
      <c r="C16" s="411"/>
      <c r="D16" s="336"/>
      <c r="E16" s="336"/>
      <c r="F16" s="412"/>
      <c r="G16" s="413"/>
      <c r="H16" s="414"/>
      <c r="I16" s="414"/>
      <c r="J16" s="414"/>
      <c r="K16" s="414"/>
      <c r="L16" s="414"/>
      <c r="M16" s="414"/>
      <c r="N16" s="414"/>
      <c r="O16" s="413"/>
      <c r="P16" s="415"/>
      <c r="Q16" s="415"/>
      <c r="R16" s="415"/>
      <c r="S16" s="337"/>
      <c r="T16" s="338" t="e">
        <f>IF(ISBLANK(VLOOKUP(Calendar[[#This Row],[Date]],WeightTable[],2,FALSE))=TRUE,NA(),VLOOKUP(Calendar[[#This Row],[Date]],WeightTable[],IF(WeightUnit="lb",2,3),FALSE))</f>
        <v>#N/A</v>
      </c>
      <c r="U16" s="338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16" s="335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16" s="33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16" s="336">
        <f>Calendar[[#This Row],[Period]]</f>
        <v>0</v>
      </c>
      <c r="Y16" s="339">
        <f>IFERROR(IF(Calendar[[#This Row],[Plan. Hrs]]&lt;Calendar[[#This Row],[Actual Hrs]],0,Calendar[[#This Row],[Plan. Hrs]]-Calendar[[#This Row],[Actual Hrs]]),Calendar[[#This Row],[Plan. Hrs]])</f>
        <v>0</v>
      </c>
      <c r="Z16" s="340">
        <f>IFERROR(IF(Calendar[[#This Row],[Cal. Goal]]&lt;Calendar[[#This Row],[Cal.]],0,Calendar[[#This Row],[Cal. Goal]]-Calendar[[#This Row],[Cal.]]),Calendar[[#This Row],[Cal. Goal]])</f>
        <v>0</v>
      </c>
      <c r="AA16" s="335"/>
      <c r="AB16" s="338"/>
      <c r="AC16" s="340"/>
      <c r="AD16" s="338" t="e">
        <f>BMIf(Calendar[[#This Row],[Weight]],ActualHeight)</f>
        <v>#N/A</v>
      </c>
      <c r="AE16" s="338" t="e">
        <f>VLOOKUP(Calendar[[#This Row],[Date]],UploadQuery[],MATCH("Speed",UploadQuery[#Headers],0),FALSE)</f>
        <v>#N/A</v>
      </c>
      <c r="AF16" s="340" t="e">
        <f>VLOOKUP(Calendar[[#This Row],[Date]],UploadQuery[],MATCH("Elev Gain",UploadQuery[#Headers],0),FALSE)</f>
        <v>#N/A</v>
      </c>
      <c r="AG16" s="340" t="e">
        <f>VLOOKUP(Calendar[[#This Row],[Date]],UploadQuery[],MATCH("Distance",UploadQuery[#Headers],0),FALSE)</f>
        <v>#N/A</v>
      </c>
      <c r="AH16" s="340" t="e">
        <f>VLOOKUP(Calendar[[#This Row],[Date]],UploadQuery[],MATCH("Climber Index",UploadQuery[#Headers],0),FALSE)</f>
        <v>#N/A</v>
      </c>
      <c r="AI16" s="340" t="e">
        <f>VLOOKUP(Calendar[[#This Row],[Date]],UploadQuery[],MATCH("Cal/hour",UploadQuery[#Headers],0),FALSE)</f>
        <v>#N/A</v>
      </c>
      <c r="AJ16" s="341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16" s="341">
        <f>SUM(Calendar[[#This Row],[Mon]:[Sun]])</f>
        <v>0</v>
      </c>
      <c r="AL16" s="341" t="e">
        <f>VLOOKUP(Calendar[[#This Row],[Date]],UploadQuery[],MATCH("Activity Time",UploadQuery[#Headers],0),FALSE)</f>
        <v>#N/A</v>
      </c>
      <c r="AM16" s="268"/>
      <c r="AO16" s="158"/>
      <c r="AP16" s="148"/>
    </row>
    <row r="17" spans="2:38">
      <c r="B17" s="349"/>
      <c r="C17" s="350"/>
      <c r="D17" s="351"/>
      <c r="E17" s="351"/>
      <c r="F17" s="352"/>
      <c r="G17" s="353"/>
      <c r="H17" s="354"/>
      <c r="I17" s="354"/>
      <c r="J17" s="354"/>
      <c r="K17" s="354"/>
      <c r="L17" s="354"/>
      <c r="M17" s="354"/>
      <c r="N17" s="354"/>
      <c r="O17" s="353"/>
      <c r="P17" s="355"/>
      <c r="Q17" s="355"/>
      <c r="R17" s="355"/>
      <c r="S17" s="344"/>
      <c r="T17" s="345" t="e">
        <f>IF(ISBLANK(VLOOKUP(Calendar[[#This Row],[Date]],WeightTable[],2,FALSE))=TRUE,NA(),VLOOKUP(Calendar[[#This Row],[Date]],WeightTable[],IF(WeightUnit="lb",2,3),FALSE))</f>
        <v>#N/A</v>
      </c>
      <c r="U17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17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17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17" s="343">
        <f>Calendar[[#This Row],[Period]]</f>
        <v>0</v>
      </c>
      <c r="Y17" s="346">
        <f>IFERROR(IF(Calendar[[#This Row],[Plan. Hrs]]&lt;Calendar[[#This Row],[Actual Hrs]],0,Calendar[[#This Row],[Plan. Hrs]]-Calendar[[#This Row],[Actual Hrs]]),Calendar[[#This Row],[Plan. Hrs]])</f>
        <v>0</v>
      </c>
      <c r="Z17" s="347">
        <f>IFERROR(IF(Calendar[[#This Row],[Cal. Goal]]&lt;Calendar[[#This Row],[Cal.]],0,Calendar[[#This Row],[Cal. Goal]]-Calendar[[#This Row],[Cal.]]),Calendar[[#This Row],[Cal. Goal]])</f>
        <v>0</v>
      </c>
      <c r="AA17" s="342"/>
      <c r="AB17" s="345"/>
      <c r="AC17" s="347"/>
      <c r="AD17" s="345" t="e">
        <f>BMIf(Calendar[[#This Row],[Weight]],ActualHeight)</f>
        <v>#N/A</v>
      </c>
      <c r="AE17" s="345" t="e">
        <f>VLOOKUP(Calendar[[#This Row],[Date]],UploadQuery[],MATCH("Speed",UploadQuery[#Headers],0),FALSE)</f>
        <v>#N/A</v>
      </c>
      <c r="AF17" s="347" t="e">
        <f>VLOOKUP(Calendar[[#This Row],[Date]],UploadQuery[],MATCH("Elev Gain",UploadQuery[#Headers],0),FALSE)</f>
        <v>#N/A</v>
      </c>
      <c r="AG17" s="347" t="e">
        <f>VLOOKUP(Calendar[[#This Row],[Date]],UploadQuery[],MATCH("Distance",UploadQuery[#Headers],0),FALSE)</f>
        <v>#N/A</v>
      </c>
      <c r="AH17" s="347" t="e">
        <f>VLOOKUP(Calendar[[#This Row],[Date]],UploadQuery[],MATCH("Climber Index",UploadQuery[#Headers],0),FALSE)</f>
        <v>#N/A</v>
      </c>
      <c r="AI17" s="347" t="e">
        <f>VLOOKUP(Calendar[[#This Row],[Date]],UploadQuery[],MATCH("Cal/hour",UploadQuery[#Headers],0),FALSE)</f>
        <v>#N/A</v>
      </c>
      <c r="AJ17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17" s="348">
        <f>SUM(Calendar[[#This Row],[Mon]:[Sun]])</f>
        <v>0</v>
      </c>
      <c r="AL17" s="348" t="e">
        <f>VLOOKUP(Calendar[[#This Row],[Date]],UploadQuery[],MATCH("Activity Time",UploadQuery[#Headers],0),FALSE)</f>
        <v>#N/A</v>
      </c>
    </row>
    <row r="18" spans="2:38">
      <c r="B18" s="349"/>
      <c r="C18" s="350"/>
      <c r="D18" s="351"/>
      <c r="E18" s="351"/>
      <c r="F18" s="352"/>
      <c r="G18" s="353"/>
      <c r="H18" s="354"/>
      <c r="I18" s="354"/>
      <c r="J18" s="354"/>
      <c r="K18" s="354"/>
      <c r="L18" s="354"/>
      <c r="M18" s="354"/>
      <c r="N18" s="354"/>
      <c r="O18" s="353"/>
      <c r="P18" s="355"/>
      <c r="Q18" s="355"/>
      <c r="R18" s="355"/>
      <c r="S18" s="344"/>
      <c r="T18" s="345" t="e">
        <f>IF(ISBLANK(VLOOKUP(Calendar[[#This Row],[Date]],WeightTable[],2,FALSE))=TRUE,NA(),VLOOKUP(Calendar[[#This Row],[Date]],WeightTable[],IF(WeightUnit="lb",2,3),FALSE))</f>
        <v>#N/A</v>
      </c>
      <c r="U18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18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18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18" s="343">
        <f>Calendar[[#This Row],[Period]]</f>
        <v>0</v>
      </c>
      <c r="Y18" s="346">
        <f>IFERROR(IF(Calendar[[#This Row],[Plan. Hrs]]&lt;Calendar[[#This Row],[Actual Hrs]],0,Calendar[[#This Row],[Plan. Hrs]]-Calendar[[#This Row],[Actual Hrs]]),Calendar[[#This Row],[Plan. Hrs]])</f>
        <v>0</v>
      </c>
      <c r="Z18" s="347">
        <f>IFERROR(IF(Calendar[[#This Row],[Cal. Goal]]&lt;Calendar[[#This Row],[Cal.]],0,Calendar[[#This Row],[Cal. Goal]]-Calendar[[#This Row],[Cal.]]),Calendar[[#This Row],[Cal. Goal]])</f>
        <v>0</v>
      </c>
      <c r="AA18" s="342"/>
      <c r="AB18" s="345"/>
      <c r="AC18" s="347"/>
      <c r="AD18" s="345" t="e">
        <f>BMIf(Calendar[[#This Row],[Weight]],ActualHeight)</f>
        <v>#N/A</v>
      </c>
      <c r="AE18" s="345" t="e">
        <f>VLOOKUP(Calendar[[#This Row],[Date]],UploadQuery[],MATCH("Speed",UploadQuery[#Headers],0),FALSE)</f>
        <v>#N/A</v>
      </c>
      <c r="AF18" s="347" t="e">
        <f>VLOOKUP(Calendar[[#This Row],[Date]],UploadQuery[],MATCH("Elev Gain",UploadQuery[#Headers],0),FALSE)</f>
        <v>#N/A</v>
      </c>
      <c r="AG18" s="347" t="e">
        <f>VLOOKUP(Calendar[[#This Row],[Date]],UploadQuery[],MATCH("Distance",UploadQuery[#Headers],0),FALSE)</f>
        <v>#N/A</v>
      </c>
      <c r="AH18" s="347" t="e">
        <f>VLOOKUP(Calendar[[#This Row],[Date]],UploadQuery[],MATCH("Climber Index",UploadQuery[#Headers],0),FALSE)</f>
        <v>#N/A</v>
      </c>
      <c r="AI18" s="347" t="e">
        <f>VLOOKUP(Calendar[[#This Row],[Date]],UploadQuery[],MATCH("Cal/hour",UploadQuery[#Headers],0),FALSE)</f>
        <v>#N/A</v>
      </c>
      <c r="AJ18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18" s="348">
        <f>SUM(Calendar[[#This Row],[Mon]:[Sun]])</f>
        <v>0</v>
      </c>
      <c r="AL18" s="348" t="e">
        <f>VLOOKUP(Calendar[[#This Row],[Date]],UploadQuery[],MATCH("Activity Time",UploadQuery[#Headers],0),FALSE)</f>
        <v>#N/A</v>
      </c>
    </row>
    <row r="19" spans="2:38">
      <c r="B19" s="349"/>
      <c r="C19" s="350"/>
      <c r="D19" s="351"/>
      <c r="E19" s="351"/>
      <c r="F19" s="352"/>
      <c r="G19" s="353"/>
      <c r="H19" s="354"/>
      <c r="I19" s="354"/>
      <c r="J19" s="354"/>
      <c r="K19" s="354"/>
      <c r="L19" s="354"/>
      <c r="M19" s="354"/>
      <c r="N19" s="354"/>
      <c r="O19" s="353"/>
      <c r="P19" s="355"/>
      <c r="Q19" s="355"/>
      <c r="R19" s="355"/>
      <c r="S19" s="344"/>
      <c r="T19" s="345" t="e">
        <f>IF(ISBLANK(VLOOKUP(Calendar[[#This Row],[Date]],WeightTable[],2,FALSE))=TRUE,NA(),VLOOKUP(Calendar[[#This Row],[Date]],WeightTable[],IF(WeightUnit="lb",2,3),FALSE))</f>
        <v>#N/A</v>
      </c>
      <c r="U19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19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19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19" s="343">
        <f>Calendar[[#This Row],[Period]]</f>
        <v>0</v>
      </c>
      <c r="Y19" s="346">
        <f>IFERROR(IF(Calendar[[#This Row],[Plan. Hrs]]&lt;Calendar[[#This Row],[Actual Hrs]],0,Calendar[[#This Row],[Plan. Hrs]]-Calendar[[#This Row],[Actual Hrs]]),Calendar[[#This Row],[Plan. Hrs]])</f>
        <v>0</v>
      </c>
      <c r="Z19" s="347">
        <f>IFERROR(IF(Calendar[[#This Row],[Cal. Goal]]&lt;Calendar[[#This Row],[Cal.]],0,Calendar[[#This Row],[Cal. Goal]]-Calendar[[#This Row],[Cal.]]),Calendar[[#This Row],[Cal. Goal]])</f>
        <v>0</v>
      </c>
      <c r="AA19" s="342"/>
      <c r="AB19" s="345"/>
      <c r="AC19" s="347"/>
      <c r="AD19" s="345" t="e">
        <f>BMIf(Calendar[[#This Row],[Weight]],ActualHeight)</f>
        <v>#N/A</v>
      </c>
      <c r="AE19" s="345" t="e">
        <f>VLOOKUP(Calendar[[#This Row],[Date]],UploadQuery[],MATCH("Speed",UploadQuery[#Headers],0),FALSE)</f>
        <v>#N/A</v>
      </c>
      <c r="AF19" s="347" t="e">
        <f>VLOOKUP(Calendar[[#This Row],[Date]],UploadQuery[],MATCH("Elev Gain",UploadQuery[#Headers],0),FALSE)</f>
        <v>#N/A</v>
      </c>
      <c r="AG19" s="347" t="e">
        <f>VLOOKUP(Calendar[[#This Row],[Date]],UploadQuery[],MATCH("Distance",UploadQuery[#Headers],0),FALSE)</f>
        <v>#N/A</v>
      </c>
      <c r="AH19" s="347" t="e">
        <f>VLOOKUP(Calendar[[#This Row],[Date]],UploadQuery[],MATCH("Climber Index",UploadQuery[#Headers],0),FALSE)</f>
        <v>#N/A</v>
      </c>
      <c r="AI19" s="347" t="e">
        <f>VLOOKUP(Calendar[[#This Row],[Date]],UploadQuery[],MATCH("Cal/hour",UploadQuery[#Headers],0),FALSE)</f>
        <v>#N/A</v>
      </c>
      <c r="AJ19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19" s="348">
        <f>SUM(Calendar[[#This Row],[Mon]:[Sun]])</f>
        <v>0</v>
      </c>
      <c r="AL19" s="348" t="e">
        <f>VLOOKUP(Calendar[[#This Row],[Date]],UploadQuery[],MATCH("Activity Time",UploadQuery[#Headers],0),FALSE)</f>
        <v>#N/A</v>
      </c>
    </row>
    <row r="20" spans="2:38">
      <c r="B20" s="349"/>
      <c r="C20" s="350"/>
      <c r="D20" s="351"/>
      <c r="E20" s="351"/>
      <c r="F20" s="352"/>
      <c r="G20" s="353"/>
      <c r="H20" s="354"/>
      <c r="I20" s="354"/>
      <c r="J20" s="354"/>
      <c r="K20" s="354"/>
      <c r="L20" s="354"/>
      <c r="M20" s="354"/>
      <c r="N20" s="354"/>
      <c r="O20" s="353"/>
      <c r="P20" s="355"/>
      <c r="Q20" s="355"/>
      <c r="R20" s="355"/>
      <c r="S20" s="344"/>
      <c r="T20" s="345" t="e">
        <f>IF(ISBLANK(VLOOKUP(Calendar[[#This Row],[Date]],WeightTable[],2,FALSE))=TRUE,NA(),VLOOKUP(Calendar[[#This Row],[Date]],WeightTable[],IF(WeightUnit="lb",2,3),FALSE))</f>
        <v>#N/A</v>
      </c>
      <c r="U20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0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0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0" s="343">
        <f>Calendar[[#This Row],[Period]]</f>
        <v>0</v>
      </c>
      <c r="Y20" s="346">
        <f>IFERROR(IF(Calendar[[#This Row],[Plan. Hrs]]&lt;Calendar[[#This Row],[Actual Hrs]],0,Calendar[[#This Row],[Plan. Hrs]]-Calendar[[#This Row],[Actual Hrs]]),Calendar[[#This Row],[Plan. Hrs]])</f>
        <v>0</v>
      </c>
      <c r="Z20" s="347">
        <f>IFERROR(IF(Calendar[[#This Row],[Cal. Goal]]&lt;Calendar[[#This Row],[Cal.]],0,Calendar[[#This Row],[Cal. Goal]]-Calendar[[#This Row],[Cal.]]),Calendar[[#This Row],[Cal. Goal]])</f>
        <v>0</v>
      </c>
      <c r="AA20" s="342"/>
      <c r="AB20" s="345"/>
      <c r="AC20" s="347"/>
      <c r="AD20" s="345" t="e">
        <f>BMIf(Calendar[[#This Row],[Weight]],ActualHeight)</f>
        <v>#N/A</v>
      </c>
      <c r="AE20" s="345" t="e">
        <f>VLOOKUP(Calendar[[#This Row],[Date]],UploadQuery[],MATCH("Speed",UploadQuery[#Headers],0),FALSE)</f>
        <v>#N/A</v>
      </c>
      <c r="AF20" s="347" t="e">
        <f>VLOOKUP(Calendar[[#This Row],[Date]],UploadQuery[],MATCH("Elev Gain",UploadQuery[#Headers],0),FALSE)</f>
        <v>#N/A</v>
      </c>
      <c r="AG20" s="347" t="e">
        <f>VLOOKUP(Calendar[[#This Row],[Date]],UploadQuery[],MATCH("Distance",UploadQuery[#Headers],0),FALSE)</f>
        <v>#N/A</v>
      </c>
      <c r="AH20" s="347" t="e">
        <f>VLOOKUP(Calendar[[#This Row],[Date]],UploadQuery[],MATCH("Climber Index",UploadQuery[#Headers],0),FALSE)</f>
        <v>#N/A</v>
      </c>
      <c r="AI20" s="347" t="e">
        <f>VLOOKUP(Calendar[[#This Row],[Date]],UploadQuery[],MATCH("Cal/hour",UploadQuery[#Headers],0),FALSE)</f>
        <v>#N/A</v>
      </c>
      <c r="AJ20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0" s="348">
        <f>SUM(Calendar[[#This Row],[Mon]:[Sun]])</f>
        <v>0</v>
      </c>
      <c r="AL20" s="348" t="e">
        <f>VLOOKUP(Calendar[[#This Row],[Date]],UploadQuery[],MATCH("Activity Time",UploadQuery[#Headers],0),FALSE)</f>
        <v>#N/A</v>
      </c>
    </row>
    <row r="21" spans="2:38">
      <c r="B21" s="349"/>
      <c r="C21" s="350"/>
      <c r="D21" s="351"/>
      <c r="E21" s="351"/>
      <c r="F21" s="352"/>
      <c r="G21" s="353"/>
      <c r="H21" s="354"/>
      <c r="I21" s="354"/>
      <c r="J21" s="354"/>
      <c r="K21" s="354"/>
      <c r="L21" s="354"/>
      <c r="M21" s="354"/>
      <c r="N21" s="354"/>
      <c r="O21" s="353"/>
      <c r="P21" s="355"/>
      <c r="Q21" s="355"/>
      <c r="R21" s="355"/>
      <c r="S21" s="344"/>
      <c r="T21" s="345" t="e">
        <f>IF(ISBLANK(VLOOKUP(Calendar[[#This Row],[Date]],WeightTable[],2,FALSE))=TRUE,NA(),VLOOKUP(Calendar[[#This Row],[Date]],WeightTable[],IF(WeightUnit="lb",2,3),FALSE))</f>
        <v>#N/A</v>
      </c>
      <c r="U21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1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1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1" s="343">
        <f>Calendar[[#This Row],[Period]]</f>
        <v>0</v>
      </c>
      <c r="Y21" s="346">
        <f>IFERROR(IF(Calendar[[#This Row],[Plan. Hrs]]&lt;Calendar[[#This Row],[Actual Hrs]],0,Calendar[[#This Row],[Plan. Hrs]]-Calendar[[#This Row],[Actual Hrs]]),Calendar[[#This Row],[Plan. Hrs]])</f>
        <v>0</v>
      </c>
      <c r="Z21" s="347">
        <f>IFERROR(IF(Calendar[[#This Row],[Cal. Goal]]&lt;Calendar[[#This Row],[Cal.]],0,Calendar[[#This Row],[Cal. Goal]]-Calendar[[#This Row],[Cal.]]),Calendar[[#This Row],[Cal. Goal]])</f>
        <v>0</v>
      </c>
      <c r="AA21" s="342"/>
      <c r="AB21" s="345"/>
      <c r="AC21" s="347"/>
      <c r="AD21" s="345" t="e">
        <f>BMIf(Calendar[[#This Row],[Weight]],ActualHeight)</f>
        <v>#N/A</v>
      </c>
      <c r="AE21" s="345" t="e">
        <f>VLOOKUP(Calendar[[#This Row],[Date]],UploadQuery[],MATCH("Speed",UploadQuery[#Headers],0),FALSE)</f>
        <v>#N/A</v>
      </c>
      <c r="AF21" s="347" t="e">
        <f>VLOOKUP(Calendar[[#This Row],[Date]],UploadQuery[],MATCH("Elev Gain",UploadQuery[#Headers],0),FALSE)</f>
        <v>#N/A</v>
      </c>
      <c r="AG21" s="347" t="e">
        <f>VLOOKUP(Calendar[[#This Row],[Date]],UploadQuery[],MATCH("Distance",UploadQuery[#Headers],0),FALSE)</f>
        <v>#N/A</v>
      </c>
      <c r="AH21" s="347" t="e">
        <f>VLOOKUP(Calendar[[#This Row],[Date]],UploadQuery[],MATCH("Climber Index",UploadQuery[#Headers],0),FALSE)</f>
        <v>#N/A</v>
      </c>
      <c r="AI21" s="347" t="e">
        <f>VLOOKUP(Calendar[[#This Row],[Date]],UploadQuery[],MATCH("Cal/hour",UploadQuery[#Headers],0),FALSE)</f>
        <v>#N/A</v>
      </c>
      <c r="AJ21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1" s="348">
        <f>SUM(Calendar[[#This Row],[Mon]:[Sun]])</f>
        <v>0</v>
      </c>
      <c r="AL21" s="348" t="e">
        <f>VLOOKUP(Calendar[[#This Row],[Date]],UploadQuery[],MATCH("Activity Time",UploadQuery[#Headers],0),FALSE)</f>
        <v>#N/A</v>
      </c>
    </row>
    <row r="22" spans="2:38">
      <c r="B22" s="349"/>
      <c r="C22" s="350"/>
      <c r="D22" s="351"/>
      <c r="E22" s="351"/>
      <c r="F22" s="352"/>
      <c r="G22" s="353"/>
      <c r="H22" s="354"/>
      <c r="I22" s="354"/>
      <c r="J22" s="354"/>
      <c r="K22" s="354"/>
      <c r="L22" s="354"/>
      <c r="M22" s="354"/>
      <c r="N22" s="354"/>
      <c r="O22" s="353"/>
      <c r="P22" s="355"/>
      <c r="Q22" s="355"/>
      <c r="R22" s="355"/>
      <c r="S22" s="344"/>
      <c r="T22" s="345" t="e">
        <f>IF(ISBLANK(VLOOKUP(Calendar[[#This Row],[Date]],WeightTable[],2,FALSE))=TRUE,NA(),VLOOKUP(Calendar[[#This Row],[Date]],WeightTable[],IF(WeightUnit="lb",2,3),FALSE))</f>
        <v>#N/A</v>
      </c>
      <c r="U22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2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2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2" s="343">
        <f>Calendar[[#This Row],[Period]]</f>
        <v>0</v>
      </c>
      <c r="Y22" s="346">
        <f>IFERROR(IF(Calendar[[#This Row],[Plan. Hrs]]&lt;Calendar[[#This Row],[Actual Hrs]],0,Calendar[[#This Row],[Plan. Hrs]]-Calendar[[#This Row],[Actual Hrs]]),Calendar[[#This Row],[Plan. Hrs]])</f>
        <v>0</v>
      </c>
      <c r="Z22" s="347">
        <f>IFERROR(IF(Calendar[[#This Row],[Cal. Goal]]&lt;Calendar[[#This Row],[Cal.]],0,Calendar[[#This Row],[Cal. Goal]]-Calendar[[#This Row],[Cal.]]),Calendar[[#This Row],[Cal. Goal]])</f>
        <v>0</v>
      </c>
      <c r="AA22" s="342"/>
      <c r="AB22" s="345"/>
      <c r="AC22" s="347"/>
      <c r="AD22" s="345" t="e">
        <f>BMIf(Calendar[[#This Row],[Weight]],ActualHeight)</f>
        <v>#N/A</v>
      </c>
      <c r="AE22" s="345" t="e">
        <f>VLOOKUP(Calendar[[#This Row],[Date]],UploadQuery[],MATCH("Speed",UploadQuery[#Headers],0),FALSE)</f>
        <v>#N/A</v>
      </c>
      <c r="AF22" s="347" t="e">
        <f>VLOOKUP(Calendar[[#This Row],[Date]],UploadQuery[],MATCH("Elev Gain",UploadQuery[#Headers],0),FALSE)</f>
        <v>#N/A</v>
      </c>
      <c r="AG22" s="347" t="e">
        <f>VLOOKUP(Calendar[[#This Row],[Date]],UploadQuery[],MATCH("Distance",UploadQuery[#Headers],0),FALSE)</f>
        <v>#N/A</v>
      </c>
      <c r="AH22" s="347" t="e">
        <f>VLOOKUP(Calendar[[#This Row],[Date]],UploadQuery[],MATCH("Climber Index",UploadQuery[#Headers],0),FALSE)</f>
        <v>#N/A</v>
      </c>
      <c r="AI22" s="347" t="e">
        <f>VLOOKUP(Calendar[[#This Row],[Date]],UploadQuery[],MATCH("Cal/hour",UploadQuery[#Headers],0),FALSE)</f>
        <v>#N/A</v>
      </c>
      <c r="AJ22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2" s="348">
        <f>SUM(Calendar[[#This Row],[Mon]:[Sun]])</f>
        <v>0</v>
      </c>
      <c r="AL22" s="348" t="e">
        <f>VLOOKUP(Calendar[[#This Row],[Date]],UploadQuery[],MATCH("Activity Time",UploadQuery[#Headers],0),FALSE)</f>
        <v>#N/A</v>
      </c>
    </row>
    <row r="23" spans="2:38">
      <c r="B23" s="349"/>
      <c r="C23" s="350"/>
      <c r="D23" s="351"/>
      <c r="E23" s="351"/>
      <c r="F23" s="352"/>
      <c r="G23" s="353"/>
      <c r="H23" s="354"/>
      <c r="I23" s="354"/>
      <c r="J23" s="354"/>
      <c r="K23" s="354"/>
      <c r="L23" s="354"/>
      <c r="M23" s="354"/>
      <c r="N23" s="354"/>
      <c r="O23" s="353"/>
      <c r="P23" s="355"/>
      <c r="Q23" s="355"/>
      <c r="R23" s="355"/>
      <c r="S23" s="344"/>
      <c r="T23" s="345" t="e">
        <f>IF(ISBLANK(VLOOKUP(Calendar[[#This Row],[Date]],WeightTable[],2,FALSE))=TRUE,NA(),VLOOKUP(Calendar[[#This Row],[Date]],WeightTable[],IF(WeightUnit="lb",2,3),FALSE))</f>
        <v>#N/A</v>
      </c>
      <c r="U23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3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3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3" s="343">
        <f>Calendar[[#This Row],[Period]]</f>
        <v>0</v>
      </c>
      <c r="Y23" s="346">
        <f>IFERROR(IF(Calendar[[#This Row],[Plan. Hrs]]&lt;Calendar[[#This Row],[Actual Hrs]],0,Calendar[[#This Row],[Plan. Hrs]]-Calendar[[#This Row],[Actual Hrs]]),Calendar[[#This Row],[Plan. Hrs]])</f>
        <v>0</v>
      </c>
      <c r="Z23" s="347">
        <f>IFERROR(IF(Calendar[[#This Row],[Cal. Goal]]&lt;Calendar[[#This Row],[Cal.]],0,Calendar[[#This Row],[Cal. Goal]]-Calendar[[#This Row],[Cal.]]),Calendar[[#This Row],[Cal. Goal]])</f>
        <v>0</v>
      </c>
      <c r="AA23" s="342"/>
      <c r="AB23" s="345"/>
      <c r="AC23" s="347"/>
      <c r="AD23" s="345" t="e">
        <f>BMIf(Calendar[[#This Row],[Weight]],ActualHeight)</f>
        <v>#N/A</v>
      </c>
      <c r="AE23" s="345" t="e">
        <f>VLOOKUP(Calendar[[#This Row],[Date]],UploadQuery[],MATCH("Speed",UploadQuery[#Headers],0),FALSE)</f>
        <v>#N/A</v>
      </c>
      <c r="AF23" s="347" t="e">
        <f>VLOOKUP(Calendar[[#This Row],[Date]],UploadQuery[],MATCH("Elev Gain",UploadQuery[#Headers],0),FALSE)</f>
        <v>#N/A</v>
      </c>
      <c r="AG23" s="347" t="e">
        <f>VLOOKUP(Calendar[[#This Row],[Date]],UploadQuery[],MATCH("Distance",UploadQuery[#Headers],0),FALSE)</f>
        <v>#N/A</v>
      </c>
      <c r="AH23" s="347" t="e">
        <f>VLOOKUP(Calendar[[#This Row],[Date]],UploadQuery[],MATCH("Climber Index",UploadQuery[#Headers],0),FALSE)</f>
        <v>#N/A</v>
      </c>
      <c r="AI23" s="347" t="e">
        <f>VLOOKUP(Calendar[[#This Row],[Date]],UploadQuery[],MATCH("Cal/hour",UploadQuery[#Headers],0),FALSE)</f>
        <v>#N/A</v>
      </c>
      <c r="AJ23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3" s="348">
        <f>SUM(Calendar[[#This Row],[Mon]:[Sun]])</f>
        <v>0</v>
      </c>
      <c r="AL23" s="348" t="e">
        <f>VLOOKUP(Calendar[[#This Row],[Date]],UploadQuery[],MATCH("Activity Time",UploadQuery[#Headers],0),FALSE)</f>
        <v>#N/A</v>
      </c>
    </row>
    <row r="24" spans="2:38">
      <c r="B24" s="349"/>
      <c r="C24" s="350"/>
      <c r="D24" s="351"/>
      <c r="E24" s="351"/>
      <c r="F24" s="352"/>
      <c r="G24" s="353"/>
      <c r="H24" s="354"/>
      <c r="I24" s="354"/>
      <c r="J24" s="354"/>
      <c r="K24" s="354"/>
      <c r="L24" s="354"/>
      <c r="M24" s="354"/>
      <c r="N24" s="354"/>
      <c r="O24" s="353"/>
      <c r="P24" s="355"/>
      <c r="Q24" s="355"/>
      <c r="R24" s="355"/>
      <c r="S24" s="344"/>
      <c r="T24" s="345" t="e">
        <f>IF(ISBLANK(VLOOKUP(Calendar[[#This Row],[Date]],WeightTable[],2,FALSE))=TRUE,NA(),VLOOKUP(Calendar[[#This Row],[Date]],WeightTable[],IF(WeightUnit="lb",2,3),FALSE))</f>
        <v>#N/A</v>
      </c>
      <c r="U24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4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4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4" s="343">
        <f>Calendar[[#This Row],[Period]]</f>
        <v>0</v>
      </c>
      <c r="Y24" s="346">
        <f>IFERROR(IF(Calendar[[#This Row],[Plan. Hrs]]&lt;Calendar[[#This Row],[Actual Hrs]],0,Calendar[[#This Row],[Plan. Hrs]]-Calendar[[#This Row],[Actual Hrs]]),Calendar[[#This Row],[Plan. Hrs]])</f>
        <v>0</v>
      </c>
      <c r="Z24" s="347">
        <f>IFERROR(IF(Calendar[[#This Row],[Cal. Goal]]&lt;Calendar[[#This Row],[Cal.]],0,Calendar[[#This Row],[Cal. Goal]]-Calendar[[#This Row],[Cal.]]),Calendar[[#This Row],[Cal. Goal]])</f>
        <v>0</v>
      </c>
      <c r="AA24" s="342"/>
      <c r="AB24" s="345"/>
      <c r="AC24" s="347"/>
      <c r="AD24" s="345" t="e">
        <f>BMIf(Calendar[[#This Row],[Weight]],ActualHeight)</f>
        <v>#N/A</v>
      </c>
      <c r="AE24" s="345" t="e">
        <f>VLOOKUP(Calendar[[#This Row],[Date]],UploadQuery[],MATCH("Speed",UploadQuery[#Headers],0),FALSE)</f>
        <v>#N/A</v>
      </c>
      <c r="AF24" s="347" t="e">
        <f>VLOOKUP(Calendar[[#This Row],[Date]],UploadQuery[],MATCH("Elev Gain",UploadQuery[#Headers],0),FALSE)</f>
        <v>#N/A</v>
      </c>
      <c r="AG24" s="347" t="e">
        <f>VLOOKUP(Calendar[[#This Row],[Date]],UploadQuery[],MATCH("Distance",UploadQuery[#Headers],0),FALSE)</f>
        <v>#N/A</v>
      </c>
      <c r="AH24" s="347" t="e">
        <f>VLOOKUP(Calendar[[#This Row],[Date]],UploadQuery[],MATCH("Climber Index",UploadQuery[#Headers],0),FALSE)</f>
        <v>#N/A</v>
      </c>
      <c r="AI24" s="347" t="e">
        <f>VLOOKUP(Calendar[[#This Row],[Date]],UploadQuery[],MATCH("Cal/hour",UploadQuery[#Headers],0),FALSE)</f>
        <v>#N/A</v>
      </c>
      <c r="AJ24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4" s="348">
        <f>SUM(Calendar[[#This Row],[Mon]:[Sun]])</f>
        <v>0</v>
      </c>
      <c r="AL24" s="348" t="e">
        <f>VLOOKUP(Calendar[[#This Row],[Date]],UploadQuery[],MATCH("Activity Time",UploadQuery[#Headers],0),FALSE)</f>
        <v>#N/A</v>
      </c>
    </row>
    <row r="25" spans="2:38">
      <c r="B25" s="349"/>
      <c r="C25" s="350"/>
      <c r="D25" s="351"/>
      <c r="E25" s="351"/>
      <c r="F25" s="352"/>
      <c r="G25" s="353"/>
      <c r="H25" s="354"/>
      <c r="I25" s="354"/>
      <c r="J25" s="354"/>
      <c r="K25" s="354"/>
      <c r="L25" s="354"/>
      <c r="M25" s="354"/>
      <c r="N25" s="354"/>
      <c r="O25" s="353"/>
      <c r="P25" s="355"/>
      <c r="Q25" s="355"/>
      <c r="R25" s="355"/>
      <c r="S25" s="344"/>
      <c r="T25" s="345" t="e">
        <f>IF(ISBLANK(VLOOKUP(Calendar[[#This Row],[Date]],WeightTable[],2,FALSE))=TRUE,NA(),VLOOKUP(Calendar[[#This Row],[Date]],WeightTable[],IF(WeightUnit="lb",2,3),FALSE))</f>
        <v>#N/A</v>
      </c>
      <c r="U25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5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5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5" s="343">
        <f>Calendar[[#This Row],[Period]]</f>
        <v>0</v>
      </c>
      <c r="Y25" s="346">
        <f>IFERROR(IF(Calendar[[#This Row],[Plan. Hrs]]&lt;Calendar[[#This Row],[Actual Hrs]],0,Calendar[[#This Row],[Plan. Hrs]]-Calendar[[#This Row],[Actual Hrs]]),Calendar[[#This Row],[Plan. Hrs]])</f>
        <v>0</v>
      </c>
      <c r="Z25" s="347">
        <f>IFERROR(IF(Calendar[[#This Row],[Cal. Goal]]&lt;Calendar[[#This Row],[Cal.]],0,Calendar[[#This Row],[Cal. Goal]]-Calendar[[#This Row],[Cal.]]),Calendar[[#This Row],[Cal. Goal]])</f>
        <v>0</v>
      </c>
      <c r="AA25" s="342"/>
      <c r="AB25" s="345"/>
      <c r="AC25" s="347"/>
      <c r="AD25" s="345" t="e">
        <f>BMIf(Calendar[[#This Row],[Weight]],ActualHeight)</f>
        <v>#N/A</v>
      </c>
      <c r="AE25" s="345" t="e">
        <f>VLOOKUP(Calendar[[#This Row],[Date]],UploadQuery[],MATCH("Speed",UploadQuery[#Headers],0),FALSE)</f>
        <v>#N/A</v>
      </c>
      <c r="AF25" s="347" t="e">
        <f>VLOOKUP(Calendar[[#This Row],[Date]],UploadQuery[],MATCH("Elev Gain",UploadQuery[#Headers],0),FALSE)</f>
        <v>#N/A</v>
      </c>
      <c r="AG25" s="347" t="e">
        <f>VLOOKUP(Calendar[[#This Row],[Date]],UploadQuery[],MATCH("Distance",UploadQuery[#Headers],0),FALSE)</f>
        <v>#N/A</v>
      </c>
      <c r="AH25" s="347" t="e">
        <f>VLOOKUP(Calendar[[#This Row],[Date]],UploadQuery[],MATCH("Climber Index",UploadQuery[#Headers],0),FALSE)</f>
        <v>#N/A</v>
      </c>
      <c r="AI25" s="347" t="e">
        <f>VLOOKUP(Calendar[[#This Row],[Date]],UploadQuery[],MATCH("Cal/hour",UploadQuery[#Headers],0),FALSE)</f>
        <v>#N/A</v>
      </c>
      <c r="AJ25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5" s="348">
        <f>SUM(Calendar[[#This Row],[Mon]:[Sun]])</f>
        <v>0</v>
      </c>
      <c r="AL25" s="348" t="e">
        <f>VLOOKUP(Calendar[[#This Row],[Date]],UploadQuery[],MATCH("Activity Time",UploadQuery[#Headers],0),FALSE)</f>
        <v>#N/A</v>
      </c>
    </row>
    <row r="26" spans="2:38">
      <c r="B26" s="349"/>
      <c r="C26" s="350"/>
      <c r="D26" s="351"/>
      <c r="E26" s="351"/>
      <c r="F26" s="352"/>
      <c r="G26" s="353"/>
      <c r="H26" s="354"/>
      <c r="I26" s="354"/>
      <c r="J26" s="354"/>
      <c r="K26" s="354"/>
      <c r="L26" s="354"/>
      <c r="M26" s="354"/>
      <c r="N26" s="354"/>
      <c r="O26" s="353"/>
      <c r="P26" s="355"/>
      <c r="Q26" s="355"/>
      <c r="R26" s="355"/>
      <c r="S26" s="344"/>
      <c r="T26" s="345" t="e">
        <f>IF(ISBLANK(VLOOKUP(Calendar[[#This Row],[Date]],WeightTable[],2,FALSE))=TRUE,NA(),VLOOKUP(Calendar[[#This Row],[Date]],WeightTable[],IF(WeightUnit="lb",2,3),FALSE))</f>
        <v>#N/A</v>
      </c>
      <c r="U26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6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6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6" s="343">
        <f>Calendar[[#This Row],[Period]]</f>
        <v>0</v>
      </c>
      <c r="Y26" s="346">
        <f>IFERROR(IF(Calendar[[#This Row],[Plan. Hrs]]&lt;Calendar[[#This Row],[Actual Hrs]],0,Calendar[[#This Row],[Plan. Hrs]]-Calendar[[#This Row],[Actual Hrs]]),Calendar[[#This Row],[Plan. Hrs]])</f>
        <v>0</v>
      </c>
      <c r="Z26" s="347">
        <f>IFERROR(IF(Calendar[[#This Row],[Cal. Goal]]&lt;Calendar[[#This Row],[Cal.]],0,Calendar[[#This Row],[Cal. Goal]]-Calendar[[#This Row],[Cal.]]),Calendar[[#This Row],[Cal. Goal]])</f>
        <v>0</v>
      </c>
      <c r="AA26" s="342"/>
      <c r="AB26" s="345"/>
      <c r="AC26" s="347"/>
      <c r="AD26" s="345" t="e">
        <f>BMIf(Calendar[[#This Row],[Weight]],ActualHeight)</f>
        <v>#N/A</v>
      </c>
      <c r="AE26" s="345" t="e">
        <f>VLOOKUP(Calendar[[#This Row],[Date]],UploadQuery[],MATCH("Speed",UploadQuery[#Headers],0),FALSE)</f>
        <v>#N/A</v>
      </c>
      <c r="AF26" s="347" t="e">
        <f>VLOOKUP(Calendar[[#This Row],[Date]],UploadQuery[],MATCH("Elev Gain",UploadQuery[#Headers],0),FALSE)</f>
        <v>#N/A</v>
      </c>
      <c r="AG26" s="347" t="e">
        <f>VLOOKUP(Calendar[[#This Row],[Date]],UploadQuery[],MATCH("Distance",UploadQuery[#Headers],0),FALSE)</f>
        <v>#N/A</v>
      </c>
      <c r="AH26" s="347" t="e">
        <f>VLOOKUP(Calendar[[#This Row],[Date]],UploadQuery[],MATCH("Climber Index",UploadQuery[#Headers],0),FALSE)</f>
        <v>#N/A</v>
      </c>
      <c r="AI26" s="347" t="e">
        <f>VLOOKUP(Calendar[[#This Row],[Date]],UploadQuery[],MATCH("Cal/hour",UploadQuery[#Headers],0),FALSE)</f>
        <v>#N/A</v>
      </c>
      <c r="AJ26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6" s="348">
        <f>SUM(Calendar[[#This Row],[Mon]:[Sun]])</f>
        <v>0</v>
      </c>
      <c r="AL26" s="348" t="e">
        <f>VLOOKUP(Calendar[[#This Row],[Date]],UploadQuery[],MATCH("Activity Time",UploadQuery[#Headers],0),FALSE)</f>
        <v>#N/A</v>
      </c>
    </row>
    <row r="27" spans="2:38">
      <c r="B27" s="349"/>
      <c r="C27" s="350"/>
      <c r="D27" s="351"/>
      <c r="E27" s="351"/>
      <c r="F27" s="352"/>
      <c r="G27" s="353"/>
      <c r="H27" s="354"/>
      <c r="I27" s="354"/>
      <c r="J27" s="354"/>
      <c r="K27" s="354"/>
      <c r="L27" s="354"/>
      <c r="M27" s="354"/>
      <c r="N27" s="354"/>
      <c r="O27" s="353"/>
      <c r="P27" s="355"/>
      <c r="Q27" s="355"/>
      <c r="R27" s="355"/>
      <c r="S27" s="344"/>
      <c r="T27" s="345" t="e">
        <f>IF(ISBLANK(VLOOKUP(Calendar[[#This Row],[Date]],WeightTable[],2,FALSE))=TRUE,NA(),VLOOKUP(Calendar[[#This Row],[Date]],WeightTable[],IF(WeightUnit="lb",2,3),FALSE))</f>
        <v>#N/A</v>
      </c>
      <c r="U27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7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7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7" s="343">
        <f>Calendar[[#This Row],[Period]]</f>
        <v>0</v>
      </c>
      <c r="Y27" s="346">
        <f>IFERROR(IF(Calendar[[#This Row],[Plan. Hrs]]&lt;Calendar[[#This Row],[Actual Hrs]],0,Calendar[[#This Row],[Plan. Hrs]]-Calendar[[#This Row],[Actual Hrs]]),Calendar[[#This Row],[Plan. Hrs]])</f>
        <v>0</v>
      </c>
      <c r="Z27" s="347">
        <f>IFERROR(IF(Calendar[[#This Row],[Cal. Goal]]&lt;Calendar[[#This Row],[Cal.]],0,Calendar[[#This Row],[Cal. Goal]]-Calendar[[#This Row],[Cal.]]),Calendar[[#This Row],[Cal. Goal]])</f>
        <v>0</v>
      </c>
      <c r="AA27" s="342"/>
      <c r="AB27" s="345"/>
      <c r="AC27" s="347"/>
      <c r="AD27" s="345" t="e">
        <f>BMIf(Calendar[[#This Row],[Weight]],ActualHeight)</f>
        <v>#N/A</v>
      </c>
      <c r="AE27" s="345" t="e">
        <f>VLOOKUP(Calendar[[#This Row],[Date]],UploadQuery[],MATCH("Speed",UploadQuery[#Headers],0),FALSE)</f>
        <v>#N/A</v>
      </c>
      <c r="AF27" s="347" t="e">
        <f>VLOOKUP(Calendar[[#This Row],[Date]],UploadQuery[],MATCH("Elev Gain",UploadQuery[#Headers],0),FALSE)</f>
        <v>#N/A</v>
      </c>
      <c r="AG27" s="347" t="e">
        <f>VLOOKUP(Calendar[[#This Row],[Date]],UploadQuery[],MATCH("Distance",UploadQuery[#Headers],0),FALSE)</f>
        <v>#N/A</v>
      </c>
      <c r="AH27" s="347" t="e">
        <f>VLOOKUP(Calendar[[#This Row],[Date]],UploadQuery[],MATCH("Climber Index",UploadQuery[#Headers],0),FALSE)</f>
        <v>#N/A</v>
      </c>
      <c r="AI27" s="347" t="e">
        <f>VLOOKUP(Calendar[[#This Row],[Date]],UploadQuery[],MATCH("Cal/hour",UploadQuery[#Headers],0),FALSE)</f>
        <v>#N/A</v>
      </c>
      <c r="AJ27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7" s="348">
        <f>SUM(Calendar[[#This Row],[Mon]:[Sun]])</f>
        <v>0</v>
      </c>
      <c r="AL27" s="348" t="e">
        <f>VLOOKUP(Calendar[[#This Row],[Date]],UploadQuery[],MATCH("Activity Time",UploadQuery[#Headers],0),FALSE)</f>
        <v>#N/A</v>
      </c>
    </row>
    <row r="28" spans="2:38">
      <c r="B28" s="349"/>
      <c r="C28" s="350"/>
      <c r="D28" s="351"/>
      <c r="E28" s="351"/>
      <c r="F28" s="352"/>
      <c r="G28" s="353"/>
      <c r="H28" s="354"/>
      <c r="I28" s="354"/>
      <c r="J28" s="354"/>
      <c r="K28" s="354"/>
      <c r="L28" s="354"/>
      <c r="M28" s="354"/>
      <c r="N28" s="354"/>
      <c r="O28" s="353"/>
      <c r="P28" s="355"/>
      <c r="Q28" s="355"/>
      <c r="R28" s="355"/>
      <c r="S28" s="344"/>
      <c r="T28" s="345" t="e">
        <f>IF(ISBLANK(VLOOKUP(Calendar[[#This Row],[Date]],WeightTable[],2,FALSE))=TRUE,NA(),VLOOKUP(Calendar[[#This Row],[Date]],WeightTable[],IF(WeightUnit="lb",2,3),FALSE))</f>
        <v>#N/A</v>
      </c>
      <c r="U28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8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8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8" s="343">
        <f>Calendar[[#This Row],[Period]]</f>
        <v>0</v>
      </c>
      <c r="Y28" s="346">
        <f>IFERROR(IF(Calendar[[#This Row],[Plan. Hrs]]&lt;Calendar[[#This Row],[Actual Hrs]],0,Calendar[[#This Row],[Plan. Hrs]]-Calendar[[#This Row],[Actual Hrs]]),Calendar[[#This Row],[Plan. Hrs]])</f>
        <v>0</v>
      </c>
      <c r="Z28" s="347">
        <f>IFERROR(IF(Calendar[[#This Row],[Cal. Goal]]&lt;Calendar[[#This Row],[Cal.]],0,Calendar[[#This Row],[Cal. Goal]]-Calendar[[#This Row],[Cal.]]),Calendar[[#This Row],[Cal. Goal]])</f>
        <v>0</v>
      </c>
      <c r="AA28" s="342"/>
      <c r="AB28" s="345"/>
      <c r="AC28" s="347"/>
      <c r="AD28" s="345" t="e">
        <f>BMIf(Calendar[[#This Row],[Weight]],ActualHeight)</f>
        <v>#N/A</v>
      </c>
      <c r="AE28" s="345" t="e">
        <f>VLOOKUP(Calendar[[#This Row],[Date]],UploadQuery[],MATCH("Speed",UploadQuery[#Headers],0),FALSE)</f>
        <v>#N/A</v>
      </c>
      <c r="AF28" s="347" t="e">
        <f>VLOOKUP(Calendar[[#This Row],[Date]],UploadQuery[],MATCH("Elev Gain",UploadQuery[#Headers],0),FALSE)</f>
        <v>#N/A</v>
      </c>
      <c r="AG28" s="347" t="e">
        <f>VLOOKUP(Calendar[[#This Row],[Date]],UploadQuery[],MATCH("Distance",UploadQuery[#Headers],0),FALSE)</f>
        <v>#N/A</v>
      </c>
      <c r="AH28" s="347" t="e">
        <f>VLOOKUP(Calendar[[#This Row],[Date]],UploadQuery[],MATCH("Climber Index",UploadQuery[#Headers],0),FALSE)</f>
        <v>#N/A</v>
      </c>
      <c r="AI28" s="347" t="e">
        <f>VLOOKUP(Calendar[[#This Row],[Date]],UploadQuery[],MATCH("Cal/hour",UploadQuery[#Headers],0),FALSE)</f>
        <v>#N/A</v>
      </c>
      <c r="AJ28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8" s="348">
        <f>SUM(Calendar[[#This Row],[Mon]:[Sun]])</f>
        <v>0</v>
      </c>
      <c r="AL28" s="348" t="e">
        <f>VLOOKUP(Calendar[[#This Row],[Date]],UploadQuery[],MATCH("Activity Time",UploadQuery[#Headers],0),FALSE)</f>
        <v>#N/A</v>
      </c>
    </row>
    <row r="29" spans="2:38">
      <c r="B29" s="349"/>
      <c r="C29" s="350"/>
      <c r="D29" s="351"/>
      <c r="E29" s="351"/>
      <c r="F29" s="352"/>
      <c r="G29" s="353"/>
      <c r="H29" s="354"/>
      <c r="I29" s="354"/>
      <c r="J29" s="354"/>
      <c r="K29" s="354"/>
      <c r="L29" s="354"/>
      <c r="M29" s="354"/>
      <c r="N29" s="354"/>
      <c r="O29" s="353"/>
      <c r="P29" s="355"/>
      <c r="Q29" s="355"/>
      <c r="R29" s="355"/>
      <c r="S29" s="344"/>
      <c r="T29" s="345" t="e">
        <f>IF(ISBLANK(VLOOKUP(Calendar[[#This Row],[Date]],WeightTable[],2,FALSE))=TRUE,NA(),VLOOKUP(Calendar[[#This Row],[Date]],WeightTable[],IF(WeightUnit="lb",2,3),FALSE))</f>
        <v>#N/A</v>
      </c>
      <c r="U29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9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9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9" s="343">
        <f>Calendar[[#This Row],[Period]]</f>
        <v>0</v>
      </c>
      <c r="Y29" s="346">
        <f>IFERROR(IF(Calendar[[#This Row],[Plan. Hrs]]&lt;Calendar[[#This Row],[Actual Hrs]],0,Calendar[[#This Row],[Plan. Hrs]]-Calendar[[#This Row],[Actual Hrs]]),Calendar[[#This Row],[Plan. Hrs]])</f>
        <v>0</v>
      </c>
      <c r="Z29" s="347">
        <f>IFERROR(IF(Calendar[[#This Row],[Cal. Goal]]&lt;Calendar[[#This Row],[Cal.]],0,Calendar[[#This Row],[Cal. Goal]]-Calendar[[#This Row],[Cal.]]),Calendar[[#This Row],[Cal. Goal]])</f>
        <v>0</v>
      </c>
      <c r="AA29" s="342"/>
      <c r="AB29" s="345"/>
      <c r="AC29" s="347"/>
      <c r="AD29" s="345" t="e">
        <f>BMIf(Calendar[[#This Row],[Weight]],ActualHeight)</f>
        <v>#N/A</v>
      </c>
      <c r="AE29" s="345" t="e">
        <f>VLOOKUP(Calendar[[#This Row],[Date]],UploadQuery[],MATCH("Speed",UploadQuery[#Headers],0),FALSE)</f>
        <v>#N/A</v>
      </c>
      <c r="AF29" s="347" t="e">
        <f>VLOOKUP(Calendar[[#This Row],[Date]],UploadQuery[],MATCH("Elev Gain",UploadQuery[#Headers],0),FALSE)</f>
        <v>#N/A</v>
      </c>
      <c r="AG29" s="347" t="e">
        <f>VLOOKUP(Calendar[[#This Row],[Date]],UploadQuery[],MATCH("Distance",UploadQuery[#Headers],0),FALSE)</f>
        <v>#N/A</v>
      </c>
      <c r="AH29" s="347" t="e">
        <f>VLOOKUP(Calendar[[#This Row],[Date]],UploadQuery[],MATCH("Climber Index",UploadQuery[#Headers],0),FALSE)</f>
        <v>#N/A</v>
      </c>
      <c r="AI29" s="347" t="e">
        <f>VLOOKUP(Calendar[[#This Row],[Date]],UploadQuery[],MATCH("Cal/hour",UploadQuery[#Headers],0),FALSE)</f>
        <v>#N/A</v>
      </c>
      <c r="AJ29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9" s="348">
        <f>SUM(Calendar[[#This Row],[Mon]:[Sun]])</f>
        <v>0</v>
      </c>
      <c r="AL29" s="348" t="e">
        <f>VLOOKUP(Calendar[[#This Row],[Date]],UploadQuery[],MATCH("Activity Time",UploadQuery[#Headers],0),FALSE)</f>
        <v>#N/A</v>
      </c>
    </row>
    <row r="30" spans="2:38">
      <c r="B30" s="349"/>
      <c r="C30" s="350"/>
      <c r="D30" s="351"/>
      <c r="E30" s="351"/>
      <c r="F30" s="352"/>
      <c r="G30" s="353"/>
      <c r="H30" s="354"/>
      <c r="I30" s="354"/>
      <c r="J30" s="354"/>
      <c r="K30" s="354"/>
      <c r="L30" s="354"/>
      <c r="M30" s="354"/>
      <c r="N30" s="354"/>
      <c r="O30" s="353"/>
      <c r="P30" s="355"/>
      <c r="Q30" s="355"/>
      <c r="R30" s="355"/>
      <c r="S30" s="344"/>
      <c r="T30" s="345" t="e">
        <f>IF(ISBLANK(VLOOKUP(Calendar[[#This Row],[Date]],WeightTable[],2,FALSE))=TRUE,NA(),VLOOKUP(Calendar[[#This Row],[Date]],WeightTable[],IF(WeightUnit="lb",2,3),FALSE))</f>
        <v>#N/A</v>
      </c>
      <c r="U30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0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0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0" s="343">
        <f>Calendar[[#This Row],[Period]]</f>
        <v>0</v>
      </c>
      <c r="Y30" s="346">
        <f>IFERROR(IF(Calendar[[#This Row],[Plan. Hrs]]&lt;Calendar[[#This Row],[Actual Hrs]],0,Calendar[[#This Row],[Plan. Hrs]]-Calendar[[#This Row],[Actual Hrs]]),Calendar[[#This Row],[Plan. Hrs]])</f>
        <v>0</v>
      </c>
      <c r="Z30" s="347">
        <f>IFERROR(IF(Calendar[[#This Row],[Cal. Goal]]&lt;Calendar[[#This Row],[Cal.]],0,Calendar[[#This Row],[Cal. Goal]]-Calendar[[#This Row],[Cal.]]),Calendar[[#This Row],[Cal. Goal]])</f>
        <v>0</v>
      </c>
      <c r="AA30" s="342"/>
      <c r="AB30" s="345"/>
      <c r="AC30" s="347"/>
      <c r="AD30" s="345" t="e">
        <f>BMIf(Calendar[[#This Row],[Weight]],ActualHeight)</f>
        <v>#N/A</v>
      </c>
      <c r="AE30" s="345" t="e">
        <f>VLOOKUP(Calendar[[#This Row],[Date]],UploadQuery[],MATCH("Speed",UploadQuery[#Headers],0),FALSE)</f>
        <v>#N/A</v>
      </c>
      <c r="AF30" s="347" t="e">
        <f>VLOOKUP(Calendar[[#This Row],[Date]],UploadQuery[],MATCH("Elev Gain",UploadQuery[#Headers],0),FALSE)</f>
        <v>#N/A</v>
      </c>
      <c r="AG30" s="347" t="e">
        <f>VLOOKUP(Calendar[[#This Row],[Date]],UploadQuery[],MATCH("Distance",UploadQuery[#Headers],0),FALSE)</f>
        <v>#N/A</v>
      </c>
      <c r="AH30" s="347" t="e">
        <f>VLOOKUP(Calendar[[#This Row],[Date]],UploadQuery[],MATCH("Climber Index",UploadQuery[#Headers],0),FALSE)</f>
        <v>#N/A</v>
      </c>
      <c r="AI30" s="347" t="e">
        <f>VLOOKUP(Calendar[[#This Row],[Date]],UploadQuery[],MATCH("Cal/hour",UploadQuery[#Headers],0),FALSE)</f>
        <v>#N/A</v>
      </c>
      <c r="AJ30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0" s="348">
        <f>SUM(Calendar[[#This Row],[Mon]:[Sun]])</f>
        <v>0</v>
      </c>
      <c r="AL30" s="348" t="e">
        <f>VLOOKUP(Calendar[[#This Row],[Date]],UploadQuery[],MATCH("Activity Time",UploadQuery[#Headers],0),FALSE)</f>
        <v>#N/A</v>
      </c>
    </row>
    <row r="31" spans="2:38">
      <c r="B31" s="349"/>
      <c r="C31" s="350"/>
      <c r="D31" s="351"/>
      <c r="E31" s="351"/>
      <c r="F31" s="352"/>
      <c r="G31" s="353"/>
      <c r="H31" s="354"/>
      <c r="I31" s="354"/>
      <c r="J31" s="354"/>
      <c r="K31" s="354"/>
      <c r="L31" s="354"/>
      <c r="M31" s="354"/>
      <c r="N31" s="354"/>
      <c r="O31" s="353"/>
      <c r="P31" s="355"/>
      <c r="Q31" s="355"/>
      <c r="R31" s="355"/>
      <c r="S31" s="344"/>
      <c r="T31" s="345" t="e">
        <f>IF(ISBLANK(VLOOKUP(Calendar[[#This Row],[Date]],WeightTable[],2,FALSE))=TRUE,NA(),VLOOKUP(Calendar[[#This Row],[Date]],WeightTable[],IF(WeightUnit="lb",2,3),FALSE))</f>
        <v>#N/A</v>
      </c>
      <c r="U31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1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1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1" s="343">
        <f>Calendar[[#This Row],[Period]]</f>
        <v>0</v>
      </c>
      <c r="Y31" s="346">
        <f>IFERROR(IF(Calendar[[#This Row],[Plan. Hrs]]&lt;Calendar[[#This Row],[Actual Hrs]],0,Calendar[[#This Row],[Plan. Hrs]]-Calendar[[#This Row],[Actual Hrs]]),Calendar[[#This Row],[Plan. Hrs]])</f>
        <v>0</v>
      </c>
      <c r="Z31" s="347">
        <f>IFERROR(IF(Calendar[[#This Row],[Cal. Goal]]&lt;Calendar[[#This Row],[Cal.]],0,Calendar[[#This Row],[Cal. Goal]]-Calendar[[#This Row],[Cal.]]),Calendar[[#This Row],[Cal. Goal]])</f>
        <v>0</v>
      </c>
      <c r="AA31" s="342"/>
      <c r="AB31" s="345"/>
      <c r="AC31" s="347"/>
      <c r="AD31" s="345" t="e">
        <f>BMIf(Calendar[[#This Row],[Weight]],ActualHeight)</f>
        <v>#N/A</v>
      </c>
      <c r="AE31" s="345" t="e">
        <f>VLOOKUP(Calendar[[#This Row],[Date]],UploadQuery[],MATCH("Speed",UploadQuery[#Headers],0),FALSE)</f>
        <v>#N/A</v>
      </c>
      <c r="AF31" s="347" t="e">
        <f>VLOOKUP(Calendar[[#This Row],[Date]],UploadQuery[],MATCH("Elev Gain",UploadQuery[#Headers],0),FALSE)</f>
        <v>#N/A</v>
      </c>
      <c r="AG31" s="347" t="e">
        <f>VLOOKUP(Calendar[[#This Row],[Date]],UploadQuery[],MATCH("Distance",UploadQuery[#Headers],0),FALSE)</f>
        <v>#N/A</v>
      </c>
      <c r="AH31" s="347" t="e">
        <f>VLOOKUP(Calendar[[#This Row],[Date]],UploadQuery[],MATCH("Climber Index",UploadQuery[#Headers],0),FALSE)</f>
        <v>#N/A</v>
      </c>
      <c r="AI31" s="347" t="e">
        <f>VLOOKUP(Calendar[[#This Row],[Date]],UploadQuery[],MATCH("Cal/hour",UploadQuery[#Headers],0),FALSE)</f>
        <v>#N/A</v>
      </c>
      <c r="AJ31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1" s="348">
        <f>SUM(Calendar[[#This Row],[Mon]:[Sun]])</f>
        <v>0</v>
      </c>
      <c r="AL31" s="348" t="e">
        <f>VLOOKUP(Calendar[[#This Row],[Date]],UploadQuery[],MATCH("Activity Time",UploadQuery[#Headers],0),FALSE)</f>
        <v>#N/A</v>
      </c>
    </row>
    <row r="32" spans="2:38">
      <c r="B32" s="349"/>
      <c r="C32" s="350"/>
      <c r="D32" s="351"/>
      <c r="E32" s="351"/>
      <c r="F32" s="352"/>
      <c r="G32" s="353"/>
      <c r="H32" s="354"/>
      <c r="I32" s="354"/>
      <c r="J32" s="354"/>
      <c r="K32" s="354"/>
      <c r="L32" s="354"/>
      <c r="M32" s="354"/>
      <c r="N32" s="354"/>
      <c r="O32" s="353"/>
      <c r="P32" s="355"/>
      <c r="Q32" s="355"/>
      <c r="R32" s="355"/>
      <c r="S32" s="344"/>
      <c r="T32" s="345" t="e">
        <f>IF(ISBLANK(VLOOKUP(Calendar[[#This Row],[Date]],WeightTable[],2,FALSE))=TRUE,NA(),VLOOKUP(Calendar[[#This Row],[Date]],WeightTable[],IF(WeightUnit="lb",2,3),FALSE))</f>
        <v>#N/A</v>
      </c>
      <c r="U32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2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2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2" s="343">
        <f>Calendar[[#This Row],[Period]]</f>
        <v>0</v>
      </c>
      <c r="Y32" s="346">
        <f>IFERROR(IF(Calendar[[#This Row],[Plan. Hrs]]&lt;Calendar[[#This Row],[Actual Hrs]],0,Calendar[[#This Row],[Plan. Hrs]]-Calendar[[#This Row],[Actual Hrs]]),Calendar[[#This Row],[Plan. Hrs]])</f>
        <v>0</v>
      </c>
      <c r="Z32" s="347">
        <f>IFERROR(IF(Calendar[[#This Row],[Cal. Goal]]&lt;Calendar[[#This Row],[Cal.]],0,Calendar[[#This Row],[Cal. Goal]]-Calendar[[#This Row],[Cal.]]),Calendar[[#This Row],[Cal. Goal]])</f>
        <v>0</v>
      </c>
      <c r="AA32" s="342"/>
      <c r="AB32" s="345"/>
      <c r="AC32" s="347"/>
      <c r="AD32" s="345" t="e">
        <f>BMIf(Calendar[[#This Row],[Weight]],ActualHeight)</f>
        <v>#N/A</v>
      </c>
      <c r="AE32" s="345" t="e">
        <f>VLOOKUP(Calendar[[#This Row],[Date]],UploadQuery[],MATCH("Speed",UploadQuery[#Headers],0),FALSE)</f>
        <v>#N/A</v>
      </c>
      <c r="AF32" s="347" t="e">
        <f>VLOOKUP(Calendar[[#This Row],[Date]],UploadQuery[],MATCH("Elev Gain",UploadQuery[#Headers],0),FALSE)</f>
        <v>#N/A</v>
      </c>
      <c r="AG32" s="347" t="e">
        <f>VLOOKUP(Calendar[[#This Row],[Date]],UploadQuery[],MATCH("Distance",UploadQuery[#Headers],0),FALSE)</f>
        <v>#N/A</v>
      </c>
      <c r="AH32" s="347" t="e">
        <f>VLOOKUP(Calendar[[#This Row],[Date]],UploadQuery[],MATCH("Climber Index",UploadQuery[#Headers],0),FALSE)</f>
        <v>#N/A</v>
      </c>
      <c r="AI32" s="347" t="e">
        <f>VLOOKUP(Calendar[[#This Row],[Date]],UploadQuery[],MATCH("Cal/hour",UploadQuery[#Headers],0),FALSE)</f>
        <v>#N/A</v>
      </c>
      <c r="AJ32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2" s="348">
        <f>SUM(Calendar[[#This Row],[Mon]:[Sun]])</f>
        <v>0</v>
      </c>
      <c r="AL32" s="348" t="e">
        <f>VLOOKUP(Calendar[[#This Row],[Date]],UploadQuery[],MATCH("Activity Time",UploadQuery[#Headers],0),FALSE)</f>
        <v>#N/A</v>
      </c>
    </row>
    <row r="33" spans="2:38">
      <c r="B33" s="349"/>
      <c r="C33" s="350"/>
      <c r="D33" s="351"/>
      <c r="E33" s="351"/>
      <c r="F33" s="352"/>
      <c r="G33" s="353"/>
      <c r="H33" s="354"/>
      <c r="I33" s="354"/>
      <c r="J33" s="354"/>
      <c r="K33" s="354"/>
      <c r="L33" s="354"/>
      <c r="M33" s="354"/>
      <c r="N33" s="354"/>
      <c r="O33" s="353"/>
      <c r="P33" s="355"/>
      <c r="Q33" s="355"/>
      <c r="R33" s="355"/>
      <c r="S33" s="344"/>
      <c r="T33" s="345" t="e">
        <f>IF(ISBLANK(VLOOKUP(Calendar[[#This Row],[Date]],WeightTable[],2,FALSE))=TRUE,NA(),VLOOKUP(Calendar[[#This Row],[Date]],WeightTable[],IF(WeightUnit="lb",2,3),FALSE))</f>
        <v>#N/A</v>
      </c>
      <c r="U33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3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3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3" s="343">
        <f>Calendar[[#This Row],[Period]]</f>
        <v>0</v>
      </c>
      <c r="Y33" s="346">
        <f>IFERROR(IF(Calendar[[#This Row],[Plan. Hrs]]&lt;Calendar[[#This Row],[Actual Hrs]],0,Calendar[[#This Row],[Plan. Hrs]]-Calendar[[#This Row],[Actual Hrs]]),Calendar[[#This Row],[Plan. Hrs]])</f>
        <v>0</v>
      </c>
      <c r="Z33" s="347">
        <f>IFERROR(IF(Calendar[[#This Row],[Cal. Goal]]&lt;Calendar[[#This Row],[Cal.]],0,Calendar[[#This Row],[Cal. Goal]]-Calendar[[#This Row],[Cal.]]),Calendar[[#This Row],[Cal. Goal]])</f>
        <v>0</v>
      </c>
      <c r="AA33" s="342"/>
      <c r="AB33" s="345"/>
      <c r="AC33" s="347"/>
      <c r="AD33" s="345" t="e">
        <f>BMIf(Calendar[[#This Row],[Weight]],ActualHeight)</f>
        <v>#N/A</v>
      </c>
      <c r="AE33" s="345" t="e">
        <f>VLOOKUP(Calendar[[#This Row],[Date]],UploadQuery[],MATCH("Speed",UploadQuery[#Headers],0),FALSE)</f>
        <v>#N/A</v>
      </c>
      <c r="AF33" s="347" t="e">
        <f>VLOOKUP(Calendar[[#This Row],[Date]],UploadQuery[],MATCH("Elev Gain",UploadQuery[#Headers],0),FALSE)</f>
        <v>#N/A</v>
      </c>
      <c r="AG33" s="347" t="e">
        <f>VLOOKUP(Calendar[[#This Row],[Date]],UploadQuery[],MATCH("Distance",UploadQuery[#Headers],0),FALSE)</f>
        <v>#N/A</v>
      </c>
      <c r="AH33" s="347" t="e">
        <f>VLOOKUP(Calendar[[#This Row],[Date]],UploadQuery[],MATCH("Climber Index",UploadQuery[#Headers],0),FALSE)</f>
        <v>#N/A</v>
      </c>
      <c r="AI33" s="347" t="e">
        <f>VLOOKUP(Calendar[[#This Row],[Date]],UploadQuery[],MATCH("Cal/hour",UploadQuery[#Headers],0),FALSE)</f>
        <v>#N/A</v>
      </c>
      <c r="AJ33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3" s="348">
        <f>SUM(Calendar[[#This Row],[Mon]:[Sun]])</f>
        <v>0</v>
      </c>
      <c r="AL33" s="348" t="e">
        <f>VLOOKUP(Calendar[[#This Row],[Date]],UploadQuery[],MATCH("Activity Time",UploadQuery[#Headers],0),FALSE)</f>
        <v>#N/A</v>
      </c>
    </row>
    <row r="34" spans="2:38">
      <c r="B34" s="349"/>
      <c r="C34" s="350"/>
      <c r="D34" s="351"/>
      <c r="E34" s="351"/>
      <c r="F34" s="352"/>
      <c r="G34" s="353"/>
      <c r="H34" s="354"/>
      <c r="I34" s="354"/>
      <c r="J34" s="354"/>
      <c r="K34" s="354"/>
      <c r="L34" s="354"/>
      <c r="M34" s="354"/>
      <c r="N34" s="354"/>
      <c r="O34" s="353"/>
      <c r="P34" s="355"/>
      <c r="Q34" s="355"/>
      <c r="R34" s="355"/>
      <c r="S34" s="344"/>
      <c r="T34" s="345" t="e">
        <f>IF(ISBLANK(VLOOKUP(Calendar[[#This Row],[Date]],WeightTable[],2,FALSE))=TRUE,NA(),VLOOKUP(Calendar[[#This Row],[Date]],WeightTable[],IF(WeightUnit="lb",2,3),FALSE))</f>
        <v>#N/A</v>
      </c>
      <c r="U34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4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4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4" s="343">
        <f>Calendar[[#This Row],[Period]]</f>
        <v>0</v>
      </c>
      <c r="Y34" s="346">
        <f>IFERROR(IF(Calendar[[#This Row],[Plan. Hrs]]&lt;Calendar[[#This Row],[Actual Hrs]],0,Calendar[[#This Row],[Plan. Hrs]]-Calendar[[#This Row],[Actual Hrs]]),Calendar[[#This Row],[Plan. Hrs]])</f>
        <v>0</v>
      </c>
      <c r="Z34" s="347">
        <f>IFERROR(IF(Calendar[[#This Row],[Cal. Goal]]&lt;Calendar[[#This Row],[Cal.]],0,Calendar[[#This Row],[Cal. Goal]]-Calendar[[#This Row],[Cal.]]),Calendar[[#This Row],[Cal. Goal]])</f>
        <v>0</v>
      </c>
      <c r="AA34" s="342"/>
      <c r="AB34" s="345"/>
      <c r="AC34" s="347"/>
      <c r="AD34" s="345" t="e">
        <f>BMIf(Calendar[[#This Row],[Weight]],ActualHeight)</f>
        <v>#N/A</v>
      </c>
      <c r="AE34" s="345" t="e">
        <f>VLOOKUP(Calendar[[#This Row],[Date]],UploadQuery[],MATCH("Speed",UploadQuery[#Headers],0),FALSE)</f>
        <v>#N/A</v>
      </c>
      <c r="AF34" s="347" t="e">
        <f>VLOOKUP(Calendar[[#This Row],[Date]],UploadQuery[],MATCH("Elev Gain",UploadQuery[#Headers],0),FALSE)</f>
        <v>#N/A</v>
      </c>
      <c r="AG34" s="347" t="e">
        <f>VLOOKUP(Calendar[[#This Row],[Date]],UploadQuery[],MATCH("Distance",UploadQuery[#Headers],0),FALSE)</f>
        <v>#N/A</v>
      </c>
      <c r="AH34" s="347" t="e">
        <f>VLOOKUP(Calendar[[#This Row],[Date]],UploadQuery[],MATCH("Climber Index",UploadQuery[#Headers],0),FALSE)</f>
        <v>#N/A</v>
      </c>
      <c r="AI34" s="347" t="e">
        <f>VLOOKUP(Calendar[[#This Row],[Date]],UploadQuery[],MATCH("Cal/hour",UploadQuery[#Headers],0),FALSE)</f>
        <v>#N/A</v>
      </c>
      <c r="AJ34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4" s="348">
        <f>SUM(Calendar[[#This Row],[Mon]:[Sun]])</f>
        <v>0</v>
      </c>
      <c r="AL34" s="348" t="e">
        <f>VLOOKUP(Calendar[[#This Row],[Date]],UploadQuery[],MATCH("Activity Time",UploadQuery[#Headers],0),FALSE)</f>
        <v>#N/A</v>
      </c>
    </row>
    <row r="35" spans="2:38">
      <c r="B35" s="349"/>
      <c r="C35" s="350"/>
      <c r="D35" s="351"/>
      <c r="E35" s="351"/>
      <c r="F35" s="352"/>
      <c r="G35" s="353"/>
      <c r="H35" s="354"/>
      <c r="I35" s="354"/>
      <c r="J35" s="354"/>
      <c r="K35" s="354"/>
      <c r="L35" s="354"/>
      <c r="M35" s="354"/>
      <c r="N35" s="354"/>
      <c r="O35" s="353"/>
      <c r="P35" s="355"/>
      <c r="Q35" s="355"/>
      <c r="R35" s="355"/>
      <c r="S35" s="344"/>
      <c r="T35" s="345" t="e">
        <f>IF(ISBLANK(VLOOKUP(Calendar[[#This Row],[Date]],WeightTable[],2,FALSE))=TRUE,NA(),VLOOKUP(Calendar[[#This Row],[Date]],WeightTable[],IF(WeightUnit="lb",2,3),FALSE))</f>
        <v>#N/A</v>
      </c>
      <c r="U35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5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5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5" s="343">
        <f>Calendar[[#This Row],[Period]]</f>
        <v>0</v>
      </c>
      <c r="Y35" s="346">
        <f>IFERROR(IF(Calendar[[#This Row],[Plan. Hrs]]&lt;Calendar[[#This Row],[Actual Hrs]],0,Calendar[[#This Row],[Plan. Hrs]]-Calendar[[#This Row],[Actual Hrs]]),Calendar[[#This Row],[Plan. Hrs]])</f>
        <v>0</v>
      </c>
      <c r="Z35" s="347">
        <f>IFERROR(IF(Calendar[[#This Row],[Cal. Goal]]&lt;Calendar[[#This Row],[Cal.]],0,Calendar[[#This Row],[Cal. Goal]]-Calendar[[#This Row],[Cal.]]),Calendar[[#This Row],[Cal. Goal]])</f>
        <v>0</v>
      </c>
      <c r="AA35" s="342"/>
      <c r="AB35" s="345"/>
      <c r="AC35" s="347"/>
      <c r="AD35" s="345" t="e">
        <f>BMIf(Calendar[[#This Row],[Weight]],ActualHeight)</f>
        <v>#N/A</v>
      </c>
      <c r="AE35" s="345" t="e">
        <f>VLOOKUP(Calendar[[#This Row],[Date]],UploadQuery[],MATCH("Speed",UploadQuery[#Headers],0),FALSE)</f>
        <v>#N/A</v>
      </c>
      <c r="AF35" s="347" t="e">
        <f>VLOOKUP(Calendar[[#This Row],[Date]],UploadQuery[],MATCH("Elev Gain",UploadQuery[#Headers],0),FALSE)</f>
        <v>#N/A</v>
      </c>
      <c r="AG35" s="347" t="e">
        <f>VLOOKUP(Calendar[[#This Row],[Date]],UploadQuery[],MATCH("Distance",UploadQuery[#Headers],0),FALSE)</f>
        <v>#N/A</v>
      </c>
      <c r="AH35" s="347" t="e">
        <f>VLOOKUP(Calendar[[#This Row],[Date]],UploadQuery[],MATCH("Climber Index",UploadQuery[#Headers],0),FALSE)</f>
        <v>#N/A</v>
      </c>
      <c r="AI35" s="347" t="e">
        <f>VLOOKUP(Calendar[[#This Row],[Date]],UploadQuery[],MATCH("Cal/hour",UploadQuery[#Headers],0),FALSE)</f>
        <v>#N/A</v>
      </c>
      <c r="AJ35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5" s="348">
        <f>SUM(Calendar[[#This Row],[Mon]:[Sun]])</f>
        <v>0</v>
      </c>
      <c r="AL35" s="348" t="e">
        <f>VLOOKUP(Calendar[[#This Row],[Date]],UploadQuery[],MATCH("Activity Time",UploadQuery[#Headers],0),FALSE)</f>
        <v>#N/A</v>
      </c>
    </row>
    <row r="36" spans="2:38">
      <c r="B36" s="349"/>
      <c r="C36" s="350"/>
      <c r="D36" s="351"/>
      <c r="E36" s="351"/>
      <c r="F36" s="352"/>
      <c r="G36" s="353"/>
      <c r="H36" s="354"/>
      <c r="I36" s="354"/>
      <c r="J36" s="354"/>
      <c r="K36" s="354"/>
      <c r="L36" s="354"/>
      <c r="M36" s="354"/>
      <c r="N36" s="354"/>
      <c r="O36" s="353"/>
      <c r="P36" s="355"/>
      <c r="Q36" s="355"/>
      <c r="R36" s="355"/>
      <c r="S36" s="344"/>
      <c r="T36" s="345" t="e">
        <f>IF(ISBLANK(VLOOKUP(Calendar[[#This Row],[Date]],WeightTable[],2,FALSE))=TRUE,NA(),VLOOKUP(Calendar[[#This Row],[Date]],WeightTable[],IF(WeightUnit="lb",2,3),FALSE))</f>
        <v>#N/A</v>
      </c>
      <c r="U36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6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6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6" s="343">
        <f>Calendar[[#This Row],[Period]]</f>
        <v>0</v>
      </c>
      <c r="Y36" s="346">
        <f>IFERROR(IF(Calendar[[#This Row],[Plan. Hrs]]&lt;Calendar[[#This Row],[Actual Hrs]],0,Calendar[[#This Row],[Plan. Hrs]]-Calendar[[#This Row],[Actual Hrs]]),Calendar[[#This Row],[Plan. Hrs]])</f>
        <v>0</v>
      </c>
      <c r="Z36" s="347">
        <f>IFERROR(IF(Calendar[[#This Row],[Cal. Goal]]&lt;Calendar[[#This Row],[Cal.]],0,Calendar[[#This Row],[Cal. Goal]]-Calendar[[#This Row],[Cal.]]),Calendar[[#This Row],[Cal. Goal]])</f>
        <v>0</v>
      </c>
      <c r="AA36" s="342"/>
      <c r="AB36" s="345"/>
      <c r="AC36" s="347"/>
      <c r="AD36" s="345" t="e">
        <f>BMIf(Calendar[[#This Row],[Weight]],ActualHeight)</f>
        <v>#N/A</v>
      </c>
      <c r="AE36" s="345" t="e">
        <f>VLOOKUP(Calendar[[#This Row],[Date]],UploadQuery[],MATCH("Speed",UploadQuery[#Headers],0),FALSE)</f>
        <v>#N/A</v>
      </c>
      <c r="AF36" s="347" t="e">
        <f>VLOOKUP(Calendar[[#This Row],[Date]],UploadQuery[],MATCH("Elev Gain",UploadQuery[#Headers],0),FALSE)</f>
        <v>#N/A</v>
      </c>
      <c r="AG36" s="347" t="e">
        <f>VLOOKUP(Calendar[[#This Row],[Date]],UploadQuery[],MATCH("Distance",UploadQuery[#Headers],0),FALSE)</f>
        <v>#N/A</v>
      </c>
      <c r="AH36" s="347" t="e">
        <f>VLOOKUP(Calendar[[#This Row],[Date]],UploadQuery[],MATCH("Climber Index",UploadQuery[#Headers],0),FALSE)</f>
        <v>#N/A</v>
      </c>
      <c r="AI36" s="347" t="e">
        <f>VLOOKUP(Calendar[[#This Row],[Date]],UploadQuery[],MATCH("Cal/hour",UploadQuery[#Headers],0),FALSE)</f>
        <v>#N/A</v>
      </c>
      <c r="AJ36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6" s="348">
        <f>SUM(Calendar[[#This Row],[Mon]:[Sun]])</f>
        <v>0</v>
      </c>
      <c r="AL36" s="348" t="e">
        <f>VLOOKUP(Calendar[[#This Row],[Date]],UploadQuery[],MATCH("Activity Time",UploadQuery[#Headers],0),FALSE)</f>
        <v>#N/A</v>
      </c>
    </row>
    <row r="37" spans="2:38">
      <c r="B37" s="349"/>
      <c r="C37" s="350"/>
      <c r="D37" s="351"/>
      <c r="E37" s="351"/>
      <c r="F37" s="352"/>
      <c r="G37" s="353"/>
      <c r="H37" s="354"/>
      <c r="I37" s="354"/>
      <c r="J37" s="354"/>
      <c r="K37" s="354"/>
      <c r="L37" s="354"/>
      <c r="M37" s="354"/>
      <c r="N37" s="354"/>
      <c r="O37" s="353"/>
      <c r="P37" s="355"/>
      <c r="Q37" s="355"/>
      <c r="R37" s="355"/>
      <c r="S37" s="344"/>
      <c r="T37" s="345"/>
      <c r="U37" s="345"/>
      <c r="V37" s="342"/>
      <c r="W37" s="342"/>
      <c r="X37" s="343"/>
      <c r="Y37" s="346"/>
      <c r="Z37" s="347"/>
      <c r="AA37" s="342"/>
      <c r="AB37" s="345"/>
      <c r="AC37" s="347"/>
      <c r="AD37" s="345"/>
      <c r="AE37" s="345"/>
      <c r="AF37" s="347"/>
      <c r="AG37" s="347"/>
      <c r="AH37" s="347"/>
      <c r="AI37" s="347"/>
      <c r="AJ37" s="348"/>
      <c r="AK37" s="348"/>
      <c r="AL37" s="348"/>
    </row>
    <row r="38" spans="2:38">
      <c r="B38" s="349"/>
      <c r="C38" s="350"/>
      <c r="D38" s="351"/>
      <c r="E38" s="351"/>
      <c r="F38" s="352"/>
      <c r="G38" s="353"/>
      <c r="H38" s="354"/>
      <c r="I38" s="354"/>
      <c r="J38" s="354"/>
      <c r="K38" s="354"/>
      <c r="L38" s="354"/>
      <c r="M38" s="354"/>
      <c r="N38" s="354"/>
      <c r="O38" s="353"/>
      <c r="P38" s="355"/>
      <c r="Q38" s="355"/>
      <c r="R38" s="355"/>
      <c r="S38" s="344"/>
      <c r="T38" s="345"/>
      <c r="U38" s="345"/>
      <c r="V38" s="342"/>
      <c r="W38" s="342"/>
      <c r="X38" s="343"/>
      <c r="Y38" s="346"/>
      <c r="Z38" s="347"/>
      <c r="AA38" s="342"/>
      <c r="AB38" s="345"/>
      <c r="AC38" s="347"/>
      <c r="AD38" s="345"/>
      <c r="AE38" s="345"/>
      <c r="AF38" s="347"/>
      <c r="AG38" s="347"/>
      <c r="AH38" s="347"/>
      <c r="AI38" s="347"/>
      <c r="AJ38" s="348"/>
      <c r="AK38" s="348"/>
      <c r="AL38" s="348"/>
    </row>
    <row r="39" spans="2:38">
      <c r="B39" s="349"/>
      <c r="C39" s="350"/>
      <c r="D39" s="351"/>
      <c r="E39" s="351"/>
      <c r="F39" s="352"/>
      <c r="G39" s="353"/>
      <c r="H39" s="354"/>
      <c r="I39" s="354"/>
      <c r="J39" s="354"/>
      <c r="K39" s="354"/>
      <c r="L39" s="354"/>
      <c r="M39" s="354"/>
      <c r="N39" s="354"/>
      <c r="O39" s="353"/>
      <c r="P39" s="355"/>
      <c r="Q39" s="355"/>
      <c r="R39" s="355"/>
      <c r="S39" s="344"/>
      <c r="T39" s="345"/>
      <c r="U39" s="345"/>
      <c r="V39" s="342"/>
      <c r="W39" s="342"/>
      <c r="X39" s="343"/>
      <c r="Y39" s="346"/>
      <c r="Z39" s="347"/>
      <c r="AA39" s="342"/>
      <c r="AB39" s="345"/>
      <c r="AC39" s="347"/>
      <c r="AD39" s="345"/>
      <c r="AE39" s="345"/>
      <c r="AF39" s="347"/>
      <c r="AG39" s="347"/>
      <c r="AH39" s="347"/>
      <c r="AI39" s="347"/>
      <c r="AJ39" s="348"/>
      <c r="AK39" s="348"/>
      <c r="AL39" s="348"/>
    </row>
    <row r="40" spans="2:38">
      <c r="B40" s="349"/>
      <c r="C40" s="350"/>
      <c r="D40" s="351"/>
      <c r="E40" s="351"/>
      <c r="F40" s="352"/>
      <c r="G40" s="353"/>
      <c r="H40" s="354"/>
      <c r="I40" s="354"/>
      <c r="J40" s="354"/>
      <c r="K40" s="354"/>
      <c r="L40" s="354"/>
      <c r="M40" s="354"/>
      <c r="N40" s="354"/>
      <c r="O40" s="353"/>
      <c r="P40" s="355"/>
      <c r="Q40" s="355"/>
      <c r="R40" s="355"/>
      <c r="S40" s="344"/>
      <c r="T40" s="345"/>
      <c r="U40" s="345"/>
      <c r="V40" s="342"/>
      <c r="W40" s="342"/>
      <c r="X40" s="343"/>
      <c r="Y40" s="346"/>
      <c r="Z40" s="347"/>
      <c r="AA40" s="342"/>
      <c r="AB40" s="345"/>
      <c r="AC40" s="347"/>
      <c r="AD40" s="345"/>
      <c r="AE40" s="345"/>
      <c r="AF40" s="347"/>
      <c r="AG40" s="347"/>
      <c r="AH40" s="347"/>
      <c r="AI40" s="347"/>
      <c r="AJ40" s="348"/>
      <c r="AK40" s="348"/>
      <c r="AL40" s="348"/>
    </row>
    <row r="41" spans="2:38">
      <c r="B41" s="349"/>
      <c r="C41" s="350"/>
      <c r="D41" s="351"/>
      <c r="E41" s="351"/>
      <c r="F41" s="352"/>
      <c r="G41" s="353"/>
      <c r="H41" s="354"/>
      <c r="I41" s="354"/>
      <c r="J41" s="354"/>
      <c r="K41" s="354"/>
      <c r="L41" s="354"/>
      <c r="M41" s="354"/>
      <c r="N41" s="354"/>
      <c r="O41" s="353"/>
      <c r="P41" s="355"/>
      <c r="Q41" s="355"/>
      <c r="R41" s="355"/>
      <c r="S41" s="344"/>
      <c r="T41" s="345"/>
      <c r="U41" s="345"/>
      <c r="V41" s="342"/>
      <c r="W41" s="342"/>
      <c r="X41" s="343"/>
      <c r="Y41" s="346"/>
      <c r="Z41" s="347"/>
      <c r="AA41" s="342"/>
      <c r="AB41" s="345"/>
      <c r="AC41" s="347"/>
      <c r="AD41" s="345"/>
      <c r="AE41" s="345"/>
      <c r="AF41" s="347"/>
      <c r="AG41" s="347"/>
      <c r="AH41" s="347"/>
      <c r="AI41" s="347"/>
      <c r="AJ41" s="348"/>
      <c r="AK41" s="348"/>
      <c r="AL41" s="348"/>
    </row>
    <row r="42" spans="2:38">
      <c r="B42" s="349"/>
      <c r="C42" s="350"/>
      <c r="D42" s="351"/>
      <c r="E42" s="351"/>
      <c r="F42" s="352"/>
      <c r="G42" s="353"/>
      <c r="H42" s="354"/>
      <c r="I42" s="354"/>
      <c r="J42" s="354"/>
      <c r="K42" s="354"/>
      <c r="L42" s="354"/>
      <c r="M42" s="354"/>
      <c r="N42" s="354"/>
      <c r="O42" s="353"/>
      <c r="P42" s="355"/>
      <c r="Q42" s="355"/>
      <c r="R42" s="355"/>
      <c r="S42" s="344"/>
      <c r="T42" s="345"/>
      <c r="U42" s="345"/>
      <c r="V42" s="342"/>
      <c r="W42" s="342"/>
      <c r="X42" s="343"/>
      <c r="Y42" s="346"/>
      <c r="Z42" s="347"/>
      <c r="AA42" s="342"/>
      <c r="AB42" s="345"/>
      <c r="AC42" s="347"/>
      <c r="AD42" s="345"/>
      <c r="AE42" s="345"/>
      <c r="AF42" s="347"/>
      <c r="AG42" s="347"/>
      <c r="AH42" s="347"/>
      <c r="AI42" s="347"/>
      <c r="AJ42" s="348"/>
      <c r="AK42" s="348"/>
      <c r="AL42" s="348"/>
    </row>
    <row r="43" spans="2:38">
      <c r="B43" s="349"/>
      <c r="C43" s="350"/>
      <c r="D43" s="351"/>
      <c r="E43" s="351"/>
      <c r="F43" s="352"/>
      <c r="G43" s="353"/>
      <c r="H43" s="354"/>
      <c r="I43" s="354"/>
      <c r="J43" s="354"/>
      <c r="K43" s="354"/>
      <c r="L43" s="354"/>
      <c r="M43" s="354"/>
      <c r="N43" s="354"/>
      <c r="O43" s="353"/>
      <c r="P43" s="355"/>
      <c r="Q43" s="355"/>
      <c r="R43" s="355"/>
      <c r="S43" s="344"/>
      <c r="T43" s="345"/>
      <c r="U43" s="345"/>
      <c r="V43" s="342"/>
      <c r="W43" s="342"/>
      <c r="X43" s="343"/>
      <c r="Y43" s="346"/>
      <c r="Z43" s="347"/>
      <c r="AA43" s="342"/>
      <c r="AB43" s="345"/>
      <c r="AC43" s="347"/>
      <c r="AD43" s="345"/>
      <c r="AE43" s="345"/>
      <c r="AF43" s="347"/>
      <c r="AG43" s="347"/>
      <c r="AH43" s="347"/>
      <c r="AI43" s="347"/>
      <c r="AJ43" s="348"/>
      <c r="AK43" s="348"/>
      <c r="AL43" s="348"/>
    </row>
  </sheetData>
  <sheetProtection formatCells="0" formatColumns="0" formatRows="0" insertColumns="0" insertRows="0" insertHyperlinks="0" deleteColumns="0" deleteRows="0" sort="0" autoFilter="0" pivotTables="0"/>
  <dataConsolidate link="1"/>
  <conditionalFormatting sqref="D16:D36">
    <cfRule type="cellIs" dxfId="167" priority="1" stopIfTrue="1" operator="equal">
      <formula>"Race"</formula>
    </cfRule>
    <cfRule type="cellIs" dxfId="166" priority="2" stopIfTrue="1" operator="equal">
      <formula>"Peak"</formula>
    </cfRule>
    <cfRule type="cellIs" dxfId="165" priority="3" stopIfTrue="1" operator="equal">
      <formula>"Build II"</formula>
    </cfRule>
    <cfRule type="cellIs" dxfId="164" priority="4" stopIfTrue="1" operator="equal">
      <formula>"Build I"</formula>
    </cfRule>
    <cfRule type="cellIs" dxfId="163" priority="5" stopIfTrue="1" operator="equal">
      <formula>"Base III"</formula>
    </cfRule>
    <cfRule type="cellIs" dxfId="162" priority="6" stopIfTrue="1" operator="equal">
      <formula>"Base II"</formula>
    </cfRule>
    <cfRule type="cellIs" dxfId="161" priority="7" stopIfTrue="1" operator="equal">
      <formula>"Base I"</formula>
    </cfRule>
    <cfRule type="cellIs" dxfId="160" priority="8" stopIfTrue="1" operator="equal">
      <formula>"Prep."</formula>
    </cfRule>
  </conditionalFormatting>
  <pageMargins left="0.7" right="0.7" top="0.75" bottom="0.75" header="0.3" footer="0.3"/>
  <pageSetup orientation="portrait" horizontalDpi="4294967293" verticalDpi="4294967293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112F4-99FB-4DFC-8D64-72DDB74DC5B9}">
  <sheetPr codeName="Sheet5"/>
  <dimension ref="A1:AG138"/>
  <sheetViews>
    <sheetView showGridLines="0" showRowColHeaders="0" zoomScaleNormal="100" workbookViewId="0">
      <pane ySplit="1" topLeftCell="A2" activePane="bottomLeft" state="frozen"/>
      <selection activeCell="Y1" sqref="Y1"/>
      <selection pane="bottomLeft" activeCell="C4" sqref="C4"/>
    </sheetView>
  </sheetViews>
  <sheetFormatPr defaultColWidth="0" defaultRowHeight="15.75"/>
  <cols>
    <col min="1" max="1" width="1.7109375" style="105" customWidth="1"/>
    <col min="2" max="2" width="4.7109375" style="86" customWidth="1"/>
    <col min="3" max="3" width="12.7109375" style="168" customWidth="1"/>
    <col min="4" max="8" width="8.7109375" style="105" customWidth="1"/>
    <col min="9" max="9" width="1.7109375" style="105" customWidth="1"/>
    <col min="10" max="15" width="9.140625" style="105" customWidth="1"/>
    <col min="16" max="16" width="1.7109375" style="105" customWidth="1"/>
    <col min="17" max="33" width="9.140625" style="105" customWidth="1"/>
    <col min="34" max="16384" width="9.140625" style="105" hidden="1"/>
  </cols>
  <sheetData>
    <row r="1" spans="1:33" s="38" customFormat="1" ht="21" customHeight="1">
      <c r="A1" s="159"/>
      <c r="B1" s="160" t="s">
        <v>553</v>
      </c>
      <c r="C1" s="160"/>
      <c r="D1" s="160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</row>
    <row r="2" spans="1:33" ht="5.0999999999999996" customHeight="1">
      <c r="B2" s="157"/>
      <c r="C2" s="157"/>
      <c r="D2" s="157"/>
      <c r="E2" s="157"/>
      <c r="F2" s="157"/>
      <c r="G2" s="157"/>
      <c r="H2" s="157"/>
    </row>
    <row r="3" spans="1:33" ht="35.1" customHeight="1">
      <c r="B3" s="161" t="s">
        <v>27</v>
      </c>
      <c r="C3" s="161" t="s">
        <v>18</v>
      </c>
      <c r="D3" s="161" t="s">
        <v>0</v>
      </c>
      <c r="E3" s="161" t="s">
        <v>26</v>
      </c>
      <c r="F3" s="161" t="s">
        <v>19</v>
      </c>
      <c r="G3" s="161" t="s">
        <v>45</v>
      </c>
      <c r="H3" s="161" t="s">
        <v>334</v>
      </c>
      <c r="I3" s="76"/>
      <c r="X3" s="395"/>
      <c r="Y3" s="395"/>
      <c r="Z3" s="395"/>
      <c r="AA3" s="395"/>
      <c r="AB3" s="395"/>
      <c r="AC3" s="395"/>
      <c r="AD3" s="395"/>
      <c r="AE3" s="392"/>
    </row>
    <row r="4" spans="1:33">
      <c r="B4" s="162">
        <v>1</v>
      </c>
      <c r="C4" s="163"/>
      <c r="D4" s="164"/>
      <c r="E4" s="264"/>
      <c r="F4" s="265"/>
      <c r="G4" s="266"/>
      <c r="H4" s="264"/>
      <c r="I4" s="94"/>
      <c r="X4" s="397"/>
      <c r="Y4" s="397"/>
      <c r="Z4" s="397"/>
      <c r="AA4" s="397"/>
      <c r="AB4" s="397"/>
      <c r="AC4" s="397"/>
      <c r="AD4" s="397"/>
      <c r="AE4" s="392"/>
    </row>
    <row r="5" spans="1:33">
      <c r="B5" s="162">
        <v>2</v>
      </c>
      <c r="C5" s="163"/>
      <c r="D5" s="164"/>
      <c r="E5" s="264"/>
      <c r="F5" s="266"/>
      <c r="G5" s="266"/>
      <c r="H5" s="264"/>
      <c r="I5" s="76"/>
      <c r="X5" s="171"/>
      <c r="Y5" s="171"/>
      <c r="Z5" s="171"/>
      <c r="AA5" s="171"/>
      <c r="AB5" s="171"/>
      <c r="AC5" s="171"/>
      <c r="AD5" s="171"/>
      <c r="AE5" s="392"/>
    </row>
    <row r="6" spans="1:33">
      <c r="B6" s="162">
        <v>3</v>
      </c>
      <c r="C6" s="163"/>
      <c r="D6" s="164"/>
      <c r="E6" s="264"/>
      <c r="F6" s="266"/>
      <c r="G6" s="266"/>
      <c r="H6" s="264"/>
      <c r="I6" s="76"/>
      <c r="X6" s="393"/>
      <c r="Y6" s="393"/>
      <c r="Z6" s="393"/>
      <c r="AA6" s="393"/>
      <c r="AB6" s="393"/>
      <c r="AC6" s="393"/>
      <c r="AD6" s="393"/>
      <c r="AE6" s="394"/>
    </row>
    <row r="7" spans="1:33">
      <c r="B7" s="162">
        <v>4</v>
      </c>
      <c r="C7" s="163"/>
      <c r="D7" s="164"/>
      <c r="E7" s="264"/>
      <c r="F7" s="266"/>
      <c r="G7" s="266"/>
      <c r="H7" s="264"/>
      <c r="I7" s="76"/>
      <c r="X7" s="392"/>
      <c r="Y7" s="392"/>
      <c r="Z7" s="392"/>
      <c r="AA7" s="392"/>
      <c r="AB7" s="392"/>
      <c r="AC7" s="392"/>
      <c r="AD7" s="392"/>
      <c r="AE7" s="392"/>
    </row>
    <row r="8" spans="1:33">
      <c r="B8" s="162">
        <v>5</v>
      </c>
      <c r="C8" s="163"/>
      <c r="D8" s="164"/>
      <c r="E8" s="264"/>
      <c r="F8" s="266"/>
      <c r="G8" s="266"/>
      <c r="H8" s="264"/>
      <c r="I8" s="76"/>
      <c r="X8" s="392"/>
      <c r="Y8" s="392"/>
      <c r="Z8" s="392"/>
      <c r="AA8" s="392"/>
      <c r="AB8" s="392"/>
      <c r="AC8" s="392"/>
      <c r="AD8" s="392"/>
      <c r="AE8" s="392"/>
    </row>
    <row r="9" spans="1:33">
      <c r="B9" s="162">
        <v>6</v>
      </c>
      <c r="C9" s="163"/>
      <c r="D9" s="164"/>
      <c r="E9" s="264"/>
      <c r="F9" s="266"/>
      <c r="G9" s="266"/>
      <c r="H9" s="264"/>
      <c r="I9" s="76"/>
      <c r="X9" s="392"/>
      <c r="Y9" s="81"/>
      <c r="Z9" s="81"/>
      <c r="AA9" s="81"/>
      <c r="AB9" s="81"/>
      <c r="AC9" s="81"/>
      <c r="AD9" s="81"/>
      <c r="AE9" s="392"/>
    </row>
    <row r="10" spans="1:33">
      <c r="B10" s="162">
        <v>7</v>
      </c>
      <c r="C10" s="163"/>
      <c r="D10" s="164"/>
      <c r="E10" s="264"/>
      <c r="F10" s="266"/>
      <c r="G10" s="266"/>
      <c r="H10" s="264"/>
      <c r="I10" s="76"/>
      <c r="X10" s="391"/>
      <c r="Y10" s="391"/>
      <c r="Z10" s="391"/>
      <c r="AA10" s="391"/>
      <c r="AB10" s="391"/>
      <c r="AC10" s="391"/>
      <c r="AD10" s="391"/>
    </row>
    <row r="11" spans="1:33">
      <c r="B11" s="162">
        <v>8</v>
      </c>
      <c r="C11" s="163"/>
      <c r="D11" s="164"/>
      <c r="E11" s="264"/>
      <c r="F11" s="266"/>
      <c r="G11" s="266"/>
      <c r="H11" s="264"/>
      <c r="I11" s="76"/>
      <c r="X11" s="390"/>
      <c r="Y11" s="389"/>
      <c r="Z11" s="389"/>
      <c r="AA11" s="389"/>
      <c r="AB11" s="389"/>
      <c r="AC11" s="389"/>
      <c r="AD11" s="389"/>
    </row>
    <row r="12" spans="1:33">
      <c r="B12" s="162">
        <v>9</v>
      </c>
      <c r="C12" s="163"/>
      <c r="D12" s="164"/>
      <c r="E12" s="264"/>
      <c r="F12" s="266"/>
      <c r="G12" s="266"/>
      <c r="H12" s="264"/>
      <c r="I12" s="76"/>
    </row>
    <row r="13" spans="1:33">
      <c r="B13" s="162">
        <v>10</v>
      </c>
      <c r="C13" s="163"/>
      <c r="D13" s="164"/>
      <c r="E13" s="264"/>
      <c r="F13" s="266"/>
      <c r="G13" s="266"/>
      <c r="H13" s="264"/>
      <c r="I13" s="76"/>
    </row>
    <row r="14" spans="1:33">
      <c r="B14" s="162">
        <v>11</v>
      </c>
      <c r="C14" s="163"/>
      <c r="D14" s="164"/>
      <c r="E14" s="264"/>
      <c r="F14" s="266"/>
      <c r="G14" s="266"/>
      <c r="H14" s="264"/>
      <c r="I14" s="76"/>
    </row>
    <row r="15" spans="1:33">
      <c r="B15" s="162">
        <v>12</v>
      </c>
      <c r="C15" s="163"/>
      <c r="D15" s="164"/>
      <c r="E15" s="264"/>
      <c r="F15" s="266"/>
      <c r="G15" s="266"/>
      <c r="H15" s="264"/>
      <c r="I15" s="76"/>
    </row>
    <row r="16" spans="1:33">
      <c r="B16" s="162">
        <v>13</v>
      </c>
      <c r="C16" s="163"/>
      <c r="D16" s="164"/>
      <c r="E16" s="264"/>
      <c r="F16" s="265"/>
      <c r="G16" s="266"/>
      <c r="H16" s="264"/>
      <c r="I16" s="76"/>
    </row>
    <row r="17" spans="2:11">
      <c r="B17" s="162">
        <v>14</v>
      </c>
      <c r="C17" s="163"/>
      <c r="D17" s="164"/>
      <c r="E17" s="264"/>
      <c r="F17" s="265"/>
      <c r="G17" s="266"/>
      <c r="H17" s="264"/>
      <c r="I17" s="76"/>
    </row>
    <row r="18" spans="2:11">
      <c r="B18" s="162">
        <v>15</v>
      </c>
      <c r="C18" s="163"/>
      <c r="D18" s="164"/>
      <c r="E18" s="264"/>
      <c r="F18" s="265"/>
      <c r="G18" s="266"/>
      <c r="H18" s="264"/>
      <c r="I18" s="76"/>
    </row>
    <row r="19" spans="2:11">
      <c r="B19" s="162">
        <v>16</v>
      </c>
      <c r="C19" s="163"/>
      <c r="D19" s="164"/>
      <c r="E19" s="264"/>
      <c r="F19" s="265"/>
      <c r="G19" s="266"/>
      <c r="H19" s="264"/>
      <c r="I19" s="76"/>
    </row>
    <row r="20" spans="2:11">
      <c r="B20" s="162">
        <v>17</v>
      </c>
      <c r="C20" s="163"/>
      <c r="D20" s="164"/>
      <c r="E20" s="264"/>
      <c r="F20" s="265"/>
      <c r="G20" s="266"/>
      <c r="H20" s="264"/>
      <c r="I20" s="76"/>
    </row>
    <row r="21" spans="2:11">
      <c r="B21" s="162">
        <v>18</v>
      </c>
      <c r="C21" s="163"/>
      <c r="D21" s="164"/>
      <c r="E21" s="264"/>
      <c r="F21" s="265"/>
      <c r="G21" s="266"/>
      <c r="H21" s="264"/>
      <c r="I21" s="76"/>
    </row>
    <row r="22" spans="2:11">
      <c r="B22" s="162">
        <v>19</v>
      </c>
      <c r="C22" s="163"/>
      <c r="D22" s="164"/>
      <c r="E22" s="264"/>
      <c r="F22" s="265"/>
      <c r="G22" s="266"/>
      <c r="H22" s="264"/>
      <c r="I22" s="76"/>
    </row>
    <row r="23" spans="2:11">
      <c r="B23" s="162">
        <v>20</v>
      </c>
      <c r="C23" s="163"/>
      <c r="D23" s="164"/>
      <c r="E23" s="264"/>
      <c r="F23" s="265"/>
      <c r="G23" s="266"/>
      <c r="H23" s="264"/>
      <c r="I23" s="76"/>
    </row>
    <row r="24" spans="2:11">
      <c r="B24" s="162">
        <v>21</v>
      </c>
      <c r="C24" s="163"/>
      <c r="D24" s="164"/>
      <c r="E24" s="264"/>
      <c r="F24" s="265"/>
      <c r="G24" s="266"/>
      <c r="H24" s="264"/>
      <c r="I24" s="76"/>
    </row>
    <row r="25" spans="2:11">
      <c r="B25" s="162"/>
      <c r="C25" s="163"/>
      <c r="D25" s="164"/>
      <c r="E25" s="264"/>
      <c r="F25" s="265"/>
      <c r="G25" s="266"/>
      <c r="H25" s="264"/>
      <c r="I25" s="76"/>
    </row>
    <row r="26" spans="2:11">
      <c r="B26" s="162"/>
      <c r="C26" s="163"/>
      <c r="D26" s="164"/>
      <c r="E26" s="264"/>
      <c r="F26" s="266"/>
      <c r="G26" s="266"/>
      <c r="H26" s="264"/>
      <c r="I26" s="76"/>
    </row>
    <row r="27" spans="2:11">
      <c r="B27" s="162"/>
      <c r="C27" s="163"/>
      <c r="D27" s="164"/>
      <c r="E27" s="264"/>
      <c r="F27" s="266"/>
      <c r="G27" s="266"/>
      <c r="H27" s="264"/>
      <c r="I27" s="76"/>
    </row>
    <row r="28" spans="2:11">
      <c r="B28" s="162"/>
      <c r="C28" s="163"/>
      <c r="D28" s="164"/>
      <c r="E28" s="264"/>
      <c r="F28" s="266"/>
      <c r="G28" s="266"/>
      <c r="H28" s="264"/>
      <c r="I28" s="76"/>
    </row>
    <row r="29" spans="2:11">
      <c r="B29" s="162"/>
      <c r="C29" s="163"/>
      <c r="D29" s="164"/>
      <c r="E29" s="264"/>
      <c r="F29" s="266"/>
      <c r="G29" s="266"/>
      <c r="H29" s="264"/>
    </row>
    <row r="30" spans="2:11">
      <c r="B30" s="162"/>
      <c r="C30" s="163"/>
      <c r="D30" s="164"/>
      <c r="E30" s="264"/>
      <c r="F30" s="266"/>
      <c r="G30" s="266"/>
      <c r="H30" s="264"/>
      <c r="K30"/>
    </row>
    <row r="31" spans="2:11">
      <c r="B31" s="162"/>
      <c r="C31" s="163"/>
      <c r="D31" s="164"/>
      <c r="E31" s="264"/>
      <c r="F31" s="266"/>
      <c r="G31" s="266"/>
      <c r="H31" s="264"/>
    </row>
    <row r="32" spans="2:11">
      <c r="B32" s="162"/>
      <c r="C32" s="163"/>
      <c r="D32" s="164"/>
      <c r="E32" s="94"/>
      <c r="F32" s="95"/>
      <c r="G32" s="266"/>
      <c r="H32" s="264"/>
    </row>
    <row r="33" spans="2:8">
      <c r="B33" s="162"/>
      <c r="C33" s="163"/>
      <c r="D33" s="164"/>
      <c r="E33" s="94"/>
      <c r="F33" s="95"/>
      <c r="G33" s="266"/>
      <c r="H33" s="264"/>
    </row>
    <row r="34" spans="2:8">
      <c r="B34" s="162"/>
      <c r="C34" s="163"/>
      <c r="D34" s="164"/>
      <c r="E34" s="94"/>
      <c r="F34" s="95"/>
      <c r="G34" s="266"/>
      <c r="H34" s="264"/>
    </row>
    <row r="35" spans="2:8">
      <c r="B35" s="162"/>
      <c r="C35" s="163"/>
      <c r="D35" s="164"/>
      <c r="E35" s="94"/>
      <c r="F35" s="95"/>
      <c r="G35" s="266"/>
      <c r="H35" s="264"/>
    </row>
    <row r="36" spans="2:8">
      <c r="B36" s="76"/>
      <c r="C36" s="76"/>
      <c r="D36" s="76"/>
      <c r="E36" s="165"/>
      <c r="F36" s="166"/>
      <c r="G36" s="266"/>
      <c r="H36" s="264"/>
    </row>
    <row r="37" spans="2:8">
      <c r="B37" s="76"/>
      <c r="C37" s="76"/>
      <c r="D37" s="76"/>
      <c r="E37" s="165"/>
      <c r="F37" s="166"/>
      <c r="G37" s="266"/>
      <c r="H37" s="264"/>
    </row>
    <row r="38" spans="2:8">
      <c r="B38" s="76"/>
      <c r="C38" s="76"/>
      <c r="D38" s="76"/>
      <c r="E38" s="165"/>
      <c r="F38" s="166"/>
      <c r="G38" s="266"/>
      <c r="H38" s="264"/>
    </row>
    <row r="39" spans="2:8">
      <c r="B39" s="76"/>
      <c r="C39" s="76"/>
      <c r="D39" s="76"/>
      <c r="E39" s="165"/>
      <c r="F39" s="166"/>
      <c r="G39" s="266"/>
      <c r="H39" s="264"/>
    </row>
    <row r="40" spans="2:8">
      <c r="B40" s="76"/>
      <c r="C40" s="76"/>
      <c r="D40" s="76"/>
      <c r="E40" s="165"/>
      <c r="F40" s="166"/>
      <c r="G40" s="266"/>
      <c r="H40" s="264"/>
    </row>
    <row r="41" spans="2:8">
      <c r="B41" s="76"/>
      <c r="C41" s="76"/>
      <c r="D41" s="76"/>
      <c r="E41" s="165"/>
      <c r="F41" s="166"/>
      <c r="G41" s="266"/>
      <c r="H41" s="264"/>
    </row>
    <row r="42" spans="2:8">
      <c r="B42" s="76"/>
      <c r="C42" s="76"/>
      <c r="D42" s="76"/>
      <c r="E42" s="165"/>
      <c r="F42" s="166"/>
      <c r="G42" s="266"/>
      <c r="H42" s="264"/>
    </row>
    <row r="43" spans="2:8">
      <c r="B43" s="76"/>
      <c r="C43" s="76"/>
      <c r="D43" s="76"/>
      <c r="E43" s="165"/>
      <c r="F43" s="166"/>
      <c r="G43" s="266"/>
      <c r="H43" s="264"/>
    </row>
    <row r="44" spans="2:8">
      <c r="B44" s="76"/>
      <c r="C44" s="76"/>
      <c r="D44" s="76"/>
      <c r="E44" s="165"/>
      <c r="F44" s="166"/>
      <c r="G44" s="266"/>
      <c r="H44" s="264"/>
    </row>
    <row r="45" spans="2:8">
      <c r="B45" s="76"/>
      <c r="C45" s="76"/>
      <c r="D45" s="76"/>
      <c r="E45" s="165"/>
      <c r="F45" s="166"/>
      <c r="G45" s="266"/>
      <c r="H45" s="264"/>
    </row>
    <row r="46" spans="2:8">
      <c r="B46" s="76"/>
      <c r="C46" s="76"/>
      <c r="D46" s="76"/>
      <c r="E46" s="165"/>
      <c r="F46" s="166"/>
      <c r="G46" s="266"/>
      <c r="H46" s="264"/>
    </row>
    <row r="47" spans="2:8">
      <c r="B47" s="76"/>
      <c r="C47" s="76"/>
      <c r="D47" s="76"/>
      <c r="E47" s="165"/>
      <c r="F47" s="166"/>
      <c r="G47" s="266"/>
      <c r="H47" s="264"/>
    </row>
    <row r="48" spans="2:8">
      <c r="B48" s="76"/>
      <c r="C48" s="76"/>
      <c r="D48" s="76"/>
      <c r="E48" s="165"/>
      <c r="F48" s="166"/>
      <c r="G48" s="266"/>
      <c r="H48" s="264"/>
    </row>
    <row r="49" spans="2:8">
      <c r="B49" s="76"/>
      <c r="C49" s="76"/>
      <c r="D49" s="76"/>
      <c r="E49" s="165"/>
      <c r="F49" s="166"/>
      <c r="G49" s="266"/>
      <c r="H49" s="264"/>
    </row>
    <row r="50" spans="2:8">
      <c r="B50" s="76"/>
      <c r="C50" s="76"/>
      <c r="D50" s="76"/>
      <c r="E50" s="165"/>
      <c r="F50" s="166"/>
      <c r="G50" s="266"/>
      <c r="H50" s="264"/>
    </row>
    <row r="51" spans="2:8">
      <c r="B51" s="76"/>
      <c r="C51" s="76"/>
      <c r="D51" s="76"/>
      <c r="E51" s="165"/>
      <c r="F51" s="166"/>
      <c r="G51" s="266"/>
      <c r="H51" s="264"/>
    </row>
    <row r="52" spans="2:8">
      <c r="B52" s="76"/>
      <c r="C52" s="76"/>
      <c r="D52" s="76"/>
      <c r="E52" s="165"/>
      <c r="F52" s="166"/>
      <c r="G52" s="266"/>
      <c r="H52" s="264"/>
    </row>
    <row r="53" spans="2:8">
      <c r="B53" s="76"/>
      <c r="C53" s="76"/>
      <c r="D53" s="76"/>
      <c r="E53" s="165"/>
      <c r="F53" s="166"/>
      <c r="G53" s="165"/>
      <c r="H53" s="167"/>
    </row>
    <row r="54" spans="2:8">
      <c r="B54" s="76"/>
      <c r="C54" s="76"/>
      <c r="D54" s="76"/>
      <c r="E54" s="165"/>
      <c r="F54" s="166"/>
      <c r="G54" s="165"/>
      <c r="H54" s="167"/>
    </row>
    <row r="55" spans="2:8">
      <c r="B55" s="76"/>
      <c r="C55" s="76"/>
      <c r="D55" s="76"/>
      <c r="E55" s="165"/>
      <c r="F55" s="166"/>
      <c r="G55" s="165"/>
      <c r="H55" s="167"/>
    </row>
    <row r="56" spans="2:8">
      <c r="B56" s="76"/>
      <c r="C56" s="76"/>
      <c r="D56" s="76"/>
      <c r="E56" s="165"/>
      <c r="F56" s="166"/>
      <c r="G56" s="165"/>
      <c r="H56" s="167"/>
    </row>
    <row r="57" spans="2:8">
      <c r="B57" s="76"/>
      <c r="C57" s="76"/>
      <c r="D57" s="76"/>
      <c r="E57" s="165"/>
      <c r="F57" s="166"/>
      <c r="G57" s="165"/>
      <c r="H57" s="167"/>
    </row>
    <row r="58" spans="2:8">
      <c r="B58" s="76"/>
      <c r="C58" s="76"/>
      <c r="D58" s="76"/>
      <c r="E58" s="165"/>
      <c r="F58" s="166"/>
      <c r="G58" s="165"/>
      <c r="H58" s="167"/>
    </row>
    <row r="59" spans="2:8">
      <c r="B59" s="76"/>
      <c r="C59" s="76"/>
      <c r="D59" s="76"/>
      <c r="E59" s="165"/>
      <c r="F59" s="166"/>
      <c r="G59" s="165"/>
      <c r="H59" s="167"/>
    </row>
    <row r="60" spans="2:8">
      <c r="B60" s="76"/>
      <c r="C60" s="76"/>
      <c r="D60" s="76"/>
      <c r="E60" s="165"/>
      <c r="F60" s="166"/>
      <c r="G60" s="165"/>
      <c r="H60" s="167"/>
    </row>
    <row r="61" spans="2:8">
      <c r="B61" s="76"/>
      <c r="C61" s="76"/>
      <c r="D61" s="76"/>
      <c r="E61" s="165"/>
      <c r="F61" s="166"/>
      <c r="G61" s="165"/>
      <c r="H61" s="167"/>
    </row>
    <row r="62" spans="2:8">
      <c r="B62" s="76"/>
      <c r="C62" s="76"/>
      <c r="D62" s="76"/>
      <c r="E62" s="165"/>
      <c r="F62" s="166"/>
      <c r="G62" s="165"/>
      <c r="H62" s="167"/>
    </row>
    <row r="63" spans="2:8">
      <c r="B63" s="76"/>
      <c r="C63" s="76"/>
      <c r="D63" s="76"/>
      <c r="E63" s="165"/>
      <c r="F63" s="166"/>
      <c r="G63" s="165"/>
      <c r="H63" s="167"/>
    </row>
    <row r="64" spans="2:8">
      <c r="B64" s="76"/>
      <c r="C64" s="76"/>
      <c r="D64" s="76"/>
      <c r="E64" s="165"/>
      <c r="F64" s="166"/>
      <c r="G64" s="165"/>
      <c r="H64" s="167"/>
    </row>
    <row r="65" spans="2:8">
      <c r="B65" s="76"/>
      <c r="C65" s="76"/>
      <c r="D65" s="76"/>
      <c r="E65" s="165"/>
      <c r="F65" s="166"/>
      <c r="G65" s="165"/>
      <c r="H65" s="167"/>
    </row>
    <row r="66" spans="2:8">
      <c r="B66" s="76"/>
      <c r="C66" s="76"/>
      <c r="D66" s="76"/>
      <c r="E66" s="165"/>
      <c r="F66" s="166"/>
      <c r="G66" s="165"/>
      <c r="H66" s="167"/>
    </row>
    <row r="67" spans="2:8">
      <c r="B67" s="76"/>
      <c r="C67" s="76"/>
      <c r="D67" s="76"/>
      <c r="E67" s="165"/>
      <c r="F67" s="166"/>
      <c r="G67" s="165"/>
      <c r="H67" s="167"/>
    </row>
    <row r="68" spans="2:8">
      <c r="B68" s="76"/>
      <c r="C68" s="76"/>
      <c r="D68" s="76"/>
      <c r="E68" s="165"/>
      <c r="F68" s="166"/>
      <c r="G68" s="165"/>
      <c r="H68" s="167"/>
    </row>
    <row r="69" spans="2:8">
      <c r="B69" s="76"/>
      <c r="C69" s="76"/>
      <c r="D69" s="76"/>
      <c r="E69" s="165"/>
      <c r="F69" s="166"/>
      <c r="G69" s="165"/>
      <c r="H69" s="167"/>
    </row>
    <row r="70" spans="2:8">
      <c r="B70" s="76"/>
      <c r="C70" s="76"/>
      <c r="D70" s="76"/>
      <c r="E70" s="165"/>
      <c r="F70" s="166"/>
      <c r="G70" s="165"/>
      <c r="H70" s="167"/>
    </row>
    <row r="71" spans="2:8">
      <c r="B71" s="76"/>
      <c r="C71" s="76"/>
      <c r="D71" s="76"/>
      <c r="E71" s="165"/>
      <c r="F71" s="166"/>
      <c r="G71" s="165"/>
      <c r="H71" s="167"/>
    </row>
    <row r="72" spans="2:8">
      <c r="B72" s="76"/>
      <c r="C72" s="76"/>
      <c r="D72" s="76"/>
      <c r="E72" s="165"/>
      <c r="F72" s="166"/>
      <c r="G72" s="165"/>
      <c r="H72" s="167"/>
    </row>
    <row r="73" spans="2:8">
      <c r="B73" s="76"/>
      <c r="C73" s="76"/>
      <c r="D73" s="76"/>
      <c r="E73" s="165"/>
      <c r="F73" s="166"/>
      <c r="G73" s="165"/>
      <c r="H73" s="167"/>
    </row>
    <row r="74" spans="2:8">
      <c r="B74" s="76"/>
      <c r="C74" s="76"/>
      <c r="D74" s="76"/>
      <c r="E74" s="165"/>
      <c r="F74" s="166"/>
      <c r="G74" s="165"/>
      <c r="H74" s="167"/>
    </row>
    <row r="75" spans="2:8">
      <c r="B75" s="76"/>
      <c r="C75" s="76"/>
      <c r="D75" s="76"/>
      <c r="E75" s="165"/>
      <c r="F75" s="166"/>
      <c r="G75" s="165"/>
      <c r="H75" s="167"/>
    </row>
    <row r="76" spans="2:8">
      <c r="B76" s="76"/>
      <c r="C76" s="76"/>
      <c r="D76" s="76"/>
      <c r="E76" s="165"/>
      <c r="F76" s="166"/>
      <c r="G76" s="165"/>
      <c r="H76" s="167"/>
    </row>
    <row r="77" spans="2:8">
      <c r="B77" s="76"/>
      <c r="C77" s="76"/>
      <c r="D77" s="76"/>
      <c r="E77" s="165"/>
      <c r="F77" s="166"/>
      <c r="G77" s="165"/>
      <c r="H77" s="167"/>
    </row>
    <row r="78" spans="2:8">
      <c r="B78" s="76"/>
      <c r="C78" s="76"/>
      <c r="D78" s="76"/>
      <c r="E78" s="165"/>
      <c r="F78" s="166"/>
      <c r="G78" s="165"/>
      <c r="H78" s="167"/>
    </row>
    <row r="79" spans="2:8">
      <c r="B79" s="76"/>
      <c r="C79" s="76"/>
      <c r="D79" s="76"/>
      <c r="E79" s="165"/>
      <c r="F79" s="166"/>
      <c r="G79" s="165"/>
      <c r="H79" s="167"/>
    </row>
    <row r="80" spans="2:8">
      <c r="B80" s="76"/>
      <c r="C80" s="76"/>
      <c r="D80" s="76"/>
      <c r="E80" s="165"/>
      <c r="F80" s="166"/>
      <c r="G80" s="165"/>
      <c r="H80" s="167"/>
    </row>
    <row r="81" spans="2:8">
      <c r="B81" s="76"/>
      <c r="C81" s="76"/>
      <c r="D81" s="76"/>
      <c r="E81" s="165"/>
      <c r="F81" s="166"/>
      <c r="G81" s="165"/>
      <c r="H81" s="167"/>
    </row>
    <row r="82" spans="2:8">
      <c r="B82" s="76"/>
      <c r="C82" s="76"/>
      <c r="D82" s="76"/>
      <c r="E82" s="165"/>
      <c r="F82" s="166"/>
      <c r="G82" s="165"/>
      <c r="H82" s="167"/>
    </row>
    <row r="83" spans="2:8">
      <c r="B83" s="76"/>
      <c r="C83" s="76"/>
      <c r="D83" s="76"/>
      <c r="E83" s="165"/>
      <c r="F83" s="166"/>
      <c r="G83" s="165"/>
      <c r="H83" s="167"/>
    </row>
    <row r="84" spans="2:8">
      <c r="B84" s="76"/>
      <c r="C84" s="76"/>
      <c r="D84" s="76"/>
      <c r="E84" s="165"/>
      <c r="F84" s="166"/>
      <c r="G84" s="165"/>
      <c r="H84" s="167"/>
    </row>
    <row r="85" spans="2:8">
      <c r="B85" s="76"/>
      <c r="C85" s="76"/>
      <c r="D85" s="76"/>
      <c r="E85" s="165"/>
      <c r="F85" s="166"/>
      <c r="G85" s="165"/>
      <c r="H85" s="167"/>
    </row>
    <row r="86" spans="2:8">
      <c r="B86" s="76"/>
      <c r="C86" s="76"/>
      <c r="D86" s="76"/>
      <c r="E86" s="165"/>
      <c r="F86" s="166"/>
      <c r="G86" s="165"/>
      <c r="H86" s="167"/>
    </row>
    <row r="87" spans="2:8">
      <c r="B87" s="76"/>
      <c r="C87" s="76"/>
      <c r="D87" s="76"/>
      <c r="E87" s="165"/>
      <c r="F87" s="166"/>
      <c r="G87" s="165"/>
      <c r="H87" s="167"/>
    </row>
    <row r="88" spans="2:8">
      <c r="B88" s="76"/>
      <c r="C88" s="76"/>
      <c r="D88" s="76"/>
      <c r="E88" s="165"/>
      <c r="F88" s="166"/>
      <c r="G88" s="165"/>
      <c r="H88" s="167"/>
    </row>
    <row r="89" spans="2:8">
      <c r="B89" s="76"/>
      <c r="C89" s="76"/>
      <c r="D89" s="76"/>
      <c r="E89" s="165"/>
      <c r="F89" s="166"/>
      <c r="G89" s="165"/>
      <c r="H89" s="167"/>
    </row>
    <row r="90" spans="2:8">
      <c r="B90" s="76"/>
      <c r="C90" s="76"/>
      <c r="D90" s="76"/>
      <c r="E90" s="165"/>
      <c r="F90" s="166"/>
      <c r="G90" s="165"/>
      <c r="H90" s="167"/>
    </row>
    <row r="91" spans="2:8">
      <c r="B91" s="76"/>
      <c r="C91" s="76"/>
      <c r="D91" s="76"/>
      <c r="E91" s="165"/>
      <c r="F91" s="166"/>
      <c r="G91" s="165"/>
      <c r="H91" s="167"/>
    </row>
    <row r="92" spans="2:8">
      <c r="B92" s="76"/>
      <c r="C92" s="76"/>
      <c r="D92" s="76"/>
      <c r="E92" s="165"/>
      <c r="F92" s="166"/>
      <c r="G92" s="165"/>
      <c r="H92" s="167"/>
    </row>
    <row r="93" spans="2:8">
      <c r="B93" s="76"/>
      <c r="C93" s="76"/>
      <c r="D93" s="76"/>
      <c r="E93" s="165"/>
      <c r="F93" s="166"/>
      <c r="G93" s="165"/>
      <c r="H93" s="167"/>
    </row>
    <row r="94" spans="2:8">
      <c r="B94" s="76"/>
      <c r="C94" s="76"/>
      <c r="D94" s="76"/>
      <c r="E94" s="165"/>
      <c r="F94" s="166"/>
      <c r="G94" s="165"/>
      <c r="H94" s="167"/>
    </row>
    <row r="95" spans="2:8">
      <c r="B95" s="76"/>
      <c r="C95" s="76"/>
      <c r="D95" s="76"/>
      <c r="E95" s="165"/>
      <c r="F95" s="166"/>
      <c r="G95" s="165"/>
      <c r="H95" s="167"/>
    </row>
    <row r="96" spans="2:8">
      <c r="B96" s="76"/>
      <c r="C96" s="76"/>
      <c r="D96" s="76"/>
      <c r="E96" s="165"/>
      <c r="F96" s="166"/>
      <c r="G96" s="165"/>
      <c r="H96" s="167"/>
    </row>
    <row r="97" spans="2:8">
      <c r="B97" s="76"/>
      <c r="C97" s="76"/>
      <c r="D97" s="76"/>
      <c r="E97" s="165"/>
      <c r="F97" s="166"/>
      <c r="G97" s="165"/>
      <c r="H97" s="167"/>
    </row>
    <row r="98" spans="2:8">
      <c r="B98" s="76"/>
      <c r="C98" s="76"/>
      <c r="D98" s="76"/>
      <c r="E98" s="165"/>
      <c r="F98" s="166"/>
      <c r="G98" s="165"/>
      <c r="H98" s="167"/>
    </row>
    <row r="99" spans="2:8">
      <c r="B99" s="76"/>
      <c r="C99" s="76"/>
      <c r="D99" s="76"/>
      <c r="E99" s="165"/>
      <c r="F99" s="166"/>
      <c r="G99" s="165"/>
      <c r="H99" s="167"/>
    </row>
    <row r="100" spans="2:8">
      <c r="B100" s="76"/>
      <c r="C100" s="76"/>
      <c r="D100" s="76"/>
      <c r="E100" s="165"/>
      <c r="F100" s="166"/>
      <c r="G100" s="165"/>
      <c r="H100" s="167"/>
    </row>
    <row r="101" spans="2:8">
      <c r="B101" s="76"/>
      <c r="C101" s="76"/>
      <c r="D101" s="76"/>
      <c r="E101" s="165"/>
      <c r="F101" s="166"/>
      <c r="G101" s="165"/>
      <c r="H101" s="167"/>
    </row>
    <row r="102" spans="2:8">
      <c r="B102" s="76"/>
      <c r="C102" s="76"/>
      <c r="D102" s="76"/>
      <c r="E102" s="165"/>
      <c r="F102" s="166"/>
      <c r="G102" s="165"/>
      <c r="H102" s="167"/>
    </row>
    <row r="103" spans="2:8">
      <c r="B103" s="76"/>
      <c r="C103" s="76"/>
      <c r="D103" s="76"/>
      <c r="E103" s="165"/>
      <c r="F103" s="166"/>
      <c r="G103" s="165"/>
      <c r="H103" s="167"/>
    </row>
    <row r="104" spans="2:8">
      <c r="B104" s="76"/>
      <c r="C104" s="76"/>
      <c r="D104" s="76"/>
      <c r="E104" s="165"/>
      <c r="F104" s="166"/>
      <c r="G104" s="165"/>
      <c r="H104" s="167"/>
    </row>
    <row r="105" spans="2:8">
      <c r="B105" s="76"/>
      <c r="C105" s="76"/>
      <c r="D105" s="76"/>
      <c r="E105" s="165"/>
      <c r="F105" s="166"/>
      <c r="G105" s="165"/>
      <c r="H105" s="167"/>
    </row>
    <row r="106" spans="2:8">
      <c r="B106" s="76"/>
      <c r="C106" s="76"/>
      <c r="D106" s="76"/>
      <c r="E106" s="165"/>
      <c r="F106" s="166"/>
      <c r="G106" s="165"/>
      <c r="H106" s="167"/>
    </row>
    <row r="107" spans="2:8">
      <c r="B107" s="76"/>
      <c r="C107" s="76"/>
      <c r="D107" s="76"/>
      <c r="E107" s="165"/>
      <c r="F107" s="166"/>
      <c r="G107" s="165"/>
      <c r="H107" s="167"/>
    </row>
    <row r="108" spans="2:8">
      <c r="B108" s="76"/>
      <c r="C108" s="76"/>
      <c r="D108" s="76"/>
      <c r="E108" s="165"/>
      <c r="F108" s="166"/>
      <c r="G108" s="165"/>
      <c r="H108" s="167"/>
    </row>
    <row r="109" spans="2:8">
      <c r="B109" s="76"/>
      <c r="C109" s="76"/>
      <c r="D109" s="76"/>
      <c r="E109" s="165"/>
      <c r="F109" s="166"/>
      <c r="G109" s="165"/>
      <c r="H109" s="167"/>
    </row>
    <row r="110" spans="2:8">
      <c r="B110" s="76"/>
      <c r="C110" s="76"/>
      <c r="D110" s="76"/>
      <c r="E110" s="165"/>
      <c r="F110" s="166"/>
      <c r="G110" s="165"/>
      <c r="H110" s="167"/>
    </row>
    <row r="111" spans="2:8">
      <c r="B111" s="76"/>
      <c r="C111" s="76"/>
      <c r="D111" s="76"/>
      <c r="E111" s="165"/>
      <c r="F111" s="166"/>
      <c r="G111" s="165"/>
      <c r="H111" s="167"/>
    </row>
    <row r="112" spans="2:8">
      <c r="B112" s="76"/>
      <c r="C112" s="76"/>
      <c r="D112" s="76"/>
      <c r="E112" s="165"/>
      <c r="F112" s="166"/>
      <c r="G112" s="165"/>
      <c r="H112" s="167"/>
    </row>
    <row r="113" spans="2:8">
      <c r="B113" s="76"/>
      <c r="C113" s="76"/>
      <c r="D113" s="76"/>
      <c r="E113" s="165"/>
      <c r="F113" s="166"/>
      <c r="G113" s="165"/>
      <c r="H113" s="167"/>
    </row>
    <row r="114" spans="2:8">
      <c r="B114" s="76"/>
      <c r="C114" s="76"/>
      <c r="D114" s="76"/>
      <c r="E114" s="165"/>
      <c r="F114" s="166"/>
      <c r="G114" s="165"/>
      <c r="H114" s="167"/>
    </row>
    <row r="115" spans="2:8">
      <c r="B115" s="76"/>
      <c r="C115" s="76"/>
      <c r="D115" s="76"/>
      <c r="E115" s="165"/>
      <c r="F115" s="166"/>
      <c r="G115" s="165"/>
      <c r="H115" s="167"/>
    </row>
    <row r="116" spans="2:8">
      <c r="B116" s="76"/>
      <c r="C116" s="76"/>
      <c r="D116" s="76"/>
      <c r="E116" s="165"/>
      <c r="F116" s="166"/>
      <c r="G116" s="165"/>
      <c r="H116" s="167"/>
    </row>
    <row r="117" spans="2:8">
      <c r="B117" s="76"/>
      <c r="C117" s="76"/>
      <c r="D117" s="76"/>
      <c r="E117" s="165"/>
      <c r="F117" s="166"/>
      <c r="G117" s="165"/>
      <c r="H117" s="167"/>
    </row>
    <row r="118" spans="2:8">
      <c r="B118" s="76"/>
      <c r="C118" s="76"/>
      <c r="D118" s="76"/>
      <c r="E118" s="165"/>
      <c r="F118" s="166"/>
      <c r="G118" s="165"/>
      <c r="H118" s="167"/>
    </row>
    <row r="119" spans="2:8">
      <c r="B119" s="76"/>
      <c r="C119" s="76"/>
      <c r="D119" s="76"/>
      <c r="E119" s="165"/>
      <c r="F119" s="166"/>
      <c r="G119" s="165"/>
      <c r="H119" s="167"/>
    </row>
    <row r="120" spans="2:8">
      <c r="B120" s="76"/>
      <c r="C120" s="76"/>
      <c r="D120" s="76"/>
      <c r="E120" s="165"/>
      <c r="F120" s="166"/>
      <c r="G120" s="165"/>
      <c r="H120" s="167"/>
    </row>
    <row r="121" spans="2:8">
      <c r="B121" s="76"/>
      <c r="C121" s="76"/>
      <c r="D121" s="76"/>
      <c r="E121" s="165"/>
      <c r="F121" s="166"/>
      <c r="G121" s="165"/>
      <c r="H121" s="167"/>
    </row>
    <row r="122" spans="2:8">
      <c r="B122" s="76"/>
      <c r="C122" s="76"/>
      <c r="D122" s="76"/>
      <c r="E122" s="165"/>
      <c r="F122" s="166"/>
      <c r="G122" s="165"/>
      <c r="H122" s="167"/>
    </row>
    <row r="123" spans="2:8">
      <c r="B123" s="76"/>
      <c r="C123" s="76"/>
      <c r="D123" s="76"/>
      <c r="E123" s="165"/>
      <c r="F123" s="166"/>
      <c r="G123" s="165"/>
      <c r="H123" s="167"/>
    </row>
    <row r="124" spans="2:8">
      <c r="B124" s="76"/>
      <c r="C124" s="76"/>
      <c r="D124" s="76"/>
      <c r="E124" s="165"/>
      <c r="F124" s="166"/>
      <c r="G124" s="165"/>
      <c r="H124" s="167"/>
    </row>
    <row r="125" spans="2:8">
      <c r="B125" s="76"/>
      <c r="C125" s="76"/>
      <c r="D125" s="76"/>
      <c r="E125" s="165"/>
      <c r="F125" s="166"/>
      <c r="G125" s="165"/>
      <c r="H125" s="167"/>
    </row>
    <row r="126" spans="2:8">
      <c r="B126" s="76"/>
      <c r="C126" s="76"/>
      <c r="D126" s="76"/>
      <c r="E126" s="165"/>
      <c r="F126" s="166"/>
      <c r="G126" s="165"/>
      <c r="H126" s="167"/>
    </row>
    <row r="127" spans="2:8">
      <c r="B127" s="76"/>
      <c r="C127" s="76"/>
      <c r="D127" s="76"/>
      <c r="E127" s="165"/>
      <c r="F127" s="166"/>
      <c r="G127" s="165"/>
      <c r="H127" s="167"/>
    </row>
    <row r="128" spans="2:8">
      <c r="B128" s="76"/>
      <c r="C128" s="76"/>
      <c r="D128" s="76"/>
      <c r="E128" s="165"/>
      <c r="F128" s="166"/>
      <c r="G128" s="165"/>
      <c r="H128" s="167"/>
    </row>
    <row r="129" spans="2:8">
      <c r="B129" s="76"/>
      <c r="C129" s="76"/>
      <c r="D129" s="76"/>
      <c r="E129" s="165"/>
      <c r="F129" s="166"/>
      <c r="G129" s="165"/>
      <c r="H129" s="167"/>
    </row>
    <row r="130" spans="2:8">
      <c r="B130" s="76"/>
      <c r="C130" s="76"/>
      <c r="D130" s="76"/>
      <c r="E130" s="165"/>
      <c r="F130" s="166"/>
      <c r="G130" s="165"/>
      <c r="H130" s="167"/>
    </row>
    <row r="131" spans="2:8">
      <c r="B131" s="76"/>
      <c r="C131" s="76"/>
      <c r="D131" s="76"/>
      <c r="E131" s="165"/>
      <c r="F131" s="166"/>
      <c r="G131" s="165"/>
      <c r="H131" s="167"/>
    </row>
    <row r="132" spans="2:8">
      <c r="B132" s="76"/>
      <c r="C132" s="76"/>
      <c r="D132" s="76"/>
      <c r="E132" s="165"/>
      <c r="F132" s="166"/>
      <c r="G132" s="165"/>
      <c r="H132" s="167"/>
    </row>
    <row r="133" spans="2:8">
      <c r="B133" s="76"/>
      <c r="C133" s="76"/>
      <c r="D133" s="76"/>
      <c r="E133" s="165"/>
      <c r="F133" s="166"/>
      <c r="G133" s="165"/>
      <c r="H133" s="167"/>
    </row>
    <row r="134" spans="2:8">
      <c r="B134" s="76"/>
      <c r="C134" s="76"/>
      <c r="D134" s="76"/>
      <c r="E134" s="165"/>
      <c r="F134" s="166"/>
      <c r="G134" s="165"/>
      <c r="H134" s="167"/>
    </row>
    <row r="135" spans="2:8">
      <c r="B135" s="76"/>
      <c r="C135" s="76"/>
      <c r="D135" s="76"/>
      <c r="E135" s="165"/>
      <c r="F135" s="166"/>
      <c r="G135" s="165"/>
      <c r="H135" s="167"/>
    </row>
    <row r="136" spans="2:8">
      <c r="B136" s="76"/>
      <c r="C136" s="76"/>
      <c r="D136" s="76"/>
      <c r="E136" s="165"/>
      <c r="F136" s="166"/>
      <c r="G136" s="165"/>
      <c r="H136" s="167"/>
    </row>
    <row r="137" spans="2:8">
      <c r="B137" s="76"/>
      <c r="C137" s="76"/>
      <c r="D137" s="76"/>
      <c r="E137" s="165"/>
      <c r="F137" s="166"/>
      <c r="G137" s="165"/>
      <c r="H137" s="167"/>
    </row>
    <row r="138" spans="2:8">
      <c r="B138" s="76"/>
      <c r="C138" s="76"/>
      <c r="D138" s="76"/>
      <c r="E138" s="165"/>
      <c r="F138" s="166"/>
      <c r="G138" s="165"/>
      <c r="H138" s="167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G30:H49">
    <sortCondition ref="G30:G49"/>
  </sortState>
  <phoneticPr fontId="49" type="noConversion"/>
  <pageMargins left="0.7" right="0.7" top="0.75" bottom="0.75" header="0.3" footer="0.3"/>
  <pageSetup orientation="portrait" horizontalDpi="4294967293" verticalDpi="4294967293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8E9C9-CC6D-4BC3-A38F-3CFC1FF318C7}">
  <sheetPr codeName="Sheet11"/>
  <dimension ref="A1:AH417"/>
  <sheetViews>
    <sheetView showGridLines="0" showRowColHeaders="0" zoomScaleNormal="100" workbookViewId="0">
      <pane ySplit="1" topLeftCell="A2" activePane="bottomLeft" state="frozen"/>
      <selection pane="bottomLeft" activeCell="H5" sqref="H5"/>
    </sheetView>
  </sheetViews>
  <sheetFormatPr defaultColWidth="0" defaultRowHeight="14.25"/>
  <cols>
    <col min="1" max="1" width="1.7109375" style="39" customWidth="1"/>
    <col min="2" max="2" width="10.28515625" style="39" bestFit="1" customWidth="1"/>
    <col min="3" max="4" width="7.28515625" style="39" customWidth="1"/>
    <col min="5" max="5" width="7" style="39" bestFit="1" customWidth="1"/>
    <col min="6" max="6" width="1.7109375" style="39" customWidth="1"/>
    <col min="7" max="34" width="9.140625" style="39" customWidth="1"/>
    <col min="35" max="16384" width="9.140625" style="39" hidden="1"/>
  </cols>
  <sheetData>
    <row r="1" spans="1:34" ht="20.25">
      <c r="A1" s="169"/>
      <c r="B1" s="170" t="s">
        <v>554</v>
      </c>
      <c r="C1" s="170"/>
      <c r="D1" s="170"/>
      <c r="E1" s="170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</row>
    <row r="2" spans="1:34" ht="5.0999999999999996" customHeight="1"/>
    <row r="3" spans="1:34" ht="15.75">
      <c r="B3" s="171" t="s">
        <v>17</v>
      </c>
      <c r="C3" s="105"/>
      <c r="D3" s="105"/>
      <c r="E3" s="105"/>
    </row>
    <row r="4" spans="1:34" ht="5.0999999999999996" customHeight="1" thickBot="1">
      <c r="B4" s="105"/>
      <c r="C4" s="105"/>
      <c r="D4" s="105"/>
      <c r="E4" s="105"/>
    </row>
    <row r="5" spans="1:34" ht="16.5" thickBot="1">
      <c r="B5" s="271">
        <v>189</v>
      </c>
      <c r="C5" s="92" t="s">
        <v>63</v>
      </c>
      <c r="D5" s="41"/>
      <c r="E5" s="41"/>
    </row>
    <row r="6" spans="1:34" ht="5.0999999999999996" customHeight="1">
      <c r="A6" s="91"/>
      <c r="B6" s="91"/>
      <c r="C6" s="91"/>
      <c r="D6" s="91"/>
      <c r="E6" s="91"/>
    </row>
    <row r="7" spans="1:34" ht="15.75">
      <c r="A7" s="91"/>
      <c r="B7" s="171" t="s">
        <v>18</v>
      </c>
      <c r="C7" s="91"/>
      <c r="D7" s="91"/>
      <c r="E7" s="91"/>
    </row>
    <row r="8" spans="1:34" ht="5.0999999999999996" customHeight="1" thickBot="1">
      <c r="A8" s="91"/>
      <c r="B8" s="171"/>
      <c r="C8" s="91"/>
      <c r="D8" s="91"/>
      <c r="E8" s="91"/>
    </row>
    <row r="9" spans="1:34" ht="16.5" thickBot="1">
      <c r="A9" s="91"/>
      <c r="B9" s="267">
        <v>44641</v>
      </c>
      <c r="C9" s="91"/>
      <c r="D9" s="91"/>
      <c r="E9" s="91"/>
    </row>
    <row r="10" spans="1:34" ht="5.0999999999999996" customHeight="1">
      <c r="A10" s="91"/>
      <c r="C10" s="91"/>
      <c r="D10" s="91"/>
      <c r="E10" s="91"/>
    </row>
    <row r="11" spans="1:34" ht="15.75">
      <c r="B11" s="105" t="s">
        <v>18</v>
      </c>
      <c r="C11" s="105" t="s">
        <v>63</v>
      </c>
      <c r="D11" s="105" t="s">
        <v>420</v>
      </c>
      <c r="E11" s="105" t="s">
        <v>27</v>
      </c>
    </row>
    <row r="12" spans="1:34" ht="15.75">
      <c r="B12" s="172"/>
      <c r="C12" s="173"/>
      <c r="D12" s="173"/>
      <c r="E12" s="86"/>
      <c r="F12" s="174"/>
    </row>
    <row r="13" spans="1:34" ht="15.75">
      <c r="F13" s="174"/>
    </row>
    <row r="14" spans="1:34" ht="15.75">
      <c r="F14" s="174"/>
    </row>
    <row r="15" spans="1:34" ht="15.75">
      <c r="F15" s="174"/>
    </row>
    <row r="16" spans="1:34" ht="15.75">
      <c r="F16" s="174"/>
    </row>
    <row r="17" spans="6:6" ht="15.75">
      <c r="F17" s="174"/>
    </row>
    <row r="18" spans="6:6" ht="15.75">
      <c r="F18" s="174"/>
    </row>
    <row r="19" spans="6:6" ht="15.75">
      <c r="F19" s="174"/>
    </row>
    <row r="20" spans="6:6" ht="15.75">
      <c r="F20" s="174"/>
    </row>
    <row r="21" spans="6:6" ht="15.75">
      <c r="F21" s="174"/>
    </row>
    <row r="22" spans="6:6" ht="15.75">
      <c r="F22" s="174"/>
    </row>
    <row r="23" spans="6:6" ht="15.75">
      <c r="F23" s="174"/>
    </row>
    <row r="24" spans="6:6" ht="15.75">
      <c r="F24" s="174"/>
    </row>
    <row r="25" spans="6:6" ht="15.75">
      <c r="F25" s="174"/>
    </row>
    <row r="26" spans="6:6" ht="15.75">
      <c r="F26" s="174"/>
    </row>
    <row r="27" spans="6:6" ht="15.75">
      <c r="F27" s="174"/>
    </row>
    <row r="28" spans="6:6" ht="15.75">
      <c r="F28" s="174"/>
    </row>
    <row r="29" spans="6:6" ht="15.75">
      <c r="F29" s="174"/>
    </row>
    <row r="30" spans="6:6" ht="15.75">
      <c r="F30" s="174"/>
    </row>
    <row r="31" spans="6:6" ht="15.75">
      <c r="F31" s="174"/>
    </row>
    <row r="32" spans="6:6" ht="15.75">
      <c r="F32" s="174"/>
    </row>
    <row r="33" spans="6:6" ht="15.75">
      <c r="F33" s="174"/>
    </row>
    <row r="34" spans="6:6" ht="15.75">
      <c r="F34" s="174"/>
    </row>
    <row r="35" spans="6:6" ht="15.75">
      <c r="F35" s="174"/>
    </row>
    <row r="36" spans="6:6" ht="15.75">
      <c r="F36" s="174"/>
    </row>
    <row r="37" spans="6:6" ht="15.75">
      <c r="F37" s="174"/>
    </row>
    <row r="38" spans="6:6" ht="15.75">
      <c r="F38" s="174"/>
    </row>
    <row r="39" spans="6:6" ht="15.75">
      <c r="F39" s="174"/>
    </row>
    <row r="40" spans="6:6" ht="15.75">
      <c r="F40" s="174"/>
    </row>
    <row r="41" spans="6:6" ht="15.75">
      <c r="F41" s="174"/>
    </row>
    <row r="42" spans="6:6" ht="15.75">
      <c r="F42" s="174"/>
    </row>
    <row r="43" spans="6:6" ht="15.75">
      <c r="F43" s="174"/>
    </row>
    <row r="44" spans="6:6" ht="15.75">
      <c r="F44" s="174"/>
    </row>
    <row r="45" spans="6:6" ht="15.75">
      <c r="F45" s="174"/>
    </row>
    <row r="46" spans="6:6" ht="15.75">
      <c r="F46" s="174"/>
    </row>
    <row r="47" spans="6:6" ht="15.75">
      <c r="F47" s="174"/>
    </row>
    <row r="48" spans="6:6" ht="15.75">
      <c r="F48" s="174"/>
    </row>
    <row r="49" spans="6:6" ht="15.75">
      <c r="F49" s="174"/>
    </row>
    <row r="50" spans="6:6" ht="15.75">
      <c r="F50" s="174"/>
    </row>
    <row r="51" spans="6:6" ht="15.75">
      <c r="F51" s="174"/>
    </row>
    <row r="52" spans="6:6" ht="15.75">
      <c r="F52" s="174"/>
    </row>
    <row r="53" spans="6:6" ht="15.75">
      <c r="F53" s="174"/>
    </row>
    <row r="54" spans="6:6" ht="15.75">
      <c r="F54" s="174"/>
    </row>
    <row r="55" spans="6:6" ht="15.75">
      <c r="F55" s="174"/>
    </row>
    <row r="56" spans="6:6" ht="15.75">
      <c r="F56" s="174"/>
    </row>
    <row r="57" spans="6:6" ht="15.75">
      <c r="F57" s="174"/>
    </row>
    <row r="58" spans="6:6" ht="15.75">
      <c r="F58" s="174"/>
    </row>
    <row r="59" spans="6:6" ht="15.75">
      <c r="F59" s="174"/>
    </row>
    <row r="60" spans="6:6" ht="15.75">
      <c r="F60" s="174"/>
    </row>
    <row r="61" spans="6:6" ht="15.75">
      <c r="F61" s="174"/>
    </row>
    <row r="62" spans="6:6" ht="15.75">
      <c r="F62" s="174"/>
    </row>
    <row r="63" spans="6:6" ht="15.75">
      <c r="F63" s="174"/>
    </row>
    <row r="64" spans="6:6" ht="15.75">
      <c r="F64" s="174"/>
    </row>
    <row r="65" spans="6:6" ht="15.75">
      <c r="F65" s="174"/>
    </row>
    <row r="66" spans="6:6" ht="15.75">
      <c r="F66" s="174"/>
    </row>
    <row r="67" spans="6:6" ht="15.75">
      <c r="F67" s="174"/>
    </row>
    <row r="68" spans="6:6" ht="15.75">
      <c r="F68" s="174"/>
    </row>
    <row r="69" spans="6:6" ht="15.75">
      <c r="F69" s="174"/>
    </row>
    <row r="70" spans="6:6" ht="15.75">
      <c r="F70" s="174"/>
    </row>
    <row r="71" spans="6:6" ht="15.75">
      <c r="F71" s="174"/>
    </row>
    <row r="72" spans="6:6" ht="15.75">
      <c r="F72" s="174"/>
    </row>
    <row r="73" spans="6:6" ht="15.75">
      <c r="F73" s="174"/>
    </row>
    <row r="74" spans="6:6" ht="15.75">
      <c r="F74" s="174"/>
    </row>
    <row r="75" spans="6:6" ht="15.75">
      <c r="F75" s="174"/>
    </row>
    <row r="76" spans="6:6" ht="15.75">
      <c r="F76" s="174"/>
    </row>
    <row r="77" spans="6:6" ht="15.75">
      <c r="F77" s="174"/>
    </row>
    <row r="78" spans="6:6" ht="15.75">
      <c r="F78" s="174"/>
    </row>
    <row r="79" spans="6:6" ht="15.75">
      <c r="F79" s="174"/>
    </row>
    <row r="80" spans="6:6" ht="15.75">
      <c r="F80" s="174"/>
    </row>
    <row r="81" spans="6:6" ht="15.75">
      <c r="F81" s="174"/>
    </row>
    <row r="82" spans="6:6" ht="15.75">
      <c r="F82" s="174"/>
    </row>
    <row r="83" spans="6:6" ht="15.75">
      <c r="F83" s="174"/>
    </row>
    <row r="84" spans="6:6" ht="15.75">
      <c r="F84" s="174"/>
    </row>
    <row r="85" spans="6:6" ht="15.75">
      <c r="F85" s="174"/>
    </row>
    <row r="86" spans="6:6" ht="15.75">
      <c r="F86" s="174"/>
    </row>
    <row r="87" spans="6:6" ht="15.75">
      <c r="F87" s="174"/>
    </row>
    <row r="88" spans="6:6" ht="15.75">
      <c r="F88" s="174"/>
    </row>
    <row r="89" spans="6:6" ht="15.75">
      <c r="F89" s="174"/>
    </row>
    <row r="90" spans="6:6" ht="15.75">
      <c r="F90" s="174"/>
    </row>
    <row r="91" spans="6:6" ht="15.75">
      <c r="F91" s="174"/>
    </row>
    <row r="92" spans="6:6" ht="15.75">
      <c r="F92" s="174"/>
    </row>
    <row r="93" spans="6:6" ht="15.75">
      <c r="F93" s="174"/>
    </row>
    <row r="94" spans="6:6" ht="15.75">
      <c r="F94" s="174"/>
    </row>
    <row r="95" spans="6:6" ht="15.75">
      <c r="F95" s="174"/>
    </row>
    <row r="96" spans="6:6" ht="15.75">
      <c r="F96" s="174"/>
    </row>
    <row r="97" spans="6:6" ht="15.75">
      <c r="F97" s="174"/>
    </row>
    <row r="98" spans="6:6" ht="15.75">
      <c r="F98" s="174"/>
    </row>
    <row r="99" spans="6:6" ht="15.75">
      <c r="F99" s="174"/>
    </row>
    <row r="100" spans="6:6" ht="15.75">
      <c r="F100" s="174"/>
    </row>
    <row r="101" spans="6:6" ht="15.75">
      <c r="F101" s="174"/>
    </row>
    <row r="102" spans="6:6" ht="15.75">
      <c r="F102" s="174"/>
    </row>
    <row r="103" spans="6:6" ht="15.75">
      <c r="F103" s="174"/>
    </row>
    <row r="104" spans="6:6" ht="15.75">
      <c r="F104" s="174"/>
    </row>
    <row r="105" spans="6:6" ht="15.75">
      <c r="F105" s="174"/>
    </row>
    <row r="106" spans="6:6" ht="15.75">
      <c r="F106" s="174"/>
    </row>
    <row r="107" spans="6:6" ht="15.75">
      <c r="F107" s="174"/>
    </row>
    <row r="108" spans="6:6" ht="15.75">
      <c r="F108" s="174"/>
    </row>
    <row r="109" spans="6:6" ht="15.75">
      <c r="F109" s="174"/>
    </row>
    <row r="110" spans="6:6" ht="15.75">
      <c r="F110" s="174"/>
    </row>
    <row r="111" spans="6:6" ht="15.75">
      <c r="F111" s="174"/>
    </row>
    <row r="112" spans="6:6" ht="15.75">
      <c r="F112" s="174"/>
    </row>
    <row r="113" spans="6:6" ht="15.75">
      <c r="F113" s="174"/>
    </row>
    <row r="114" spans="6:6" ht="15.75">
      <c r="F114" s="174"/>
    </row>
    <row r="115" spans="6:6" ht="15.75">
      <c r="F115" s="174"/>
    </row>
    <row r="116" spans="6:6" ht="15.75">
      <c r="F116" s="174"/>
    </row>
    <row r="117" spans="6:6" ht="15.75">
      <c r="F117" s="174"/>
    </row>
    <row r="118" spans="6:6" ht="15.75">
      <c r="F118" s="174"/>
    </row>
    <row r="119" spans="6:6" ht="15.75">
      <c r="F119" s="174"/>
    </row>
    <row r="120" spans="6:6" ht="15.75">
      <c r="F120" s="174"/>
    </row>
    <row r="121" spans="6:6" ht="15.75">
      <c r="F121" s="174"/>
    </row>
    <row r="122" spans="6:6" ht="15.75">
      <c r="F122" s="174"/>
    </row>
    <row r="123" spans="6:6" ht="15.75">
      <c r="F123" s="174"/>
    </row>
    <row r="124" spans="6:6" ht="15.75">
      <c r="F124" s="174"/>
    </row>
    <row r="125" spans="6:6" ht="15.75">
      <c r="F125" s="174"/>
    </row>
    <row r="126" spans="6:6" ht="15.75">
      <c r="F126" s="174"/>
    </row>
    <row r="127" spans="6:6" ht="15.75">
      <c r="F127" s="174"/>
    </row>
    <row r="128" spans="6:6" ht="15.75">
      <c r="F128" s="174"/>
    </row>
    <row r="129" spans="6:6" ht="15.75">
      <c r="F129" s="174"/>
    </row>
    <row r="130" spans="6:6" ht="15.75">
      <c r="F130" s="174"/>
    </row>
    <row r="131" spans="6:6" ht="15.75">
      <c r="F131" s="174"/>
    </row>
    <row r="132" spans="6:6" ht="15.75">
      <c r="F132" s="174"/>
    </row>
    <row r="133" spans="6:6" ht="15.75">
      <c r="F133" s="174"/>
    </row>
    <row r="134" spans="6:6" ht="15.75">
      <c r="F134" s="174"/>
    </row>
    <row r="135" spans="6:6" ht="15.75">
      <c r="F135" s="174"/>
    </row>
    <row r="136" spans="6:6" ht="15.75">
      <c r="F136" s="174"/>
    </row>
    <row r="137" spans="6:6" ht="15.75">
      <c r="F137" s="174"/>
    </row>
    <row r="138" spans="6:6" ht="15.75">
      <c r="F138" s="174"/>
    </row>
    <row r="139" spans="6:6" ht="15.75">
      <c r="F139" s="174"/>
    </row>
    <row r="140" spans="6:6" ht="15.75">
      <c r="F140" s="174"/>
    </row>
    <row r="141" spans="6:6" ht="15.75">
      <c r="F141" s="174"/>
    </row>
    <row r="142" spans="6:6" ht="15.75">
      <c r="F142" s="174"/>
    </row>
    <row r="143" spans="6:6" ht="15.75">
      <c r="F143" s="174"/>
    </row>
    <row r="144" spans="6:6" ht="15.75">
      <c r="F144" s="174"/>
    </row>
    <row r="145" spans="6:6" ht="15.75">
      <c r="F145" s="174"/>
    </row>
    <row r="146" spans="6:6" ht="15.75">
      <c r="F146" s="174"/>
    </row>
    <row r="147" spans="6:6" ht="15.75">
      <c r="F147" s="174"/>
    </row>
    <row r="148" spans="6:6" ht="15.75">
      <c r="F148" s="174"/>
    </row>
    <row r="149" spans="6:6" ht="15.75">
      <c r="F149" s="174"/>
    </row>
    <row r="150" spans="6:6" ht="15.75">
      <c r="F150" s="174"/>
    </row>
    <row r="151" spans="6:6" ht="15.75">
      <c r="F151" s="174"/>
    </row>
    <row r="152" spans="6:6" ht="15.75">
      <c r="F152" s="174"/>
    </row>
    <row r="153" spans="6:6" ht="15.75">
      <c r="F153" s="174"/>
    </row>
    <row r="154" spans="6:6" ht="15.75">
      <c r="F154" s="174"/>
    </row>
    <row r="155" spans="6:6" ht="15.75">
      <c r="F155" s="174"/>
    </row>
    <row r="156" spans="6:6" ht="15.75">
      <c r="F156" s="174"/>
    </row>
    <row r="157" spans="6:6" ht="15.75">
      <c r="F157" s="174"/>
    </row>
    <row r="158" spans="6:6" ht="15.75">
      <c r="F158" s="174"/>
    </row>
    <row r="159" spans="6:6" ht="15.75">
      <c r="F159" s="174"/>
    </row>
    <row r="160" spans="6:6" ht="15.75">
      <c r="F160" s="174"/>
    </row>
    <row r="161" spans="6:6" ht="15.75">
      <c r="F161" s="174"/>
    </row>
    <row r="162" spans="6:6" ht="15.75">
      <c r="F162" s="174"/>
    </row>
    <row r="163" spans="6:6" ht="15.75">
      <c r="F163" s="174"/>
    </row>
    <row r="164" spans="6:6" ht="15.75">
      <c r="F164" s="174"/>
    </row>
    <row r="165" spans="6:6" ht="15.75">
      <c r="F165" s="174"/>
    </row>
    <row r="166" spans="6:6" ht="15.75">
      <c r="F166" s="174"/>
    </row>
    <row r="167" spans="6:6" ht="15.75">
      <c r="F167" s="174"/>
    </row>
    <row r="168" spans="6:6" ht="15.75">
      <c r="F168" s="174"/>
    </row>
    <row r="169" spans="6:6" ht="15.75">
      <c r="F169" s="174"/>
    </row>
    <row r="170" spans="6:6" ht="15.75">
      <c r="F170" s="174"/>
    </row>
    <row r="171" spans="6:6" ht="15.75">
      <c r="F171" s="174"/>
    </row>
    <row r="172" spans="6:6" ht="15.75">
      <c r="F172" s="174"/>
    </row>
    <row r="173" spans="6:6" ht="15.75">
      <c r="F173" s="174"/>
    </row>
    <row r="174" spans="6:6" ht="15.75">
      <c r="F174" s="174"/>
    </row>
    <row r="175" spans="6:6" ht="15.75">
      <c r="F175" s="174"/>
    </row>
    <row r="176" spans="6:6" ht="15.75">
      <c r="F176" s="174"/>
    </row>
    <row r="177" spans="6:6" ht="15.75">
      <c r="F177" s="174"/>
    </row>
    <row r="178" spans="6:6" ht="15.75">
      <c r="F178" s="174"/>
    </row>
    <row r="179" spans="6:6" ht="15.75">
      <c r="F179" s="174"/>
    </row>
    <row r="180" spans="6:6" ht="15.75">
      <c r="F180" s="174"/>
    </row>
    <row r="181" spans="6:6" ht="15.75">
      <c r="F181" s="174"/>
    </row>
    <row r="182" spans="6:6" ht="15.75">
      <c r="F182" s="174"/>
    </row>
    <row r="183" spans="6:6" ht="15.75">
      <c r="F183" s="174"/>
    </row>
    <row r="184" spans="6:6" ht="15.75">
      <c r="F184" s="174"/>
    </row>
    <row r="185" spans="6:6" ht="15.75">
      <c r="F185" s="174"/>
    </row>
    <row r="186" spans="6:6" ht="15.75">
      <c r="F186" s="174"/>
    </row>
    <row r="187" spans="6:6" ht="15.75">
      <c r="F187" s="174"/>
    </row>
    <row r="188" spans="6:6" ht="15.75">
      <c r="F188" s="174"/>
    </row>
    <row r="189" spans="6:6" ht="15.75">
      <c r="F189" s="174"/>
    </row>
    <row r="190" spans="6:6" ht="15.75">
      <c r="F190" s="174"/>
    </row>
    <row r="191" spans="6:6" ht="15.75">
      <c r="F191" s="174"/>
    </row>
    <row r="192" spans="6:6" ht="15.75">
      <c r="F192" s="174"/>
    </row>
    <row r="193" spans="6:6" ht="15.75">
      <c r="F193" s="174"/>
    </row>
    <row r="194" spans="6:6" ht="15.75">
      <c r="F194" s="174"/>
    </row>
    <row r="195" spans="6:6" ht="15.75">
      <c r="F195" s="174"/>
    </row>
    <row r="196" spans="6:6" ht="15.75">
      <c r="F196" s="174"/>
    </row>
    <row r="197" spans="6:6" ht="15.75">
      <c r="F197" s="174"/>
    </row>
    <row r="198" spans="6:6" ht="15.75">
      <c r="F198" s="174"/>
    </row>
    <row r="199" spans="6:6" ht="15.75">
      <c r="F199" s="174"/>
    </row>
    <row r="200" spans="6:6" ht="15.75">
      <c r="F200" s="174"/>
    </row>
    <row r="201" spans="6:6" ht="15.75">
      <c r="F201" s="174"/>
    </row>
    <row r="202" spans="6:6" ht="15.75">
      <c r="F202" s="174"/>
    </row>
    <row r="203" spans="6:6" ht="15.75">
      <c r="F203" s="174"/>
    </row>
    <row r="204" spans="6:6" ht="15.75">
      <c r="F204" s="174"/>
    </row>
    <row r="205" spans="6:6" ht="15.75">
      <c r="F205" s="174"/>
    </row>
    <row r="206" spans="6:6" ht="15.75">
      <c r="F206" s="174"/>
    </row>
    <row r="207" spans="6:6" ht="15.75">
      <c r="F207" s="174"/>
    </row>
    <row r="208" spans="6:6" ht="15.75">
      <c r="F208" s="174"/>
    </row>
    <row r="209" spans="6:6" ht="15.75">
      <c r="F209" s="174"/>
    </row>
    <row r="210" spans="6:6" ht="15.75">
      <c r="F210" s="174"/>
    </row>
    <row r="211" spans="6:6" ht="15.75">
      <c r="F211" s="174"/>
    </row>
    <row r="212" spans="6:6" ht="15.75">
      <c r="F212" s="174"/>
    </row>
    <row r="213" spans="6:6" ht="15.75">
      <c r="F213" s="174"/>
    </row>
    <row r="214" spans="6:6" ht="15.75">
      <c r="F214" s="174"/>
    </row>
    <row r="215" spans="6:6" ht="15.75">
      <c r="F215" s="174"/>
    </row>
    <row r="216" spans="6:6" ht="15.75">
      <c r="F216" s="174"/>
    </row>
    <row r="217" spans="6:6" ht="15.75">
      <c r="F217" s="174"/>
    </row>
    <row r="218" spans="6:6" ht="15.75">
      <c r="F218" s="174"/>
    </row>
    <row r="219" spans="6:6" ht="15.75">
      <c r="F219" s="174"/>
    </row>
    <row r="220" spans="6:6" ht="15.75">
      <c r="F220" s="174"/>
    </row>
    <row r="221" spans="6:6" ht="15.75">
      <c r="F221" s="174"/>
    </row>
    <row r="222" spans="6:6" ht="15.75">
      <c r="F222" s="174"/>
    </row>
    <row r="223" spans="6:6" ht="15.75">
      <c r="F223" s="174"/>
    </row>
    <row r="224" spans="6:6" ht="15.75">
      <c r="F224" s="174"/>
    </row>
    <row r="225" spans="6:6" ht="15.75">
      <c r="F225" s="174"/>
    </row>
    <row r="226" spans="6:6" ht="15.75">
      <c r="F226" s="174"/>
    </row>
    <row r="227" spans="6:6" ht="15.75">
      <c r="F227" s="174"/>
    </row>
    <row r="228" spans="6:6" ht="15.75">
      <c r="F228" s="174"/>
    </row>
    <row r="229" spans="6:6" ht="15.75">
      <c r="F229" s="174"/>
    </row>
    <row r="230" spans="6:6" ht="15.75">
      <c r="F230" s="174"/>
    </row>
    <row r="231" spans="6:6" ht="15.75">
      <c r="F231" s="174"/>
    </row>
    <row r="232" spans="6:6" ht="15.75">
      <c r="F232" s="174"/>
    </row>
    <row r="233" spans="6:6" ht="15.75">
      <c r="F233" s="174"/>
    </row>
    <row r="234" spans="6:6" ht="15.75">
      <c r="F234" s="174"/>
    </row>
    <row r="235" spans="6:6" ht="15.75">
      <c r="F235" s="174"/>
    </row>
    <row r="236" spans="6:6" ht="15.75">
      <c r="F236" s="174"/>
    </row>
    <row r="237" spans="6:6" ht="15.75">
      <c r="F237" s="174"/>
    </row>
    <row r="238" spans="6:6" ht="15.75">
      <c r="F238" s="174"/>
    </row>
    <row r="239" spans="6:6" ht="15.75">
      <c r="F239" s="174"/>
    </row>
    <row r="240" spans="6:6" ht="15.75">
      <c r="F240" s="174"/>
    </row>
    <row r="241" spans="6:6" ht="15.75">
      <c r="F241" s="174"/>
    </row>
    <row r="242" spans="6:6" ht="15.75">
      <c r="F242" s="174"/>
    </row>
    <row r="243" spans="6:6" ht="15.75">
      <c r="F243" s="174"/>
    </row>
    <row r="244" spans="6:6" ht="15.75">
      <c r="F244" s="174"/>
    </row>
    <row r="245" spans="6:6" ht="15.75">
      <c r="F245" s="174"/>
    </row>
    <row r="246" spans="6:6" ht="15.75">
      <c r="F246" s="174"/>
    </row>
    <row r="247" spans="6:6" ht="15.75">
      <c r="F247" s="174"/>
    </row>
    <row r="248" spans="6:6" ht="15.75">
      <c r="F248" s="174"/>
    </row>
    <row r="249" spans="6:6" ht="15.75">
      <c r="F249" s="174"/>
    </row>
    <row r="250" spans="6:6" ht="15.75">
      <c r="F250" s="174"/>
    </row>
    <row r="251" spans="6:6" ht="15.75">
      <c r="F251" s="174"/>
    </row>
    <row r="252" spans="6:6" ht="15.75">
      <c r="F252" s="174"/>
    </row>
    <row r="253" spans="6:6" ht="15.75">
      <c r="F253" s="174"/>
    </row>
    <row r="254" spans="6:6" ht="15.75">
      <c r="F254" s="174"/>
    </row>
    <row r="255" spans="6:6" ht="15.75">
      <c r="F255" s="174"/>
    </row>
    <row r="256" spans="6:6" ht="15.75">
      <c r="F256" s="174"/>
    </row>
    <row r="257" spans="6:6" ht="15.75">
      <c r="F257" s="174"/>
    </row>
    <row r="258" spans="6:6" ht="15.75">
      <c r="F258" s="174"/>
    </row>
    <row r="259" spans="6:6" ht="15.75">
      <c r="F259" s="174"/>
    </row>
    <row r="260" spans="6:6" ht="15.75">
      <c r="F260" s="174"/>
    </row>
    <row r="261" spans="6:6" ht="15.75">
      <c r="F261" s="174"/>
    </row>
    <row r="262" spans="6:6" ht="15.75">
      <c r="F262" s="174"/>
    </row>
    <row r="263" spans="6:6" ht="15.75">
      <c r="F263" s="174"/>
    </row>
    <row r="264" spans="6:6" ht="15.75">
      <c r="F264" s="174"/>
    </row>
    <row r="265" spans="6:6" ht="15.75">
      <c r="F265" s="174"/>
    </row>
    <row r="266" spans="6:6" ht="15.75">
      <c r="F266" s="174"/>
    </row>
    <row r="267" spans="6:6" ht="15.75">
      <c r="F267" s="174"/>
    </row>
    <row r="268" spans="6:6" ht="15.75">
      <c r="F268" s="174"/>
    </row>
    <row r="269" spans="6:6" ht="15.75">
      <c r="F269" s="174"/>
    </row>
    <row r="270" spans="6:6" ht="15.75">
      <c r="F270" s="174"/>
    </row>
    <row r="271" spans="6:6" ht="15.75">
      <c r="F271" s="174"/>
    </row>
    <row r="272" spans="6:6" ht="15.75">
      <c r="F272" s="174"/>
    </row>
    <row r="273" spans="6:6" ht="15.75">
      <c r="F273" s="174"/>
    </row>
    <row r="274" spans="6:6" ht="15.75">
      <c r="F274" s="174"/>
    </row>
    <row r="275" spans="6:6" ht="15.75">
      <c r="F275" s="174"/>
    </row>
    <row r="276" spans="6:6" ht="15.75">
      <c r="F276" s="174"/>
    </row>
    <row r="277" spans="6:6" ht="15.75">
      <c r="F277" s="174"/>
    </row>
    <row r="278" spans="6:6" ht="15.75">
      <c r="F278" s="174"/>
    </row>
    <row r="279" spans="6:6" ht="15.75">
      <c r="F279" s="174"/>
    </row>
    <row r="280" spans="6:6" ht="15.75">
      <c r="F280" s="174"/>
    </row>
    <row r="281" spans="6:6" ht="15.75">
      <c r="F281" s="174"/>
    </row>
    <row r="282" spans="6:6" ht="15.75">
      <c r="F282" s="174"/>
    </row>
    <row r="283" spans="6:6" ht="15.75">
      <c r="F283" s="174"/>
    </row>
    <row r="284" spans="6:6" ht="15.75">
      <c r="F284" s="174"/>
    </row>
    <row r="285" spans="6:6" ht="15.75">
      <c r="F285" s="174"/>
    </row>
    <row r="286" spans="6:6" ht="15.75">
      <c r="F286" s="174"/>
    </row>
    <row r="287" spans="6:6" ht="15.75">
      <c r="F287" s="174"/>
    </row>
    <row r="288" spans="6:6" ht="15.75">
      <c r="F288" s="174"/>
    </row>
    <row r="289" spans="6:6" ht="15.75">
      <c r="F289" s="174"/>
    </row>
    <row r="290" spans="6:6" ht="15.75">
      <c r="F290" s="174"/>
    </row>
    <row r="291" spans="6:6" ht="15.75">
      <c r="F291" s="174"/>
    </row>
    <row r="292" spans="6:6" ht="15.75">
      <c r="F292" s="174"/>
    </row>
    <row r="293" spans="6:6" ht="15.75">
      <c r="F293" s="174"/>
    </row>
    <row r="294" spans="6:6" ht="15.75">
      <c r="F294" s="174"/>
    </row>
    <row r="295" spans="6:6" ht="15.75">
      <c r="F295" s="174"/>
    </row>
    <row r="296" spans="6:6" ht="15.75">
      <c r="F296" s="174"/>
    </row>
    <row r="297" spans="6:6" ht="15.75">
      <c r="F297" s="174"/>
    </row>
    <row r="298" spans="6:6" ht="15.75">
      <c r="F298" s="174"/>
    </row>
    <row r="299" spans="6:6" ht="15.75">
      <c r="F299" s="174"/>
    </row>
    <row r="300" spans="6:6" ht="15.75">
      <c r="F300" s="174"/>
    </row>
    <row r="301" spans="6:6" ht="15.75">
      <c r="F301" s="174"/>
    </row>
    <row r="302" spans="6:6" ht="15.75">
      <c r="F302" s="174"/>
    </row>
    <row r="303" spans="6:6" ht="15.75">
      <c r="F303" s="174"/>
    </row>
    <row r="304" spans="6:6" ht="15.75">
      <c r="F304" s="174"/>
    </row>
    <row r="305" spans="6:6" ht="15.75">
      <c r="F305" s="174"/>
    </row>
    <row r="306" spans="6:6" ht="15.75">
      <c r="F306" s="174"/>
    </row>
    <row r="307" spans="6:6" ht="15.75">
      <c r="F307" s="174"/>
    </row>
    <row r="308" spans="6:6" ht="15.75">
      <c r="F308" s="174"/>
    </row>
    <row r="309" spans="6:6" ht="15.75">
      <c r="F309" s="174"/>
    </row>
    <row r="310" spans="6:6" ht="15.75">
      <c r="F310" s="174"/>
    </row>
    <row r="311" spans="6:6" ht="15.75">
      <c r="F311" s="174"/>
    </row>
    <row r="312" spans="6:6" ht="15.75">
      <c r="F312" s="174"/>
    </row>
    <row r="313" spans="6:6" ht="15.75">
      <c r="F313" s="174"/>
    </row>
    <row r="314" spans="6:6" ht="15.75">
      <c r="F314" s="174"/>
    </row>
    <row r="315" spans="6:6" ht="15.75">
      <c r="F315" s="174"/>
    </row>
    <row r="316" spans="6:6" ht="15.75">
      <c r="F316" s="174"/>
    </row>
    <row r="317" spans="6:6" ht="15.75">
      <c r="F317" s="174"/>
    </row>
    <row r="318" spans="6:6" ht="15.75">
      <c r="F318" s="174"/>
    </row>
    <row r="319" spans="6:6" ht="15.75">
      <c r="F319" s="174"/>
    </row>
    <row r="320" spans="6:6" ht="15.75">
      <c r="F320" s="174"/>
    </row>
    <row r="321" spans="6:6" ht="15.75">
      <c r="F321" s="174"/>
    </row>
    <row r="322" spans="6:6" ht="15.75">
      <c r="F322" s="174"/>
    </row>
    <row r="323" spans="6:6" ht="15.75">
      <c r="F323" s="174"/>
    </row>
    <row r="324" spans="6:6" ht="15.75">
      <c r="F324" s="174"/>
    </row>
    <row r="325" spans="6:6" ht="15.75">
      <c r="F325" s="174"/>
    </row>
    <row r="326" spans="6:6" ht="15.75">
      <c r="F326" s="174"/>
    </row>
    <row r="327" spans="6:6" ht="15.75">
      <c r="F327" s="174"/>
    </row>
    <row r="328" spans="6:6" ht="15.75">
      <c r="F328" s="174"/>
    </row>
    <row r="329" spans="6:6" ht="15.75">
      <c r="F329" s="174"/>
    </row>
    <row r="330" spans="6:6" ht="15.75">
      <c r="F330" s="174"/>
    </row>
    <row r="331" spans="6:6" ht="15.75">
      <c r="F331" s="174"/>
    </row>
    <row r="332" spans="6:6" ht="15.75">
      <c r="F332" s="174"/>
    </row>
    <row r="333" spans="6:6" ht="15.75">
      <c r="F333" s="174"/>
    </row>
    <row r="334" spans="6:6" ht="15.75">
      <c r="F334" s="174"/>
    </row>
    <row r="335" spans="6:6" ht="15.75">
      <c r="F335" s="174"/>
    </row>
    <row r="336" spans="6:6" ht="15.75">
      <c r="F336" s="174"/>
    </row>
    <row r="337" spans="6:6" ht="15.75">
      <c r="F337" s="174"/>
    </row>
    <row r="338" spans="6:6" ht="15.75">
      <c r="F338" s="174"/>
    </row>
    <row r="339" spans="6:6" ht="15.75">
      <c r="F339" s="174"/>
    </row>
    <row r="340" spans="6:6" ht="15.75">
      <c r="F340" s="174"/>
    </row>
    <row r="341" spans="6:6" ht="15.75">
      <c r="F341" s="174"/>
    </row>
    <row r="342" spans="6:6" ht="15.75">
      <c r="F342" s="174"/>
    </row>
    <row r="343" spans="6:6" ht="15.75">
      <c r="F343" s="174"/>
    </row>
    <row r="344" spans="6:6" ht="15.75">
      <c r="F344" s="174"/>
    </row>
    <row r="345" spans="6:6" ht="15.75">
      <c r="F345" s="174"/>
    </row>
    <row r="346" spans="6:6" ht="15.75">
      <c r="F346" s="174"/>
    </row>
    <row r="347" spans="6:6" ht="15.75">
      <c r="F347" s="174"/>
    </row>
    <row r="348" spans="6:6" ht="15.75">
      <c r="F348" s="174"/>
    </row>
    <row r="349" spans="6:6" ht="15.75">
      <c r="F349" s="174"/>
    </row>
    <row r="350" spans="6:6" ht="15.75">
      <c r="F350" s="174"/>
    </row>
    <row r="351" spans="6:6" ht="15.75">
      <c r="F351" s="174"/>
    </row>
    <row r="352" spans="6:6" ht="15.75">
      <c r="F352" s="174"/>
    </row>
    <row r="353" spans="6:6" ht="15.75">
      <c r="F353" s="174"/>
    </row>
    <row r="354" spans="6:6" ht="15.75">
      <c r="F354" s="174"/>
    </row>
    <row r="355" spans="6:6" ht="15.75">
      <c r="F355" s="174"/>
    </row>
    <row r="356" spans="6:6" ht="15.75">
      <c r="F356" s="174"/>
    </row>
    <row r="357" spans="6:6" ht="15.75">
      <c r="F357" s="174"/>
    </row>
    <row r="358" spans="6:6" ht="15.75">
      <c r="F358" s="174"/>
    </row>
    <row r="359" spans="6:6" ht="15.75">
      <c r="F359" s="174"/>
    </row>
    <row r="360" spans="6:6" ht="15.75">
      <c r="F360" s="174"/>
    </row>
    <row r="361" spans="6:6" ht="15.75">
      <c r="F361" s="174"/>
    </row>
    <row r="362" spans="6:6" ht="15.75">
      <c r="F362" s="174"/>
    </row>
    <row r="363" spans="6:6" ht="15.75">
      <c r="F363" s="174"/>
    </row>
    <row r="364" spans="6:6" ht="15.75">
      <c r="F364" s="174"/>
    </row>
    <row r="365" spans="6:6" ht="15.75">
      <c r="F365" s="174"/>
    </row>
    <row r="366" spans="6:6" ht="15.75">
      <c r="F366" s="174"/>
    </row>
    <row r="367" spans="6:6" ht="15.75">
      <c r="F367" s="174"/>
    </row>
    <row r="368" spans="6:6" ht="15.75">
      <c r="F368" s="174"/>
    </row>
    <row r="369" spans="6:6" ht="15.75">
      <c r="F369" s="174"/>
    </row>
    <row r="370" spans="6:6" ht="15.75">
      <c r="F370" s="174"/>
    </row>
    <row r="371" spans="6:6" ht="15.75">
      <c r="F371" s="174"/>
    </row>
    <row r="372" spans="6:6" ht="15.75">
      <c r="F372" s="174"/>
    </row>
    <row r="373" spans="6:6" ht="15.75">
      <c r="F373" s="174"/>
    </row>
    <row r="374" spans="6:6" ht="15.75">
      <c r="F374" s="174"/>
    </row>
    <row r="375" spans="6:6" ht="15.75">
      <c r="F375" s="174"/>
    </row>
    <row r="376" spans="6:6" ht="15.75">
      <c r="F376" s="174"/>
    </row>
    <row r="377" spans="6:6" ht="15.75">
      <c r="F377" s="174"/>
    </row>
    <row r="378" spans="6:6" ht="15.75">
      <c r="F378" s="174"/>
    </row>
    <row r="379" spans="6:6" ht="15.75">
      <c r="F379" s="174"/>
    </row>
    <row r="380" spans="6:6" ht="15.75">
      <c r="F380" s="174"/>
    </row>
    <row r="381" spans="6:6" ht="15.75">
      <c r="F381" s="174"/>
    </row>
    <row r="382" spans="6:6" ht="15.75">
      <c r="F382" s="174"/>
    </row>
    <row r="383" spans="6:6" ht="15.75">
      <c r="F383" s="174"/>
    </row>
    <row r="384" spans="6:6" ht="15.75">
      <c r="F384" s="174"/>
    </row>
    <row r="385" spans="6:6" ht="15.75">
      <c r="F385" s="174"/>
    </row>
    <row r="386" spans="6:6" ht="15.75">
      <c r="F386" s="174"/>
    </row>
    <row r="387" spans="6:6" ht="15.75">
      <c r="F387" s="174"/>
    </row>
    <row r="388" spans="6:6" ht="15.75">
      <c r="F388" s="174"/>
    </row>
    <row r="389" spans="6:6" ht="15.75">
      <c r="F389" s="174"/>
    </row>
    <row r="390" spans="6:6" ht="15.75">
      <c r="F390" s="174"/>
    </row>
    <row r="391" spans="6:6" ht="15.75">
      <c r="F391" s="174"/>
    </row>
    <row r="392" spans="6:6" ht="15.75">
      <c r="F392" s="174"/>
    </row>
    <row r="393" spans="6:6" ht="15.75">
      <c r="F393" s="174"/>
    </row>
    <row r="394" spans="6:6" ht="15.75">
      <c r="F394" s="174"/>
    </row>
    <row r="395" spans="6:6" ht="15.75">
      <c r="F395" s="174"/>
    </row>
    <row r="396" spans="6:6" ht="15.75">
      <c r="F396" s="174"/>
    </row>
    <row r="397" spans="6:6" ht="15.75">
      <c r="F397" s="174"/>
    </row>
    <row r="398" spans="6:6" ht="15.75">
      <c r="F398" s="174"/>
    </row>
    <row r="399" spans="6:6" ht="15.75">
      <c r="F399" s="174"/>
    </row>
    <row r="400" spans="6:6" ht="15.75">
      <c r="F400" s="174"/>
    </row>
    <row r="401" spans="6:6" ht="15.75">
      <c r="F401" s="174"/>
    </row>
    <row r="402" spans="6:6" ht="15.75">
      <c r="F402" s="174"/>
    </row>
    <row r="403" spans="6:6" ht="15.75">
      <c r="F403" s="174"/>
    </row>
    <row r="404" spans="6:6" ht="15.75">
      <c r="F404" s="174"/>
    </row>
    <row r="405" spans="6:6" ht="15.75">
      <c r="F405" s="174"/>
    </row>
    <row r="406" spans="6:6" ht="15.75">
      <c r="F406" s="174"/>
    </row>
    <row r="407" spans="6:6" ht="15.75">
      <c r="F407" s="174"/>
    </row>
    <row r="408" spans="6:6" ht="15.75">
      <c r="F408" s="174"/>
    </row>
    <row r="409" spans="6:6" ht="15.75">
      <c r="F409" s="174"/>
    </row>
    <row r="410" spans="6:6" ht="15.75">
      <c r="F410" s="174"/>
    </row>
    <row r="411" spans="6:6" ht="15.75">
      <c r="F411" s="174"/>
    </row>
    <row r="412" spans="6:6" ht="15.75">
      <c r="F412" s="174"/>
    </row>
    <row r="413" spans="6:6" ht="15.75">
      <c r="F413" s="174"/>
    </row>
    <row r="414" spans="6:6" ht="15.75">
      <c r="F414" s="174"/>
    </row>
    <row r="415" spans="6:6" ht="15.75">
      <c r="F415" s="174"/>
    </row>
    <row r="416" spans="6:6" ht="15.75">
      <c r="F416" s="174"/>
    </row>
    <row r="417" spans="6:6" ht="15.75">
      <c r="F417" s="174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B11:E11">
    <sortCondition ref="B12"/>
  </sortState>
  <phoneticPr fontId="49" type="noConversion"/>
  <dataValidations disablePrompts="1" count="3">
    <dataValidation type="list" allowBlank="1" showInputMessage="1" showErrorMessage="1" errorTitle="Invalid  unit!" error="Weight unit must be kg or lb (lower case)." promptTitle="Weight Unit" sqref="C5" xr:uid="{0450B8D8-B5C7-4915-8494-9C0B98934A48}">
      <formula1>"kg,lb"</formula1>
    </dataValidation>
    <dataValidation type="decimal" operator="greaterThan" allowBlank="1" showInputMessage="1" showErrorMessage="1" errorTitle="Invalid number!" error="Weight must be a positive number" promptTitle="Actual Weight" sqref="B5 B6:E6 A6:A10 B7:B8 C7:E10" xr:uid="{DD9BD64F-47CF-459E-B663-974B9540CC1D}">
      <formula1>0</formula1>
    </dataValidation>
    <dataValidation type="date" operator="greaterThanOrEqual" allowBlank="1" showInputMessage="1" showErrorMessage="1" errorTitle="Invalid Date!" error="Date format should be mm/dd/yy and greater than 01/01/1900" promptTitle="Date Format" prompt="mm/dd/yy" sqref="B9" xr:uid="{674400FF-02B1-4AF2-A699-DEE1EACEC454}">
      <formula1>1</formula1>
    </dataValidation>
  </dataValidation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6" r:id="rId4" name="AddWeightButtom">
              <controlPr defaultSize="0" autoFill="0" autoPict="0" macro="[0]!AddWeight" altText="Add Weight">
                <anchor moveWithCells="1">
                  <from>
                    <xdr:col>2</xdr:col>
                    <xdr:colOff>276225</xdr:colOff>
                    <xdr:row>8</xdr:row>
                    <xdr:rowOff>9525</xdr:rowOff>
                  </from>
                  <to>
                    <xdr:col>2</xdr:col>
                    <xdr:colOff>457200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56F0C-F9FB-4B73-91F6-16874FCBF99E}">
  <sheetPr codeName="Sheet8"/>
  <dimension ref="A1:JY323"/>
  <sheetViews>
    <sheetView showGridLines="0" showRowColHeaders="0" workbookViewId="0">
      <pane ySplit="5" topLeftCell="A6" activePane="bottomLeft" state="frozen"/>
      <selection pane="bottomLeft" activeCell="B6" sqref="B6"/>
    </sheetView>
  </sheetViews>
  <sheetFormatPr defaultColWidth="0" defaultRowHeight="15.75"/>
  <cols>
    <col min="1" max="1" width="1.7109375" style="178" customWidth="1"/>
    <col min="2" max="2" width="10" style="178" customWidth="1"/>
    <col min="3" max="3" width="9.42578125" style="178" customWidth="1"/>
    <col min="4" max="4" width="8.85546875" style="178" customWidth="1"/>
    <col min="5" max="5" width="9.28515625" style="178" bestFit="1" customWidth="1"/>
    <col min="6" max="6" width="8.28515625" style="178" bestFit="1" customWidth="1"/>
    <col min="7" max="7" width="6" style="178" bestFit="1" customWidth="1"/>
    <col min="8" max="8" width="6.42578125" style="178" bestFit="1" customWidth="1"/>
    <col min="9" max="9" width="5.7109375" style="178" bestFit="1" customWidth="1"/>
    <col min="10" max="10" width="8.5703125" style="178" bestFit="1" customWidth="1"/>
    <col min="11" max="11" width="6.42578125" style="178" bestFit="1" customWidth="1"/>
    <col min="12" max="12" width="7.85546875" style="178" bestFit="1" customWidth="1"/>
    <col min="13" max="13" width="8.5703125" style="178" customWidth="1"/>
    <col min="14" max="14" width="11.42578125" style="178" bestFit="1" customWidth="1"/>
    <col min="15" max="15" width="9" style="178" customWidth="1"/>
    <col min="16" max="16" width="7" style="178" customWidth="1"/>
    <col min="17" max="17" width="8.28515625" style="178" bestFit="1" customWidth="1"/>
    <col min="18" max="18" width="9.28515625" style="178" bestFit="1" customWidth="1"/>
    <col min="19" max="19" width="6.42578125" style="178" bestFit="1" customWidth="1"/>
    <col min="20" max="20" width="5.85546875" style="178" customWidth="1"/>
    <col min="21" max="21" width="8.5703125" style="178" bestFit="1" customWidth="1"/>
    <col min="22" max="22" width="6.42578125" style="178" bestFit="1" customWidth="1"/>
    <col min="23" max="23" width="8.140625" style="178" customWidth="1"/>
    <col min="24" max="25" width="9" style="178" customWidth="1"/>
    <col min="26" max="28" width="10.7109375" style="178" customWidth="1"/>
    <col min="29" max="29" width="10.28515625" style="178" customWidth="1"/>
    <col min="30" max="31" width="10.7109375" style="178" customWidth="1"/>
    <col min="32" max="35" width="8.7109375" style="178" customWidth="1"/>
    <col min="36" max="37" width="8.7109375" style="178" hidden="1" customWidth="1"/>
    <col min="38" max="38" width="7.5703125" style="178" hidden="1" customWidth="1"/>
    <col min="39" max="39" width="12.5703125" style="178" hidden="1" customWidth="1"/>
    <col min="40" max="40" width="12.85546875" style="178" hidden="1" customWidth="1"/>
    <col min="41" max="41" width="10.28515625" style="178" hidden="1" customWidth="1"/>
    <col min="42" max="42" width="22.7109375" style="178" hidden="1" customWidth="1"/>
    <col min="43" max="43" width="13.7109375" style="178" hidden="1" customWidth="1"/>
    <col min="44" max="44" width="11.7109375" style="178" hidden="1" customWidth="1"/>
    <col min="45" max="45" width="16.140625" style="178" hidden="1" customWidth="1"/>
    <col min="46" max="46" width="20.140625" style="178" hidden="1" customWidth="1"/>
    <col min="47" max="47" width="18" style="178" hidden="1" customWidth="1"/>
    <col min="48" max="48" width="16.7109375" style="178" hidden="1" customWidth="1"/>
    <col min="49" max="49" width="16.42578125" style="178" hidden="1" customWidth="1"/>
    <col min="50" max="50" width="20.28515625" style="178" hidden="1" customWidth="1"/>
    <col min="51" max="51" width="23" style="178" hidden="1" customWidth="1"/>
    <col min="52" max="52" width="16.42578125" style="178" hidden="1" customWidth="1"/>
    <col min="53" max="53" width="15.140625" style="178" hidden="1" customWidth="1"/>
    <col min="54" max="54" width="11.7109375" style="178" hidden="1" customWidth="1"/>
    <col min="55" max="55" width="14.7109375" style="178" hidden="1" customWidth="1"/>
    <col min="56" max="56" width="15.85546875" style="178" hidden="1" customWidth="1"/>
    <col min="57" max="57" width="12.85546875" style="178" hidden="1" customWidth="1"/>
    <col min="58" max="58" width="16.7109375" style="178" hidden="1" customWidth="1"/>
    <col min="59" max="59" width="15" style="178" hidden="1" customWidth="1"/>
    <col min="60" max="60" width="12.85546875" style="178" hidden="1" customWidth="1"/>
    <col min="61" max="61" width="6.42578125" style="178" hidden="1" customWidth="1"/>
    <col min="62" max="62" width="6.5703125" style="178" hidden="1" customWidth="1"/>
    <col min="63" max="63" width="5.28515625" style="178" hidden="1" customWidth="1"/>
    <col min="64" max="64" width="12.5703125" style="178" hidden="1" customWidth="1"/>
    <col min="65" max="65" width="22.7109375" style="178" hidden="1" customWidth="1"/>
    <col min="66" max="66" width="14" style="178" hidden="1" customWidth="1"/>
    <col min="67" max="67" width="11.5703125" style="178" hidden="1" customWidth="1"/>
    <col min="68" max="68" width="15.85546875" style="178" hidden="1" customWidth="1"/>
    <col min="69" max="69" width="20" style="178" hidden="1" customWidth="1"/>
    <col min="70" max="70" width="17.7109375" style="178" hidden="1" customWidth="1"/>
    <col min="71" max="71" width="16.5703125" style="178" hidden="1" customWidth="1"/>
    <col min="72" max="72" width="16.7109375" style="178" hidden="1" customWidth="1"/>
    <col min="73" max="73" width="20.5703125" style="178" hidden="1" customWidth="1"/>
    <col min="74" max="74" width="23.140625" style="178" hidden="1" customWidth="1"/>
    <col min="75" max="75" width="16.85546875" style="178" hidden="1" customWidth="1"/>
    <col min="76" max="76" width="15.140625" style="178" hidden="1" customWidth="1"/>
    <col min="77" max="77" width="12" style="178" hidden="1" customWidth="1"/>
    <col min="78" max="78" width="14.7109375" style="178" hidden="1" customWidth="1"/>
    <col min="79" max="79" width="16" style="178" hidden="1" customWidth="1"/>
    <col min="80" max="80" width="13.140625" style="178" hidden="1" customWidth="1"/>
    <col min="81" max="81" width="17" style="178" hidden="1" customWidth="1"/>
    <col min="82" max="82" width="15.140625" style="178" hidden="1" customWidth="1"/>
    <col min="83" max="83" width="13.28515625" style="178" hidden="1" customWidth="1"/>
    <col min="84" max="84" width="6.28515625" style="178" hidden="1" customWidth="1"/>
    <col min="85" max="85" width="6.85546875" style="178" hidden="1" customWidth="1"/>
    <col min="86" max="86" width="5.28515625" style="178" hidden="1" customWidth="1"/>
    <col min="87" max="87" width="12.5703125" style="178" hidden="1" customWidth="1"/>
    <col min="88" max="88" width="22.7109375" style="178" hidden="1" customWidth="1"/>
    <col min="89" max="89" width="14" style="178" hidden="1" customWidth="1"/>
    <col min="90" max="90" width="11.5703125" style="178" hidden="1" customWidth="1"/>
    <col min="91" max="91" width="15.85546875" style="178" hidden="1" customWidth="1"/>
    <col min="92" max="92" width="20" style="178" hidden="1" customWidth="1"/>
    <col min="93" max="93" width="17.7109375" style="178" hidden="1" customWidth="1"/>
    <col min="94" max="94" width="16.5703125" style="178" hidden="1" customWidth="1"/>
    <col min="95" max="95" width="16.7109375" style="178" hidden="1" customWidth="1"/>
    <col min="96" max="96" width="20.5703125" style="178" hidden="1" customWidth="1"/>
    <col min="97" max="97" width="23.140625" style="178" hidden="1" customWidth="1"/>
    <col min="98" max="98" width="16.85546875" style="178" hidden="1" customWidth="1"/>
    <col min="99" max="99" width="15.140625" style="178" hidden="1" customWidth="1"/>
    <col min="100" max="100" width="12" style="178" hidden="1" customWidth="1"/>
    <col min="101" max="101" width="14.7109375" style="178" hidden="1" customWidth="1"/>
    <col min="102" max="102" width="16" style="178" hidden="1" customWidth="1"/>
    <col min="103" max="103" width="13.140625" style="178" hidden="1" customWidth="1"/>
    <col min="104" max="104" width="17" style="178" hidden="1" customWidth="1"/>
    <col min="105" max="105" width="15.140625" style="178" hidden="1" customWidth="1"/>
    <col min="106" max="106" width="13.28515625" style="178" hidden="1" customWidth="1"/>
    <col min="107" max="107" width="6.28515625" style="178" hidden="1" customWidth="1"/>
    <col min="108" max="108" width="6.85546875" style="178" hidden="1" customWidth="1"/>
    <col min="109" max="109" width="5.28515625" style="178" hidden="1" customWidth="1"/>
    <col min="110" max="110" width="12.5703125" style="178" hidden="1" customWidth="1"/>
    <col min="111" max="111" width="22.7109375" style="178" hidden="1" customWidth="1"/>
    <col min="112" max="112" width="14" style="178" hidden="1" customWidth="1"/>
    <col min="113" max="113" width="11.5703125" style="178" hidden="1" customWidth="1"/>
    <col min="114" max="114" width="15.85546875" style="178" hidden="1" customWidth="1"/>
    <col min="115" max="115" width="20" style="178" hidden="1" customWidth="1"/>
    <col min="116" max="116" width="17.7109375" style="178" hidden="1" customWidth="1"/>
    <col min="117" max="117" width="16.5703125" style="178" hidden="1" customWidth="1"/>
    <col min="118" max="118" width="16.7109375" style="178" hidden="1" customWidth="1"/>
    <col min="119" max="119" width="20.5703125" style="178" hidden="1" customWidth="1"/>
    <col min="120" max="120" width="23.140625" style="178" hidden="1" customWidth="1"/>
    <col min="121" max="121" width="16.85546875" style="178" hidden="1" customWidth="1"/>
    <col min="122" max="122" width="15.140625" style="178" hidden="1" customWidth="1"/>
    <col min="123" max="123" width="12" style="178" hidden="1" customWidth="1"/>
    <col min="124" max="124" width="14.7109375" style="178" hidden="1" customWidth="1"/>
    <col min="125" max="125" width="16" style="178" hidden="1" customWidth="1"/>
    <col min="126" max="126" width="13.140625" style="178" hidden="1" customWidth="1"/>
    <col min="127" max="127" width="17" style="178" hidden="1" customWidth="1"/>
    <col min="128" max="128" width="15.140625" style="178" hidden="1" customWidth="1"/>
    <col min="129" max="129" width="13.28515625" style="178" hidden="1" customWidth="1"/>
    <col min="130" max="130" width="6.28515625" style="178" hidden="1" customWidth="1"/>
    <col min="131" max="131" width="6.85546875" style="178" hidden="1" customWidth="1"/>
    <col min="132" max="132" width="5.28515625" style="178" hidden="1" customWidth="1"/>
    <col min="133" max="133" width="12.5703125" style="178" hidden="1" customWidth="1"/>
    <col min="134" max="134" width="22.7109375" style="178" hidden="1" customWidth="1"/>
    <col min="135" max="135" width="14" style="178" hidden="1" customWidth="1"/>
    <col min="136" max="136" width="11.5703125" style="178" hidden="1" customWidth="1"/>
    <col min="137" max="137" width="15.85546875" style="178" hidden="1" customWidth="1"/>
    <col min="138" max="138" width="20" style="178" hidden="1" customWidth="1"/>
    <col min="139" max="139" width="17.7109375" style="178" hidden="1" customWidth="1"/>
    <col min="140" max="140" width="16.5703125" style="178" hidden="1" customWidth="1"/>
    <col min="141" max="141" width="16.7109375" style="178" hidden="1" customWidth="1"/>
    <col min="142" max="142" width="20.5703125" style="178" hidden="1" customWidth="1"/>
    <col min="143" max="143" width="23.140625" style="178" hidden="1" customWidth="1"/>
    <col min="144" max="144" width="16.85546875" style="178" hidden="1" customWidth="1"/>
    <col min="145" max="145" width="15.140625" style="178" hidden="1" customWidth="1"/>
    <col min="146" max="146" width="12" style="178" hidden="1" customWidth="1"/>
    <col min="147" max="147" width="14.7109375" style="178" hidden="1" customWidth="1"/>
    <col min="148" max="148" width="16" style="178" hidden="1" customWidth="1"/>
    <col min="149" max="149" width="13.140625" style="178" hidden="1" customWidth="1"/>
    <col min="150" max="150" width="17" style="178" hidden="1" customWidth="1"/>
    <col min="151" max="151" width="15.140625" style="178" hidden="1" customWidth="1"/>
    <col min="152" max="152" width="13.28515625" style="178" hidden="1" customWidth="1"/>
    <col min="153" max="153" width="6.28515625" style="178" hidden="1" customWidth="1"/>
    <col min="154" max="154" width="6.85546875" style="178" hidden="1" customWidth="1"/>
    <col min="155" max="155" width="5.28515625" style="178" hidden="1" customWidth="1"/>
    <col min="156" max="156" width="12.5703125" style="178" hidden="1" customWidth="1"/>
    <col min="157" max="157" width="22.7109375" style="178" hidden="1" customWidth="1"/>
    <col min="158" max="158" width="14" style="178" hidden="1" customWidth="1"/>
    <col min="159" max="159" width="11.5703125" style="178" hidden="1" customWidth="1"/>
    <col min="160" max="160" width="15.85546875" style="178" hidden="1" customWidth="1"/>
    <col min="161" max="161" width="20" style="178" hidden="1" customWidth="1"/>
    <col min="162" max="162" width="17.7109375" style="178" hidden="1" customWidth="1"/>
    <col min="163" max="163" width="16.5703125" style="178" hidden="1" customWidth="1"/>
    <col min="164" max="164" width="16.7109375" style="178" hidden="1" customWidth="1"/>
    <col min="165" max="165" width="20.5703125" style="178" hidden="1" customWidth="1"/>
    <col min="166" max="166" width="23.140625" style="178" hidden="1" customWidth="1"/>
    <col min="167" max="167" width="16.85546875" style="178" hidden="1" customWidth="1"/>
    <col min="168" max="168" width="15.140625" style="178" hidden="1" customWidth="1"/>
    <col min="169" max="169" width="12" style="178" hidden="1" customWidth="1"/>
    <col min="170" max="170" width="14.7109375" style="178" hidden="1" customWidth="1"/>
    <col min="171" max="171" width="16" style="178" hidden="1" customWidth="1"/>
    <col min="172" max="172" width="13.140625" style="178" hidden="1" customWidth="1"/>
    <col min="173" max="173" width="17" style="178" hidden="1" customWidth="1"/>
    <col min="174" max="174" width="15.140625" style="178" hidden="1" customWidth="1"/>
    <col min="175" max="175" width="13.28515625" style="178" hidden="1" customWidth="1"/>
    <col min="176" max="176" width="6.28515625" style="178" hidden="1" customWidth="1"/>
    <col min="177" max="177" width="6.85546875" style="178" hidden="1" customWidth="1"/>
    <col min="178" max="178" width="5.28515625" style="178" hidden="1" customWidth="1"/>
    <col min="179" max="179" width="12.5703125" style="178" hidden="1" customWidth="1"/>
    <col min="180" max="180" width="22.7109375" style="178" hidden="1" customWidth="1"/>
    <col min="181" max="181" width="14" style="178" hidden="1" customWidth="1"/>
    <col min="182" max="182" width="11.5703125" style="178" hidden="1" customWidth="1"/>
    <col min="183" max="183" width="15.85546875" style="178" hidden="1" customWidth="1"/>
    <col min="184" max="184" width="20" style="178" hidden="1" customWidth="1"/>
    <col min="185" max="185" width="17.7109375" style="178" hidden="1" customWidth="1"/>
    <col min="186" max="186" width="16.5703125" style="178" hidden="1" customWidth="1"/>
    <col min="187" max="187" width="16.7109375" style="178" hidden="1" customWidth="1"/>
    <col min="188" max="188" width="20.5703125" style="178" hidden="1" customWidth="1"/>
    <col min="189" max="189" width="23.140625" style="178" hidden="1" customWidth="1"/>
    <col min="190" max="190" width="16.85546875" style="178" hidden="1" customWidth="1"/>
    <col min="191" max="191" width="15.140625" style="178" hidden="1" customWidth="1"/>
    <col min="192" max="192" width="12" style="178" hidden="1" customWidth="1"/>
    <col min="193" max="193" width="14.7109375" style="178" hidden="1" customWidth="1"/>
    <col min="194" max="194" width="16" style="178" hidden="1" customWidth="1"/>
    <col min="195" max="195" width="13.140625" style="178" hidden="1" customWidth="1"/>
    <col min="196" max="196" width="17" style="178" hidden="1" customWidth="1"/>
    <col min="197" max="197" width="15.140625" style="178" hidden="1" customWidth="1"/>
    <col min="198" max="198" width="13.28515625" style="178" hidden="1" customWidth="1"/>
    <col min="199" max="199" width="6.28515625" style="178" hidden="1" customWidth="1"/>
    <col min="200" max="200" width="6.85546875" style="178" hidden="1" customWidth="1"/>
    <col min="201" max="201" width="5.28515625" style="178" hidden="1" customWidth="1"/>
    <col min="202" max="202" width="12.5703125" style="178" hidden="1" customWidth="1"/>
    <col min="203" max="203" width="22.7109375" style="178" hidden="1" customWidth="1"/>
    <col min="204" max="204" width="8.7109375" style="178" hidden="1" customWidth="1"/>
    <col min="205" max="205" width="47.7109375" style="178" hidden="1" customWidth="1"/>
    <col min="206" max="206" width="14" style="178" hidden="1" customWidth="1"/>
    <col min="207" max="207" width="11.5703125" style="178" hidden="1" customWidth="1"/>
    <col min="208" max="208" width="15.85546875" style="178" hidden="1" customWidth="1"/>
    <col min="209" max="209" width="20" style="178" hidden="1" customWidth="1"/>
    <col min="210" max="210" width="17.7109375" style="178" hidden="1" customWidth="1"/>
    <col min="211" max="211" width="16.5703125" style="178" hidden="1" customWidth="1"/>
    <col min="212" max="212" width="16.7109375" style="178" hidden="1" customWidth="1"/>
    <col min="213" max="213" width="20.5703125" style="178" hidden="1" customWidth="1"/>
    <col min="214" max="214" width="23.140625" style="178" hidden="1" customWidth="1"/>
    <col min="215" max="215" width="16.85546875" style="178" hidden="1" customWidth="1"/>
    <col min="216" max="216" width="15.140625" style="178" hidden="1" customWidth="1"/>
    <col min="217" max="217" width="12" style="178" hidden="1" customWidth="1"/>
    <col min="218" max="218" width="14.7109375" style="178" hidden="1" customWidth="1"/>
    <col min="219" max="219" width="16" style="178" hidden="1" customWidth="1"/>
    <col min="220" max="220" width="13.140625" style="178" hidden="1" customWidth="1"/>
    <col min="221" max="221" width="17" style="178" hidden="1" customWidth="1"/>
    <col min="222" max="222" width="15.140625" style="178" hidden="1" customWidth="1"/>
    <col min="223" max="223" width="13.28515625" style="178" hidden="1" customWidth="1"/>
    <col min="224" max="224" width="6.28515625" style="178" hidden="1" customWidth="1"/>
    <col min="225" max="225" width="6.85546875" style="178" hidden="1" customWidth="1"/>
    <col min="226" max="226" width="5.28515625" style="178" hidden="1" customWidth="1"/>
    <col min="227" max="227" width="12.5703125" style="178" hidden="1" customWidth="1"/>
    <col min="228" max="228" width="8.5703125" style="178" hidden="1" customWidth="1"/>
    <col min="229" max="229" width="8.42578125" style="178" hidden="1" customWidth="1"/>
    <col min="230" max="230" width="14" style="178" hidden="1" customWidth="1"/>
    <col min="231" max="231" width="11.5703125" style="178" hidden="1" customWidth="1"/>
    <col min="232" max="232" width="15.85546875" style="178" hidden="1" customWidth="1"/>
    <col min="233" max="233" width="20" style="178" hidden="1" customWidth="1"/>
    <col min="234" max="234" width="17.7109375" style="178" hidden="1" customWidth="1"/>
    <col min="235" max="235" width="16.5703125" style="178" hidden="1" customWidth="1"/>
    <col min="236" max="236" width="16.7109375" style="178" hidden="1" customWidth="1"/>
    <col min="237" max="237" width="20.5703125" style="178" hidden="1" customWidth="1"/>
    <col min="238" max="238" width="23.140625" style="178" hidden="1" customWidth="1"/>
    <col min="239" max="239" width="16.85546875" style="178" hidden="1" customWidth="1"/>
    <col min="240" max="240" width="15.140625" style="178" hidden="1" customWidth="1"/>
    <col min="241" max="241" width="12" style="178" hidden="1" customWidth="1"/>
    <col min="242" max="242" width="14.7109375" style="178" hidden="1" customWidth="1"/>
    <col min="243" max="243" width="16" style="178" hidden="1" customWidth="1"/>
    <col min="244" max="244" width="13.140625" style="178" hidden="1" customWidth="1"/>
    <col min="245" max="245" width="17" style="178" hidden="1" customWidth="1"/>
    <col min="246" max="246" width="15.140625" style="178" hidden="1" customWidth="1"/>
    <col min="247" max="247" width="13.28515625" style="178" hidden="1" customWidth="1"/>
    <col min="248" max="248" width="6.28515625" style="178" hidden="1" customWidth="1"/>
    <col min="249" max="249" width="6.85546875" style="178" hidden="1" customWidth="1"/>
    <col min="250" max="250" width="5.28515625" style="178" hidden="1" customWidth="1"/>
    <col min="251" max="251" width="12.5703125" style="178" hidden="1" customWidth="1"/>
    <col min="252" max="252" width="22.7109375" style="178" hidden="1" customWidth="1"/>
    <col min="253" max="253" width="13.7109375" style="178" hidden="1" customWidth="1"/>
    <col min="254" max="254" width="11.7109375" style="178" hidden="1" customWidth="1"/>
    <col min="255" max="255" width="16.140625" style="178" hidden="1" customWidth="1"/>
    <col min="256" max="256" width="20.140625" style="178" hidden="1" customWidth="1"/>
    <col min="257" max="257" width="18" style="178" hidden="1" customWidth="1"/>
    <col min="258" max="258" width="16.7109375" style="178" hidden="1" customWidth="1"/>
    <col min="259" max="259" width="16.42578125" style="178" hidden="1" customWidth="1"/>
    <col min="260" max="260" width="20.28515625" style="178" hidden="1" customWidth="1"/>
    <col min="261" max="261" width="23" style="178" hidden="1" customWidth="1"/>
    <col min="262" max="262" width="16.42578125" style="178" hidden="1" customWidth="1"/>
    <col min="263" max="263" width="15.140625" style="178" hidden="1" customWidth="1"/>
    <col min="264" max="264" width="11.7109375" style="178" hidden="1" customWidth="1"/>
    <col min="265" max="265" width="14.7109375" style="178" hidden="1" customWidth="1"/>
    <col min="266" max="266" width="15.85546875" style="178" hidden="1" customWidth="1"/>
    <col min="267" max="267" width="12.85546875" style="178" hidden="1" customWidth="1"/>
    <col min="268" max="268" width="16.7109375" style="178" hidden="1" customWidth="1"/>
    <col min="269" max="269" width="15" style="178" hidden="1" customWidth="1"/>
    <col min="270" max="270" width="12.85546875" style="178" hidden="1" customWidth="1"/>
    <col min="271" max="271" width="6.28515625" style="178" hidden="1" customWidth="1"/>
    <col min="272" max="272" width="6.85546875" style="178" hidden="1" customWidth="1"/>
    <col min="273" max="273" width="5.28515625" style="178" hidden="1" customWidth="1"/>
    <col min="274" max="274" width="12.5703125" style="178" hidden="1" customWidth="1"/>
    <col min="275" max="275" width="21.28515625" style="178" hidden="1" customWidth="1"/>
    <col min="276" max="277" width="9.140625" style="178" hidden="1" customWidth="1"/>
    <col min="278" max="278" width="15.5703125" style="178" hidden="1" customWidth="1"/>
    <col min="279" max="282" width="9.140625" style="178" hidden="1" customWidth="1"/>
    <col min="283" max="283" width="15.5703125" style="178" hidden="1" customWidth="1"/>
    <col min="284" max="284" width="9.140625" style="178" hidden="1" customWidth="1"/>
    <col min="285" max="285" width="72.28515625" style="178" hidden="1" customWidth="1"/>
    <col min="286" max="16384" width="9.140625" style="178" hidden="1"/>
  </cols>
  <sheetData>
    <row r="1" spans="1:283" s="177" customFormat="1" ht="21">
      <c r="A1" s="169"/>
      <c r="B1" s="160" t="s">
        <v>555</v>
      </c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75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  <c r="BD1" s="169"/>
      <c r="BE1" s="169"/>
      <c r="BF1" s="169"/>
      <c r="BG1" s="169"/>
      <c r="BH1" s="169"/>
      <c r="BI1" s="169"/>
      <c r="BJ1" s="169"/>
      <c r="BK1" s="169"/>
      <c r="BL1" s="169"/>
      <c r="BM1" s="169"/>
      <c r="BN1" s="169"/>
      <c r="BO1" s="169"/>
      <c r="BP1" s="169"/>
      <c r="BQ1" s="169"/>
      <c r="BR1" s="169"/>
      <c r="BS1" s="169"/>
      <c r="BT1" s="169"/>
      <c r="BU1" s="169"/>
      <c r="BV1" s="169"/>
      <c r="BW1" s="169"/>
      <c r="BX1" s="169"/>
      <c r="BY1" s="169"/>
      <c r="BZ1" s="169"/>
      <c r="CA1" s="169"/>
      <c r="CB1" s="169"/>
      <c r="CC1" s="169"/>
      <c r="CD1" s="169"/>
      <c r="CE1" s="169"/>
      <c r="CF1" s="169"/>
      <c r="CG1" s="169"/>
      <c r="CH1" s="169"/>
      <c r="CI1" s="169"/>
      <c r="CJ1" s="169"/>
      <c r="CK1" s="169"/>
      <c r="CL1" s="169"/>
      <c r="CM1" s="169"/>
      <c r="CN1" s="169"/>
      <c r="CO1" s="169"/>
      <c r="CP1" s="169"/>
      <c r="CQ1" s="169"/>
      <c r="CR1" s="169"/>
      <c r="CS1" s="169"/>
      <c r="CT1" s="169"/>
      <c r="CU1" s="169"/>
      <c r="CV1" s="169"/>
      <c r="CW1" s="169"/>
      <c r="CX1" s="169"/>
      <c r="CY1" s="169"/>
      <c r="CZ1" s="169"/>
      <c r="DA1" s="169"/>
      <c r="DB1" s="169"/>
      <c r="DC1" s="169"/>
      <c r="DD1" s="169"/>
      <c r="DE1" s="169"/>
      <c r="DF1" s="169"/>
      <c r="DG1" s="169"/>
      <c r="DH1" s="169"/>
      <c r="DI1" s="169"/>
      <c r="DJ1" s="169"/>
      <c r="DK1" s="169"/>
      <c r="DL1" s="169"/>
      <c r="DM1" s="169"/>
      <c r="DN1" s="169"/>
      <c r="DO1" s="169"/>
      <c r="DP1" s="169"/>
      <c r="DQ1" s="169"/>
      <c r="DR1" s="169"/>
      <c r="DS1" s="169"/>
      <c r="DT1" s="169"/>
      <c r="DU1" s="169"/>
      <c r="DV1" s="169"/>
      <c r="DW1" s="169"/>
      <c r="DX1" s="169"/>
      <c r="DY1" s="169"/>
      <c r="DZ1" s="169"/>
      <c r="EA1" s="169"/>
      <c r="EB1" s="169"/>
      <c r="EC1" s="169"/>
      <c r="ED1" s="169"/>
      <c r="EE1" s="169"/>
      <c r="EF1" s="169"/>
      <c r="EG1" s="169"/>
      <c r="EH1" s="169"/>
      <c r="EI1" s="169"/>
      <c r="EJ1" s="169"/>
      <c r="EK1" s="169"/>
      <c r="EL1" s="169"/>
      <c r="EM1" s="169"/>
      <c r="EN1" s="169"/>
      <c r="EO1" s="169"/>
      <c r="EP1" s="169"/>
      <c r="EQ1" s="169"/>
      <c r="ER1" s="169"/>
      <c r="ES1" s="169"/>
      <c r="ET1" s="169"/>
      <c r="EU1" s="169"/>
      <c r="EV1" s="169"/>
      <c r="EW1" s="169"/>
      <c r="EX1" s="169"/>
      <c r="EY1" s="169"/>
      <c r="EZ1" s="169"/>
      <c r="FA1" s="169"/>
      <c r="FB1" s="169"/>
      <c r="FC1" s="169"/>
      <c r="FD1" s="169"/>
      <c r="FE1" s="169"/>
      <c r="FF1" s="169"/>
      <c r="FG1" s="169"/>
      <c r="FH1" s="169"/>
      <c r="FI1" s="169"/>
      <c r="FJ1" s="169"/>
      <c r="FK1" s="169"/>
      <c r="FL1" s="169"/>
      <c r="FM1" s="169"/>
      <c r="FN1" s="169"/>
      <c r="FO1" s="169"/>
      <c r="FP1" s="169"/>
      <c r="FQ1" s="169"/>
      <c r="FR1" s="169"/>
      <c r="FS1" s="169"/>
      <c r="FT1" s="169"/>
      <c r="FU1" s="169"/>
      <c r="FV1" s="169"/>
      <c r="FW1" s="169"/>
      <c r="FX1" s="169"/>
      <c r="FY1" s="169"/>
      <c r="FZ1" s="169"/>
      <c r="GA1" s="169"/>
      <c r="GB1" s="169"/>
      <c r="GC1" s="169"/>
      <c r="GD1" s="169"/>
      <c r="GE1" s="169"/>
      <c r="GF1" s="169"/>
      <c r="GG1" s="169"/>
      <c r="GH1" s="169"/>
      <c r="GI1" s="169"/>
      <c r="GJ1" s="169"/>
      <c r="GK1" s="169"/>
      <c r="GL1" s="169"/>
      <c r="GM1" s="169"/>
      <c r="GN1" s="169"/>
      <c r="GO1" s="169"/>
      <c r="GP1" s="169"/>
      <c r="GQ1" s="169"/>
      <c r="GR1" s="169"/>
      <c r="GS1" s="169"/>
      <c r="GT1" s="169"/>
      <c r="GU1" s="169"/>
      <c r="GV1" s="169"/>
      <c r="GW1" s="169"/>
      <c r="GX1" s="169"/>
      <c r="GY1" s="169"/>
      <c r="GZ1" s="169"/>
      <c r="HA1" s="169"/>
      <c r="HB1" s="169"/>
      <c r="HC1" s="169"/>
      <c r="HD1" s="169"/>
      <c r="HE1" s="169"/>
      <c r="HF1" s="169"/>
      <c r="HG1" s="169"/>
      <c r="HH1" s="169"/>
      <c r="HI1" s="169"/>
      <c r="HJ1" s="169"/>
      <c r="HK1" s="169"/>
      <c r="HL1" s="169"/>
      <c r="HM1" s="169"/>
      <c r="HN1" s="169"/>
      <c r="HO1" s="169"/>
      <c r="HP1" s="169"/>
      <c r="HQ1" s="169"/>
      <c r="HR1" s="169"/>
      <c r="HS1" s="169"/>
      <c r="HT1" s="169"/>
      <c r="HU1" s="169"/>
      <c r="HV1" s="169"/>
      <c r="HW1" s="169"/>
      <c r="HX1" s="169"/>
      <c r="HY1" s="169"/>
      <c r="HZ1" s="169"/>
      <c r="IA1" s="169"/>
      <c r="IB1" s="169"/>
      <c r="IC1" s="169"/>
      <c r="ID1" s="169"/>
      <c r="IE1" s="169"/>
      <c r="IF1" s="169"/>
      <c r="IG1" s="169"/>
      <c r="IH1" s="169"/>
      <c r="II1" s="169"/>
      <c r="IJ1" s="169"/>
      <c r="IK1" s="169"/>
      <c r="IL1" s="169"/>
      <c r="IM1" s="169"/>
      <c r="IN1" s="169"/>
      <c r="IO1" s="169"/>
      <c r="IP1" s="169"/>
      <c r="IQ1" s="169"/>
      <c r="IR1" s="169"/>
      <c r="IS1" s="169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</row>
    <row r="2" spans="1:283">
      <c r="E2" s="179"/>
      <c r="L2" s="180"/>
      <c r="M2" s="180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C2" s="181"/>
      <c r="JW2" s="182"/>
    </row>
    <row r="3" spans="1:283">
      <c r="M3" s="186"/>
      <c r="N3" s="186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C3" s="181"/>
      <c r="IS3" s="183"/>
      <c r="IZ3" s="184"/>
      <c r="JB3" s="184"/>
      <c r="JW3" s="185"/>
    </row>
    <row r="4" spans="1:283">
      <c r="E4" s="245"/>
      <c r="F4" s="186"/>
    </row>
    <row r="5" spans="1:283" ht="39.950000000000003" customHeight="1">
      <c r="B5" s="250" t="s">
        <v>41</v>
      </c>
      <c r="C5" s="251" t="s">
        <v>40</v>
      </c>
      <c r="D5" s="251" t="s">
        <v>100</v>
      </c>
      <c r="E5" s="252" t="s">
        <v>508</v>
      </c>
      <c r="F5" s="253" t="s">
        <v>79</v>
      </c>
      <c r="G5" s="251" t="s">
        <v>509</v>
      </c>
      <c r="H5" s="251" t="s">
        <v>46</v>
      </c>
      <c r="I5" s="251" t="s">
        <v>510</v>
      </c>
      <c r="J5" s="251" t="s">
        <v>511</v>
      </c>
      <c r="K5" s="251" t="s">
        <v>47</v>
      </c>
      <c r="L5" s="254" t="s">
        <v>101</v>
      </c>
      <c r="M5" s="255" t="s">
        <v>530</v>
      </c>
      <c r="N5" s="256" t="s">
        <v>512</v>
      </c>
      <c r="O5" t="s">
        <v>568</v>
      </c>
      <c r="P5" s="253" t="s">
        <v>80</v>
      </c>
      <c r="Q5" s="253" t="s">
        <v>81</v>
      </c>
      <c r="R5" s="253" t="s">
        <v>82</v>
      </c>
      <c r="S5" s="253" t="s">
        <v>83</v>
      </c>
      <c r="T5" s="253" t="s">
        <v>84</v>
      </c>
      <c r="U5" s="253" t="s">
        <v>85</v>
      </c>
      <c r="V5" s="257" t="s">
        <v>86</v>
      </c>
      <c r="W5" s="257" t="s">
        <v>87</v>
      </c>
      <c r="X5" s="251" t="s">
        <v>425</v>
      </c>
      <c r="Y5" s="251" t="s">
        <v>426</v>
      </c>
    </row>
    <row r="6" spans="1:283">
      <c r="B6" s="248"/>
      <c r="C6" s="187"/>
      <c r="D6" s="65"/>
      <c r="E6" s="231"/>
      <c r="F6" s="188"/>
      <c r="G6" s="65"/>
      <c r="H6" s="65"/>
      <c r="I6" s="65"/>
      <c r="J6" s="65"/>
      <c r="K6" s="65"/>
      <c r="L6" s="189"/>
      <c r="M6" s="232"/>
      <c r="N6" s="233"/>
      <c r="O6"/>
      <c r="P6" s="188"/>
      <c r="Q6" s="188"/>
      <c r="R6" s="188"/>
      <c r="S6" s="188"/>
      <c r="T6" s="188"/>
      <c r="U6" s="188"/>
      <c r="V6" s="234"/>
      <c r="W6" s="234"/>
      <c r="X6" s="65"/>
      <c r="Y6" s="65"/>
      <c r="AA6" s="258"/>
    </row>
    <row r="7" spans="1:283">
      <c r="AA7" s="258"/>
    </row>
    <row r="8" spans="1:283">
      <c r="AA8" s="258"/>
    </row>
    <row r="9" spans="1:283">
      <c r="AA9" s="258"/>
    </row>
    <row r="10" spans="1:283">
      <c r="A10" s="190"/>
      <c r="AA10" s="258"/>
    </row>
    <row r="11" spans="1:283">
      <c r="A11" s="190"/>
      <c r="AA11" s="258"/>
    </row>
    <row r="12" spans="1:283">
      <c r="AA12" s="258"/>
    </row>
    <row r="13" spans="1:283">
      <c r="AA13" s="258"/>
    </row>
    <row r="14" spans="1:283">
      <c r="AA14" s="258"/>
    </row>
    <row r="15" spans="1:283">
      <c r="A15" s="190"/>
      <c r="AA15" s="258"/>
    </row>
    <row r="16" spans="1:283">
      <c r="AA16" s="258"/>
    </row>
    <row r="17" spans="1:27">
      <c r="AA17" s="258"/>
    </row>
    <row r="18" spans="1:27">
      <c r="AA18" s="258"/>
    </row>
    <row r="19" spans="1:27">
      <c r="A19" s="190"/>
      <c r="AA19" s="258"/>
    </row>
    <row r="20" spans="1:27">
      <c r="AA20" s="258"/>
    </row>
    <row r="21" spans="1:27">
      <c r="AA21" s="258"/>
    </row>
    <row r="22" spans="1:27">
      <c r="AA22" s="258"/>
    </row>
    <row r="23" spans="1:27">
      <c r="AA23" s="258"/>
    </row>
    <row r="24" spans="1:27">
      <c r="AA24" s="258"/>
    </row>
    <row r="25" spans="1:27">
      <c r="AA25" s="258"/>
    </row>
    <row r="26" spans="1:27">
      <c r="AA26" s="258"/>
    </row>
    <row r="27" spans="1:27">
      <c r="AA27" s="258"/>
    </row>
    <row r="28" spans="1:27">
      <c r="AA28" s="258"/>
    </row>
    <row r="29" spans="1:27">
      <c r="AA29" s="258"/>
    </row>
    <row r="30" spans="1:27">
      <c r="AA30" s="258"/>
    </row>
    <row r="31" spans="1:27">
      <c r="AA31" s="258"/>
    </row>
    <row r="32" spans="1:27">
      <c r="AA32" s="258"/>
    </row>
    <row r="33" spans="27:27">
      <c r="AA33" s="258"/>
    </row>
    <row r="34" spans="27:27">
      <c r="AA34" s="258"/>
    </row>
    <row r="35" spans="27:27">
      <c r="AA35" s="258"/>
    </row>
    <row r="36" spans="27:27">
      <c r="AA36" s="258"/>
    </row>
    <row r="37" spans="27:27">
      <c r="AA37" s="258"/>
    </row>
    <row r="38" spans="27:27">
      <c r="AA38" s="258"/>
    </row>
    <row r="39" spans="27:27">
      <c r="AA39" s="258"/>
    </row>
    <row r="40" spans="27:27">
      <c r="AA40" s="258"/>
    </row>
    <row r="41" spans="27:27">
      <c r="AA41" s="258"/>
    </row>
    <row r="42" spans="27:27">
      <c r="AA42" s="258"/>
    </row>
    <row r="43" spans="27:27">
      <c r="AA43" s="258"/>
    </row>
    <row r="44" spans="27:27">
      <c r="AA44" s="258"/>
    </row>
    <row r="45" spans="27:27">
      <c r="AA45" s="258"/>
    </row>
    <row r="46" spans="27:27">
      <c r="AA46" s="258"/>
    </row>
    <row r="47" spans="27:27">
      <c r="AA47" s="258"/>
    </row>
    <row r="48" spans="27:27">
      <c r="AA48" s="258"/>
    </row>
    <row r="49" spans="27:27">
      <c r="AA49" s="258"/>
    </row>
    <row r="50" spans="27:27">
      <c r="AA50" s="258"/>
    </row>
    <row r="307" spans="26:242">
      <c r="EG307" s="190"/>
      <c r="EH307" s="190"/>
      <c r="EI307" s="190"/>
      <c r="EJ307" s="190"/>
      <c r="EK307" s="190"/>
      <c r="EL307" s="190"/>
      <c r="EM307" s="190"/>
      <c r="EN307" s="190"/>
      <c r="EO307" s="190"/>
      <c r="EP307" s="190"/>
      <c r="EQ307" s="190"/>
      <c r="ER307" s="190"/>
      <c r="ES307" s="190"/>
      <c r="ET307" s="190"/>
      <c r="EU307" s="190"/>
      <c r="EV307" s="190"/>
      <c r="EW307" s="190"/>
      <c r="EX307" s="190"/>
      <c r="EY307" s="190"/>
      <c r="EZ307" s="190"/>
      <c r="FA307" s="190"/>
      <c r="FB307" s="190"/>
    </row>
    <row r="308" spans="26:242">
      <c r="Z308" s="190"/>
      <c r="AA308" s="190"/>
      <c r="AB308" s="190"/>
      <c r="AC308" s="190"/>
      <c r="AD308" s="190"/>
      <c r="AE308" s="190"/>
      <c r="AF308" s="190"/>
      <c r="AG308" s="190"/>
      <c r="AH308" s="190"/>
      <c r="AI308" s="190"/>
      <c r="AJ308" s="190"/>
      <c r="AK308" s="190"/>
      <c r="AL308" s="190"/>
      <c r="AM308" s="190"/>
      <c r="AN308" s="190"/>
      <c r="AO308" s="190"/>
      <c r="AQ308" s="190"/>
      <c r="AR308" s="190"/>
      <c r="AS308" s="190"/>
      <c r="AT308" s="190"/>
      <c r="AU308" s="190"/>
      <c r="AV308" s="190"/>
      <c r="AW308" s="190"/>
      <c r="AX308" s="190"/>
      <c r="AY308" s="190"/>
      <c r="AZ308" s="190"/>
      <c r="BA308" s="190"/>
      <c r="BB308" s="190"/>
      <c r="BC308" s="190"/>
      <c r="BD308" s="190"/>
      <c r="BE308" s="190"/>
      <c r="BF308" s="190"/>
      <c r="BG308" s="190"/>
      <c r="BH308" s="190"/>
      <c r="BI308" s="190"/>
      <c r="BJ308" s="190"/>
      <c r="BK308" s="190"/>
      <c r="BL308" s="190"/>
      <c r="BN308" s="190"/>
      <c r="BO308" s="190"/>
      <c r="BP308" s="190"/>
      <c r="BQ308" s="190"/>
      <c r="BR308" s="190"/>
      <c r="BS308" s="190"/>
      <c r="BT308" s="190"/>
      <c r="BU308" s="190"/>
      <c r="BV308" s="190"/>
      <c r="BW308" s="190"/>
      <c r="BX308" s="190"/>
      <c r="BY308" s="190"/>
      <c r="BZ308" s="190"/>
      <c r="CA308" s="190"/>
      <c r="CB308" s="190"/>
      <c r="CC308" s="190"/>
      <c r="CD308" s="190"/>
      <c r="CE308" s="190"/>
      <c r="CF308" s="190"/>
      <c r="CG308" s="190"/>
      <c r="CH308" s="190"/>
      <c r="CI308" s="190"/>
      <c r="CK308" s="190"/>
      <c r="CL308" s="190"/>
      <c r="CM308" s="190"/>
      <c r="CN308" s="190"/>
      <c r="CO308" s="190"/>
      <c r="CP308" s="190"/>
      <c r="CQ308" s="190"/>
      <c r="CR308" s="190"/>
      <c r="CS308" s="190"/>
      <c r="CT308" s="190"/>
      <c r="CU308" s="190"/>
      <c r="CV308" s="190"/>
      <c r="CW308" s="190"/>
      <c r="CX308" s="190"/>
      <c r="CY308" s="190"/>
      <c r="CZ308" s="190"/>
      <c r="DA308" s="190"/>
      <c r="DB308" s="190"/>
      <c r="DC308" s="190"/>
      <c r="DD308" s="190"/>
      <c r="DE308" s="190"/>
      <c r="DF308" s="190"/>
      <c r="DH308" s="190"/>
      <c r="DI308" s="190"/>
      <c r="DJ308" s="190"/>
      <c r="DK308" s="190"/>
      <c r="DL308" s="190"/>
      <c r="DM308" s="190"/>
      <c r="DN308" s="190"/>
      <c r="DO308" s="190"/>
      <c r="DP308" s="190"/>
      <c r="DQ308" s="190"/>
      <c r="DR308" s="190"/>
      <c r="DS308" s="190"/>
      <c r="DT308" s="190"/>
      <c r="DU308" s="190"/>
      <c r="DV308" s="190"/>
      <c r="DW308" s="190"/>
      <c r="DX308" s="190"/>
      <c r="DY308" s="190"/>
      <c r="DZ308" s="190"/>
      <c r="EA308" s="190"/>
      <c r="EB308" s="190"/>
      <c r="EC308" s="190"/>
      <c r="EG308" s="190"/>
      <c r="EH308" s="190"/>
      <c r="EI308" s="190"/>
      <c r="EJ308" s="190"/>
      <c r="EK308" s="190"/>
      <c r="EL308" s="190"/>
      <c r="EM308" s="190"/>
      <c r="EN308" s="190"/>
      <c r="EO308" s="190"/>
      <c r="EP308" s="190"/>
      <c r="EQ308" s="190"/>
      <c r="ER308" s="190"/>
      <c r="ES308" s="190"/>
      <c r="ET308" s="190"/>
      <c r="EU308" s="190"/>
      <c r="EV308" s="190"/>
      <c r="EW308" s="190"/>
      <c r="EX308" s="190"/>
      <c r="EY308" s="190"/>
      <c r="EZ308" s="190"/>
      <c r="FA308" s="190"/>
      <c r="FB308" s="190"/>
      <c r="FE308" s="190"/>
      <c r="FF308" s="190"/>
      <c r="FG308" s="190"/>
      <c r="FH308" s="190"/>
      <c r="FI308" s="190"/>
      <c r="FJ308" s="190"/>
      <c r="FK308" s="190"/>
      <c r="FL308" s="190"/>
      <c r="FM308" s="190"/>
      <c r="FN308" s="190"/>
      <c r="FO308" s="190"/>
      <c r="FP308" s="190"/>
      <c r="FQ308" s="190"/>
      <c r="FR308" s="190"/>
      <c r="FS308" s="190"/>
      <c r="FT308" s="190"/>
      <c r="FU308" s="190"/>
      <c r="FV308" s="190"/>
      <c r="FW308" s="190"/>
      <c r="FX308" s="190"/>
      <c r="FY308" s="190"/>
      <c r="FZ308" s="190"/>
    </row>
    <row r="309" spans="26:242">
      <c r="Z309" s="190"/>
      <c r="AA309" s="190"/>
      <c r="AB309" s="190"/>
      <c r="AC309" s="190"/>
      <c r="AD309" s="190"/>
      <c r="AE309" s="190"/>
      <c r="AF309" s="190"/>
      <c r="AG309" s="190"/>
      <c r="AH309" s="190"/>
      <c r="AI309" s="190"/>
      <c r="AJ309" s="190"/>
      <c r="AK309" s="190"/>
      <c r="AL309" s="190"/>
      <c r="AM309" s="190"/>
      <c r="AN309" s="190"/>
      <c r="AP309" s="190"/>
      <c r="AQ309" s="190"/>
      <c r="AR309" s="190"/>
      <c r="AS309" s="190"/>
      <c r="AT309" s="190"/>
      <c r="AU309" s="190"/>
      <c r="AV309" s="190"/>
      <c r="AW309" s="190"/>
      <c r="AX309" s="190"/>
      <c r="AY309" s="190"/>
      <c r="AZ309" s="190"/>
      <c r="BA309" s="190"/>
      <c r="BB309" s="190"/>
      <c r="BC309" s="190"/>
      <c r="BD309" s="190"/>
      <c r="BE309" s="190"/>
      <c r="BF309" s="190"/>
      <c r="BG309" s="190"/>
      <c r="BH309" s="190"/>
      <c r="BI309" s="190"/>
      <c r="BJ309" s="190"/>
      <c r="BK309" s="190"/>
      <c r="BM309" s="190"/>
      <c r="BN309" s="190"/>
      <c r="BO309" s="190"/>
      <c r="BP309" s="190"/>
      <c r="BQ309" s="190"/>
      <c r="BR309" s="190"/>
      <c r="BS309" s="190"/>
      <c r="BT309" s="190"/>
      <c r="BU309" s="190"/>
      <c r="BV309" s="190"/>
      <c r="BW309" s="190"/>
      <c r="BX309" s="190"/>
      <c r="BY309" s="190"/>
      <c r="BZ309" s="190"/>
      <c r="CA309" s="190"/>
      <c r="CB309" s="190"/>
      <c r="CC309" s="190"/>
      <c r="CD309" s="190"/>
      <c r="CE309" s="190"/>
      <c r="CF309" s="190"/>
      <c r="CG309" s="190"/>
      <c r="CH309" s="190"/>
      <c r="CJ309" s="190"/>
      <c r="CK309" s="190"/>
      <c r="CL309" s="190"/>
      <c r="CM309" s="190"/>
      <c r="CN309" s="190"/>
      <c r="CO309" s="190"/>
      <c r="CP309" s="190"/>
      <c r="CQ309" s="190"/>
      <c r="CR309" s="190"/>
      <c r="CS309" s="190"/>
      <c r="CT309" s="190"/>
      <c r="CU309" s="190"/>
      <c r="CV309" s="190"/>
      <c r="CW309" s="190"/>
      <c r="CX309" s="190"/>
      <c r="CY309" s="190"/>
      <c r="CZ309" s="190"/>
      <c r="DA309" s="190"/>
      <c r="DB309" s="190"/>
      <c r="DC309" s="190"/>
      <c r="DD309" s="190"/>
      <c r="DE309" s="190"/>
      <c r="DG309" s="190"/>
      <c r="DH309" s="190"/>
      <c r="DI309" s="190"/>
      <c r="DJ309" s="190"/>
      <c r="DK309" s="190"/>
      <c r="DL309" s="190"/>
      <c r="DM309" s="190"/>
      <c r="DN309" s="190"/>
      <c r="DO309" s="190"/>
      <c r="DP309" s="190"/>
      <c r="DQ309" s="190"/>
      <c r="DR309" s="190"/>
      <c r="DS309" s="190"/>
      <c r="DT309" s="190"/>
      <c r="DU309" s="190"/>
      <c r="DV309" s="190"/>
      <c r="DW309" s="190"/>
      <c r="DX309" s="190"/>
      <c r="DY309" s="190"/>
      <c r="DZ309" s="190"/>
      <c r="EA309" s="190"/>
      <c r="EB309" s="190"/>
      <c r="ED309" s="190"/>
      <c r="EE309" s="190"/>
      <c r="EF309" s="190"/>
      <c r="EG309" s="190"/>
      <c r="EH309" s="190"/>
      <c r="EI309" s="190"/>
      <c r="EJ309" s="190"/>
      <c r="EK309" s="190"/>
      <c r="EL309" s="190"/>
      <c r="EM309" s="190"/>
      <c r="EN309" s="190"/>
      <c r="EO309" s="190"/>
      <c r="EP309" s="190"/>
      <c r="EQ309" s="190"/>
      <c r="ER309" s="190"/>
      <c r="ES309" s="190"/>
      <c r="ET309" s="190"/>
      <c r="EU309" s="190"/>
      <c r="EV309" s="190"/>
      <c r="EW309" s="190"/>
      <c r="EX309" s="190"/>
      <c r="EY309" s="190"/>
      <c r="GA309" s="190"/>
      <c r="GB309" s="190"/>
      <c r="GC309" s="190"/>
      <c r="GD309" s="190"/>
      <c r="GE309" s="190"/>
      <c r="GF309" s="190"/>
      <c r="GG309" s="190"/>
      <c r="GH309" s="190"/>
      <c r="GI309" s="190"/>
      <c r="GJ309" s="190"/>
      <c r="GK309" s="190"/>
      <c r="GL309" s="190"/>
      <c r="GM309" s="190"/>
      <c r="GN309" s="190"/>
      <c r="GO309" s="190"/>
      <c r="GP309" s="190"/>
      <c r="GQ309" s="190"/>
      <c r="GR309" s="190"/>
      <c r="GS309" s="190"/>
      <c r="GT309" s="190"/>
      <c r="GU309" s="190"/>
      <c r="GV309" s="190"/>
    </row>
    <row r="312" spans="26:242">
      <c r="AG312" s="190"/>
      <c r="AH312" s="190"/>
      <c r="AI312" s="190"/>
      <c r="AJ312" s="190"/>
      <c r="AK312" s="190"/>
      <c r="AL312" s="190"/>
      <c r="AM312" s="190"/>
      <c r="AN312" s="190"/>
      <c r="AO312" s="190"/>
      <c r="AP312" s="190"/>
      <c r="AQ312" s="190"/>
      <c r="AR312" s="190"/>
      <c r="AS312" s="190"/>
      <c r="AT312" s="190"/>
      <c r="AU312" s="190"/>
      <c r="AV312" s="190"/>
      <c r="AW312" s="190"/>
      <c r="AX312" s="190"/>
      <c r="AY312" s="190"/>
      <c r="AZ312" s="190"/>
      <c r="BA312" s="190"/>
      <c r="BB312" s="190"/>
      <c r="GN312" s="190"/>
      <c r="GO312" s="190"/>
      <c r="GP312" s="190"/>
      <c r="GQ312" s="190"/>
      <c r="GR312" s="190"/>
      <c r="GS312" s="190"/>
      <c r="GT312" s="190"/>
      <c r="GU312" s="190"/>
      <c r="GV312" s="190"/>
      <c r="GW312" s="190"/>
      <c r="GX312" s="190"/>
      <c r="GY312" s="190"/>
      <c r="GZ312" s="190"/>
      <c r="HA312" s="190"/>
      <c r="HB312" s="190"/>
      <c r="HC312" s="190"/>
      <c r="HD312" s="190"/>
      <c r="HE312" s="190"/>
      <c r="HF312" s="190"/>
      <c r="HG312" s="190"/>
      <c r="HH312" s="190"/>
      <c r="HI312" s="190"/>
    </row>
    <row r="313" spans="26:242">
      <c r="AG313" s="190"/>
      <c r="AH313" s="190"/>
      <c r="AI313" s="190"/>
      <c r="AJ313" s="190"/>
      <c r="AK313" s="190"/>
      <c r="AL313" s="190"/>
      <c r="AM313" s="190"/>
      <c r="AN313" s="190"/>
      <c r="AO313" s="190"/>
      <c r="AP313" s="190"/>
      <c r="AQ313" s="190"/>
      <c r="AR313" s="190"/>
      <c r="AS313" s="190"/>
      <c r="AT313" s="190"/>
      <c r="AU313" s="190"/>
      <c r="AV313" s="190"/>
      <c r="AW313" s="190"/>
      <c r="AX313" s="190"/>
      <c r="AY313" s="190"/>
      <c r="AZ313" s="190"/>
      <c r="BA313" s="190"/>
      <c r="BB313" s="190"/>
      <c r="BD313" s="190"/>
      <c r="BE313" s="190"/>
      <c r="BF313" s="190"/>
      <c r="BG313" s="190"/>
      <c r="BH313" s="190"/>
      <c r="BI313" s="190"/>
      <c r="BJ313" s="190"/>
      <c r="BK313" s="190"/>
      <c r="BL313" s="190"/>
      <c r="BM313" s="190"/>
      <c r="BN313" s="190"/>
      <c r="BO313" s="190"/>
      <c r="BP313" s="190"/>
      <c r="BQ313" s="190"/>
      <c r="BR313" s="190"/>
      <c r="BS313" s="190"/>
      <c r="BT313" s="190"/>
      <c r="BU313" s="190"/>
      <c r="BV313" s="190"/>
      <c r="BW313" s="190"/>
      <c r="BX313" s="190"/>
      <c r="BY313" s="190"/>
      <c r="CA313" s="190"/>
      <c r="CB313" s="190"/>
      <c r="CC313" s="190"/>
      <c r="CD313" s="190"/>
      <c r="CE313" s="190"/>
      <c r="CF313" s="190"/>
      <c r="CG313" s="190"/>
      <c r="CH313" s="190"/>
      <c r="CI313" s="190"/>
      <c r="CJ313" s="190"/>
      <c r="CK313" s="190"/>
      <c r="CL313" s="190"/>
      <c r="CM313" s="190"/>
      <c r="CN313" s="190"/>
      <c r="CO313" s="190"/>
      <c r="CP313" s="190"/>
      <c r="CQ313" s="190"/>
      <c r="CR313" s="190"/>
      <c r="CS313" s="190"/>
      <c r="CT313" s="190"/>
      <c r="CU313" s="190"/>
      <c r="CV313" s="190"/>
      <c r="CX313" s="190"/>
      <c r="CY313" s="190"/>
      <c r="CZ313" s="190"/>
      <c r="DA313" s="190"/>
      <c r="DB313" s="190"/>
      <c r="DC313" s="190"/>
      <c r="DD313" s="190"/>
      <c r="DE313" s="190"/>
      <c r="DF313" s="190"/>
      <c r="DG313" s="190"/>
      <c r="DH313" s="190"/>
      <c r="DI313" s="190"/>
      <c r="DJ313" s="190"/>
      <c r="DK313" s="190"/>
      <c r="DL313" s="190"/>
      <c r="DM313" s="190"/>
      <c r="DN313" s="190"/>
      <c r="DO313" s="190"/>
      <c r="DP313" s="190"/>
      <c r="DQ313" s="190"/>
      <c r="DR313" s="190"/>
      <c r="DS313" s="190"/>
      <c r="DU313" s="190"/>
      <c r="DV313" s="190"/>
      <c r="DW313" s="190"/>
      <c r="DX313" s="190"/>
      <c r="DY313" s="190"/>
      <c r="DZ313" s="190"/>
      <c r="EA313" s="190"/>
      <c r="EB313" s="190"/>
      <c r="EC313" s="190"/>
      <c r="ED313" s="190"/>
      <c r="EE313" s="190"/>
      <c r="EF313" s="190"/>
      <c r="EG313" s="190"/>
      <c r="EH313" s="190"/>
      <c r="EI313" s="190"/>
      <c r="EJ313" s="190"/>
      <c r="EK313" s="190"/>
      <c r="EL313" s="190"/>
      <c r="EM313" s="190"/>
      <c r="EN313" s="190"/>
      <c r="EO313" s="190"/>
      <c r="EP313" s="190"/>
      <c r="ER313" s="190"/>
      <c r="ES313" s="190"/>
      <c r="ET313" s="190"/>
      <c r="EU313" s="190"/>
      <c r="EV313" s="190"/>
      <c r="EW313" s="190"/>
      <c r="EX313" s="190"/>
      <c r="EY313" s="190"/>
      <c r="EZ313" s="190"/>
      <c r="FA313" s="190"/>
      <c r="FB313" s="190"/>
      <c r="FC313" s="190"/>
      <c r="FD313" s="190"/>
      <c r="FE313" s="190"/>
      <c r="FF313" s="190"/>
      <c r="FG313" s="190"/>
      <c r="FH313" s="190"/>
      <c r="FI313" s="190"/>
      <c r="FJ313" s="190"/>
      <c r="FK313" s="190"/>
      <c r="FL313" s="190"/>
      <c r="FM313" s="190"/>
      <c r="FO313" s="190"/>
      <c r="FP313" s="190"/>
      <c r="FQ313" s="190"/>
      <c r="FR313" s="190"/>
      <c r="FS313" s="190"/>
      <c r="FT313" s="190"/>
      <c r="FU313" s="190"/>
      <c r="FV313" s="190"/>
      <c r="FW313" s="190"/>
      <c r="FX313" s="190"/>
      <c r="FY313" s="190"/>
      <c r="FZ313" s="190"/>
      <c r="GA313" s="190"/>
      <c r="GB313" s="190"/>
      <c r="GC313" s="190"/>
      <c r="GD313" s="190"/>
      <c r="GE313" s="190"/>
      <c r="GF313" s="190"/>
      <c r="GG313" s="190"/>
      <c r="GH313" s="190"/>
      <c r="GI313" s="190"/>
      <c r="GJ313" s="190"/>
      <c r="HL313" s="190"/>
      <c r="HM313" s="190"/>
      <c r="HN313" s="190"/>
      <c r="HO313" s="190"/>
      <c r="HP313" s="190"/>
      <c r="HQ313" s="190"/>
      <c r="HR313" s="190"/>
      <c r="HS313" s="190"/>
      <c r="HT313" s="190"/>
      <c r="HU313" s="190"/>
      <c r="HV313" s="190"/>
      <c r="HW313" s="190"/>
      <c r="HX313" s="190"/>
      <c r="HY313" s="190"/>
      <c r="HZ313" s="190"/>
      <c r="IA313" s="190"/>
      <c r="IB313" s="190"/>
      <c r="IC313" s="190"/>
      <c r="ID313" s="190"/>
      <c r="IE313" s="190"/>
      <c r="IF313" s="190"/>
      <c r="IG313" s="190"/>
    </row>
    <row r="314" spans="26:242">
      <c r="Z314" s="190"/>
      <c r="AA314" s="190"/>
      <c r="AB314" s="190"/>
      <c r="AC314" s="190"/>
      <c r="AD314" s="190"/>
      <c r="AE314" s="190"/>
    </row>
    <row r="315" spans="26:242">
      <c r="Z315" s="190"/>
      <c r="AA315" s="190"/>
      <c r="AB315" s="190"/>
      <c r="AC315" s="190"/>
      <c r="AD315" s="190"/>
      <c r="AE315" s="190"/>
    </row>
    <row r="316" spans="26:242">
      <c r="Z316" s="65"/>
      <c r="GO316" s="190"/>
      <c r="GP316" s="190"/>
      <c r="GQ316" s="190"/>
      <c r="GR316" s="190"/>
      <c r="GS316" s="190"/>
      <c r="GT316" s="190"/>
      <c r="GU316" s="190"/>
      <c r="GV316" s="190"/>
      <c r="GW316" s="190"/>
      <c r="GX316" s="190"/>
      <c r="GY316" s="190"/>
      <c r="GZ316" s="190"/>
      <c r="HA316" s="190"/>
      <c r="HB316" s="190"/>
      <c r="HC316" s="190"/>
      <c r="HD316" s="190"/>
      <c r="HE316" s="190"/>
      <c r="HF316" s="190"/>
      <c r="HG316" s="190"/>
      <c r="HH316" s="190"/>
      <c r="HI316" s="190"/>
      <c r="HJ316" s="190"/>
    </row>
    <row r="317" spans="26:242">
      <c r="Z317" s="65"/>
      <c r="AH317" s="190"/>
      <c r="AI317" s="190"/>
      <c r="AJ317" s="190"/>
      <c r="AK317" s="190"/>
      <c r="AL317" s="190"/>
      <c r="AM317" s="190"/>
      <c r="AN317" s="190"/>
      <c r="AO317" s="190"/>
      <c r="AP317" s="190"/>
      <c r="AQ317" s="190"/>
      <c r="AR317" s="190"/>
      <c r="AS317" s="190"/>
      <c r="AT317" s="190"/>
      <c r="AU317" s="190"/>
      <c r="AV317" s="190"/>
      <c r="AW317" s="190"/>
      <c r="AX317" s="190"/>
      <c r="AY317" s="190"/>
      <c r="AZ317" s="190"/>
      <c r="BA317" s="190"/>
      <c r="BB317" s="190"/>
      <c r="BC317" s="190"/>
      <c r="BE317" s="190"/>
      <c r="BF317" s="190"/>
      <c r="BG317" s="190"/>
      <c r="BH317" s="190"/>
      <c r="BI317" s="190"/>
      <c r="BJ317" s="190"/>
      <c r="BK317" s="190"/>
      <c r="BL317" s="190"/>
      <c r="BM317" s="190"/>
      <c r="BN317" s="190"/>
      <c r="BO317" s="190"/>
      <c r="BP317" s="190"/>
      <c r="BQ317" s="190"/>
      <c r="BR317" s="190"/>
      <c r="BS317" s="190"/>
      <c r="BT317" s="190"/>
      <c r="BU317" s="190"/>
      <c r="BV317" s="190"/>
      <c r="BW317" s="190"/>
      <c r="BX317" s="190"/>
      <c r="BY317" s="190"/>
      <c r="BZ317" s="190"/>
      <c r="CB317" s="190"/>
      <c r="CC317" s="190"/>
      <c r="CD317" s="190"/>
      <c r="CE317" s="190"/>
      <c r="CF317" s="190"/>
      <c r="CG317" s="190"/>
      <c r="CH317" s="190"/>
      <c r="CI317" s="190"/>
      <c r="CJ317" s="190"/>
      <c r="CK317" s="190"/>
      <c r="CL317" s="190"/>
      <c r="CM317" s="190"/>
      <c r="CN317" s="190"/>
      <c r="CO317" s="190"/>
      <c r="CP317" s="190"/>
      <c r="CQ317" s="190"/>
      <c r="CR317" s="190"/>
      <c r="CS317" s="190"/>
      <c r="CT317" s="190"/>
      <c r="CU317" s="190"/>
      <c r="CV317" s="190"/>
      <c r="CW317" s="190"/>
      <c r="CY317" s="190"/>
      <c r="CZ317" s="190"/>
      <c r="DA317" s="190"/>
      <c r="DB317" s="190"/>
      <c r="DC317" s="190"/>
      <c r="DD317" s="190"/>
      <c r="DE317" s="190"/>
      <c r="DF317" s="190"/>
      <c r="DG317" s="190"/>
      <c r="DH317" s="190"/>
      <c r="DI317" s="190"/>
      <c r="DJ317" s="190"/>
      <c r="DK317" s="190"/>
      <c r="DL317" s="190"/>
      <c r="DM317" s="190"/>
      <c r="DN317" s="190"/>
      <c r="DO317" s="190"/>
      <c r="DP317" s="190"/>
      <c r="DQ317" s="190"/>
      <c r="DR317" s="190"/>
      <c r="DS317" s="190"/>
      <c r="DT317" s="190"/>
      <c r="DV317" s="190"/>
      <c r="DW317" s="190"/>
      <c r="DX317" s="190"/>
      <c r="DY317" s="190"/>
      <c r="DZ317" s="190"/>
      <c r="EA317" s="190"/>
      <c r="EB317" s="190"/>
      <c r="EC317" s="190"/>
      <c r="ED317" s="190"/>
      <c r="EE317" s="190"/>
      <c r="EF317" s="190"/>
      <c r="EG317" s="190"/>
      <c r="EH317" s="190"/>
      <c r="EI317" s="190"/>
      <c r="EJ317" s="190"/>
      <c r="EK317" s="190"/>
      <c r="EL317" s="190"/>
      <c r="EM317" s="190"/>
      <c r="EN317" s="190"/>
      <c r="EO317" s="190"/>
      <c r="EP317" s="190"/>
      <c r="EQ317" s="190"/>
      <c r="ES317" s="190"/>
      <c r="ET317" s="190"/>
      <c r="EU317" s="190"/>
      <c r="EV317" s="190"/>
      <c r="EW317" s="190"/>
      <c r="EX317" s="190"/>
      <c r="EY317" s="190"/>
      <c r="EZ317" s="190"/>
      <c r="FA317" s="190"/>
      <c r="FB317" s="190"/>
      <c r="FC317" s="190"/>
      <c r="FD317" s="190"/>
      <c r="FE317" s="190"/>
      <c r="FF317" s="190"/>
      <c r="FG317" s="190"/>
      <c r="FH317" s="190"/>
      <c r="FI317" s="190"/>
      <c r="FJ317" s="190"/>
      <c r="FK317" s="190"/>
      <c r="FL317" s="190"/>
      <c r="FM317" s="190"/>
      <c r="FN317" s="190"/>
      <c r="FP317" s="190"/>
      <c r="FQ317" s="190"/>
      <c r="FR317" s="190"/>
      <c r="FS317" s="190"/>
      <c r="FT317" s="190"/>
      <c r="FU317" s="190"/>
      <c r="FV317" s="190"/>
      <c r="FW317" s="190"/>
      <c r="FX317" s="190"/>
      <c r="FY317" s="190"/>
      <c r="FZ317" s="190"/>
      <c r="GA317" s="190"/>
      <c r="GB317" s="190"/>
      <c r="GC317" s="190"/>
      <c r="GD317" s="190"/>
      <c r="GE317" s="190"/>
      <c r="GF317" s="190"/>
      <c r="GG317" s="190"/>
      <c r="GH317" s="190"/>
      <c r="GI317" s="190"/>
      <c r="GJ317" s="190"/>
      <c r="GK317" s="190"/>
      <c r="HM317" s="190"/>
      <c r="HN317" s="190"/>
      <c r="HO317" s="190"/>
      <c r="HP317" s="190"/>
      <c r="HQ317" s="190"/>
      <c r="HR317" s="190"/>
      <c r="HS317" s="190"/>
      <c r="HT317" s="190"/>
      <c r="HU317" s="190"/>
      <c r="HV317" s="190"/>
      <c r="HW317" s="190"/>
      <c r="HX317" s="190"/>
      <c r="HY317" s="190"/>
      <c r="HZ317" s="190"/>
      <c r="IA317" s="190"/>
      <c r="IB317" s="190"/>
      <c r="IC317" s="190"/>
      <c r="ID317" s="190"/>
      <c r="IE317" s="190"/>
      <c r="IF317" s="190"/>
      <c r="IG317" s="190"/>
      <c r="IH317" s="190"/>
    </row>
    <row r="318" spans="26:242">
      <c r="Z318" s="65"/>
    </row>
    <row r="319" spans="26:242">
      <c r="Z319" s="65"/>
      <c r="AA319" s="190"/>
      <c r="AB319" s="190"/>
      <c r="AC319" s="190"/>
      <c r="AD319" s="190"/>
      <c r="AE319" s="190"/>
      <c r="AF319" s="190"/>
      <c r="AG319" s="190"/>
      <c r="AH319" s="190"/>
      <c r="AI319" s="190"/>
      <c r="AJ319" s="190"/>
      <c r="AK319" s="190"/>
      <c r="AL319" s="190"/>
      <c r="AM319" s="190"/>
      <c r="AN319" s="190"/>
    </row>
    <row r="320" spans="26:242">
      <c r="Z320" s="65"/>
    </row>
    <row r="321" spans="26:64">
      <c r="Z321" s="65"/>
      <c r="AQ321" s="190"/>
      <c r="AR321" s="190"/>
      <c r="AS321" s="190"/>
      <c r="AT321" s="190"/>
      <c r="AU321" s="190"/>
      <c r="AV321" s="190"/>
      <c r="AW321" s="190"/>
      <c r="AX321" s="190"/>
      <c r="AY321" s="190"/>
      <c r="AZ321" s="190"/>
      <c r="BA321" s="190"/>
      <c r="BB321" s="190"/>
      <c r="BC321" s="190"/>
      <c r="BD321" s="190"/>
      <c r="BE321" s="190"/>
      <c r="BF321" s="190"/>
      <c r="BG321" s="190"/>
      <c r="BH321" s="190"/>
      <c r="BI321" s="190"/>
      <c r="BJ321" s="190"/>
      <c r="BK321" s="190"/>
      <c r="BL321" s="190"/>
    </row>
    <row r="323" spans="26:64">
      <c r="Z323" s="190"/>
      <c r="AA323" s="190"/>
      <c r="AB323" s="190"/>
      <c r="AC323" s="190"/>
      <c r="AD323" s="190"/>
      <c r="AE323" s="190"/>
      <c r="AF323" s="190"/>
      <c r="AG323" s="190"/>
      <c r="AH323" s="190"/>
      <c r="AI323" s="190"/>
      <c r="AJ323" s="190"/>
      <c r="AK323" s="190"/>
      <c r="AL323" s="190"/>
      <c r="AM323" s="190"/>
      <c r="AN323" s="190"/>
      <c r="AO323" s="190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B5:Y5">
    <sortCondition ref="B6"/>
  </sortState>
  <phoneticPr fontId="49" type="noConversion"/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6" r:id="rId4" name="UploadButton">
              <controlPr defaultSize="0" autoFill="0" autoPict="0" macro="[0]!LoadFile" altText="Browse file source">
                <anchor moveWithCells="1">
                  <from>
                    <xdr:col>13</xdr:col>
                    <xdr:colOff>457200</xdr:colOff>
                    <xdr:row>1</xdr:row>
                    <xdr:rowOff>171450</xdr:rowOff>
                  </from>
                  <to>
                    <xdr:col>13</xdr:col>
                    <xdr:colOff>733425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AB15D-D002-4E69-BFF8-C1CA6A6DD746}">
  <sheetPr codeName="Sheet3"/>
  <dimension ref="A1:AB40"/>
  <sheetViews>
    <sheetView showGridLines="0" showRowColHeaders="0" zoomScaleNormal="100" workbookViewId="0">
      <pane ySplit="1" topLeftCell="A2" activePane="bottomLeft" state="frozen"/>
      <selection activeCell="G1" sqref="G1"/>
      <selection pane="bottomLeft" activeCell="B16" sqref="B16"/>
    </sheetView>
  </sheetViews>
  <sheetFormatPr defaultColWidth="11.7109375" defaultRowHeight="14.25"/>
  <cols>
    <col min="1" max="1" width="1.7109375" style="26" customWidth="1"/>
    <col min="2" max="2" width="8.7109375" style="26" customWidth="1"/>
    <col min="3" max="3" width="16.7109375" style="26" customWidth="1"/>
    <col min="4" max="4" width="1.7109375" style="26" customWidth="1"/>
    <col min="5" max="6" width="12.7109375" style="26" customWidth="1"/>
    <col min="7" max="7" width="11.7109375" style="26" customWidth="1"/>
    <col min="8" max="8" width="12.7109375" style="26" customWidth="1"/>
    <col min="9" max="9" width="11.7109375" style="26" customWidth="1"/>
    <col min="10" max="10" width="1.7109375" style="26" customWidth="1"/>
    <col min="11" max="13" width="12.7109375" style="26" customWidth="1"/>
    <col min="14" max="15" width="11.7109375" style="26" customWidth="1"/>
    <col min="16" max="16" width="1.7109375" style="26" customWidth="1"/>
    <col min="17" max="17" width="5.7109375" style="26" customWidth="1"/>
    <col min="18" max="18" width="12.7109375" style="26" customWidth="1"/>
    <col min="19" max="19" width="7.7109375" style="26" customWidth="1"/>
    <col min="20" max="20" width="1.7109375" style="27" customWidth="1"/>
    <col min="21" max="16384" width="11.7109375" style="26"/>
  </cols>
  <sheetData>
    <row r="1" spans="1:28" ht="20.25">
      <c r="A1" s="24"/>
      <c r="B1" s="23" t="s">
        <v>556</v>
      </c>
      <c r="C1" s="23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5"/>
      <c r="T1" s="25"/>
      <c r="U1" s="25"/>
      <c r="V1" s="25"/>
      <c r="W1" s="25"/>
      <c r="X1" s="25"/>
      <c r="Y1" s="25"/>
      <c r="Z1" s="25"/>
      <c r="AA1" s="25"/>
      <c r="AB1" s="25"/>
    </row>
    <row r="2" spans="1:28" ht="5.0999999999999996" customHeight="1">
      <c r="A2" s="27"/>
      <c r="C2" s="48"/>
      <c r="D2" s="68"/>
      <c r="U2" s="27"/>
      <c r="V2" s="26" t="s">
        <v>198</v>
      </c>
    </row>
    <row r="3" spans="1:28" ht="14.25" customHeight="1">
      <c r="A3" s="27"/>
      <c r="B3" s="431" t="str">
        <f>Season</f>
        <v>Season 2022 / 2022</v>
      </c>
      <c r="C3" s="431"/>
      <c r="D3" s="68"/>
      <c r="U3" s="27"/>
    </row>
    <row r="4" spans="1:28" ht="14.25" customHeight="1">
      <c r="B4" s="48"/>
      <c r="C4" s="48"/>
      <c r="U4" s="27"/>
    </row>
    <row r="5" spans="1:28">
      <c r="U5" s="27"/>
    </row>
    <row r="6" spans="1:28">
      <c r="U6" s="27"/>
    </row>
    <row r="7" spans="1:28">
      <c r="U7" s="27"/>
    </row>
    <row r="8" spans="1:28">
      <c r="U8" s="27"/>
    </row>
    <row r="9" spans="1:28">
      <c r="U9" s="27"/>
    </row>
    <row r="10" spans="1:28">
      <c r="U10" s="27"/>
    </row>
    <row r="11" spans="1:28">
      <c r="U11" s="27"/>
    </row>
    <row r="12" spans="1:28">
      <c r="U12" s="27"/>
    </row>
    <row r="13" spans="1:28">
      <c r="U13" s="27"/>
    </row>
    <row r="14" spans="1:28" ht="18">
      <c r="B14" s="45" t="s">
        <v>38</v>
      </c>
      <c r="C14" s="28"/>
      <c r="D14" s="26" t="s">
        <v>97</v>
      </c>
      <c r="Q14" s="44" t="s">
        <v>199</v>
      </c>
      <c r="R14" s="30"/>
      <c r="S14" s="30"/>
      <c r="U14" s="27"/>
    </row>
    <row r="15" spans="1:28" ht="5.0999999999999996" customHeight="1">
      <c r="B15" s="31"/>
      <c r="C15" s="32"/>
      <c r="D15" s="26" t="s">
        <v>97</v>
      </c>
      <c r="Q15" s="29"/>
      <c r="R15" s="29"/>
      <c r="S15" s="29"/>
    </row>
    <row r="16" spans="1:28" ht="15.75">
      <c r="B16" s="74"/>
      <c r="C16" s="85"/>
      <c r="D16" s="26" t="s">
        <v>97</v>
      </c>
      <c r="Q16" s="33" t="s">
        <v>3</v>
      </c>
      <c r="R16" s="34" t="e">
        <f ca="1">IF(Actual_Week&gt;0,IFERROR(IF(INDEX(INDIRECT("Calendar"),Actual_Week,MATCH(Q16,INDIRECT("Calendar[#Headers]"),0))=0,"Rest",INDEX(INDIRECT("Calendar"),Actual_Week,MATCH(Q16,INDIRECT("Calendar[#Headers]"),0))),""),"")</f>
        <v>#N/A</v>
      </c>
      <c r="S16" s="35" t="e">
        <f ca="1">IF(R16="Rest","",R16)</f>
        <v>#N/A</v>
      </c>
    </row>
    <row r="17" spans="2:21" ht="15.75">
      <c r="B17" s="74"/>
      <c r="C17" s="85"/>
      <c r="D17" s="26" t="s">
        <v>97</v>
      </c>
      <c r="Q17" s="29"/>
      <c r="R17" s="29"/>
      <c r="S17" s="29"/>
    </row>
    <row r="18" spans="2:21" ht="15.75">
      <c r="B18" s="74"/>
      <c r="C18" s="85"/>
      <c r="D18" s="26" t="s">
        <v>97</v>
      </c>
      <c r="Q18" s="33" t="s">
        <v>4</v>
      </c>
      <c r="R18" s="34" t="e">
        <f ca="1">IF(Actual_Week&gt;0,IFERROR(IF(INDEX(INDIRECT("Calendar"),Actual_Week,MATCH(Q18,INDIRECT("Calendar[#Headers]"),0))=0,"Rest",INDEX(INDIRECT("Calendar"),Actual_Week,MATCH(Q18,INDIRECT("Calendar[#Headers]"),0))),""),"")</f>
        <v>#N/A</v>
      </c>
      <c r="S18" s="112" t="e">
        <f ca="1">IF(R18="Rest","",R18)</f>
        <v>#N/A</v>
      </c>
    </row>
    <row r="19" spans="2:21" ht="15.75">
      <c r="B19" s="74"/>
      <c r="C19" s="85"/>
      <c r="D19" s="26" t="s">
        <v>97</v>
      </c>
      <c r="Q19" s="29"/>
      <c r="R19" s="29"/>
      <c r="S19" s="29"/>
    </row>
    <row r="20" spans="2:21" ht="15.75">
      <c r="B20" s="74"/>
      <c r="C20" s="85"/>
      <c r="D20" s="26" t="s">
        <v>97</v>
      </c>
      <c r="Q20" s="33" t="s">
        <v>5</v>
      </c>
      <c r="R20" s="34" t="e">
        <f ca="1">IF(Actual_Week&gt;0,IFERROR(IF(INDEX(INDIRECT("Calendar"),Actual_Week,MATCH(Q20,INDIRECT("Calendar[#Headers]"),0))=0,"Rest",INDEX(INDIRECT("Calendar"),Actual_Week,MATCH(Q20,INDIRECT("Calendar[#Headers]"),0))),""),"")</f>
        <v>#N/A</v>
      </c>
      <c r="S20" s="112" t="e">
        <f ca="1">IF(R20="Rest","",R20)</f>
        <v>#N/A</v>
      </c>
    </row>
    <row r="21" spans="2:21" ht="15.75">
      <c r="B21" s="74"/>
      <c r="C21" s="85"/>
      <c r="D21" s="26" t="s">
        <v>97</v>
      </c>
      <c r="Q21" s="29"/>
      <c r="R21" s="29"/>
      <c r="S21" s="29"/>
      <c r="U21" s="27"/>
    </row>
    <row r="22" spans="2:21" ht="15.75">
      <c r="B22" s="74"/>
      <c r="C22" s="85"/>
      <c r="D22" s="26" t="s">
        <v>97</v>
      </c>
      <c r="Q22" s="33" t="s">
        <v>6</v>
      </c>
      <c r="R22" s="34" t="e">
        <f ca="1">IF(Actual_Week&gt;0,IFERROR(IF(INDEX(INDIRECT("Calendar"),Actual_Week,MATCH(Q22,INDIRECT("Calendar[#Headers]"),0))=0,"Rest",INDEX(INDIRECT("Calendar"),Actual_Week,MATCH(Q22,INDIRECT("Calendar[#Headers]"),0))),""),"")</f>
        <v>#N/A</v>
      </c>
      <c r="S22" s="112" t="e">
        <f ca="1">IF(R22="Rest","",R22)</f>
        <v>#N/A</v>
      </c>
      <c r="U22" s="27"/>
    </row>
    <row r="23" spans="2:21" ht="15.75">
      <c r="B23" s="74"/>
      <c r="C23" s="85"/>
      <c r="D23" s="26" t="s">
        <v>97</v>
      </c>
      <c r="Q23" s="29"/>
      <c r="R23" s="29"/>
      <c r="S23" s="29"/>
      <c r="U23" s="27"/>
    </row>
    <row r="24" spans="2:21" ht="15.75">
      <c r="B24" s="74"/>
      <c r="C24" s="85"/>
      <c r="D24" s="26" t="s">
        <v>97</v>
      </c>
      <c r="Q24" s="33" t="s">
        <v>7</v>
      </c>
      <c r="R24" s="34" t="e">
        <f ca="1">IF(Actual_Week&gt;0,IFERROR(IF(INDEX(INDIRECT("Calendar"),Actual_Week,MATCH(Q24,INDIRECT("Calendar[#Headers]"),0))=0,"Rest",INDEX(INDIRECT("Calendar"),Actual_Week,MATCH(Q24,INDIRECT("Calendar[#Headers]"),0))),""),"")</f>
        <v>#N/A</v>
      </c>
      <c r="S24" s="112" t="e">
        <f ca="1">IF(R24="Rest","",R24)</f>
        <v>#N/A</v>
      </c>
      <c r="U24" s="27"/>
    </row>
    <row r="25" spans="2:21" ht="15.75">
      <c r="B25" s="74"/>
      <c r="C25" s="85"/>
      <c r="D25" s="26" t="s">
        <v>97</v>
      </c>
      <c r="Q25" s="29"/>
      <c r="R25" s="29"/>
      <c r="S25" s="29"/>
      <c r="U25" s="27"/>
    </row>
    <row r="26" spans="2:21" ht="15.75">
      <c r="B26" s="74"/>
      <c r="C26" s="85"/>
      <c r="D26" s="26" t="s">
        <v>97</v>
      </c>
      <c r="Q26" s="33" t="s">
        <v>8</v>
      </c>
      <c r="R26" s="34" t="e">
        <f ca="1">IF(Actual_Week&gt;0,IFERROR(IF(INDEX(INDIRECT("Calendar"),Actual_Week,MATCH(Q26,INDIRECT("Calendar[#Headers]"),0))=0,"Rest",INDEX(INDIRECT("Calendar"),Actual_Week,MATCH(Q26,INDIRECT("Calendar[#Headers]"),0))),""),"")</f>
        <v>#N/A</v>
      </c>
      <c r="S26" s="112" t="e">
        <f ca="1">IF(R26="Rest","",R26)</f>
        <v>#N/A</v>
      </c>
      <c r="U26" s="27"/>
    </row>
    <row r="27" spans="2:21" ht="15.75">
      <c r="B27" s="74"/>
      <c r="C27" s="85"/>
      <c r="D27" s="26" t="s">
        <v>97</v>
      </c>
      <c r="Q27" s="29"/>
      <c r="R27" s="29"/>
      <c r="S27" s="29"/>
      <c r="U27" s="27"/>
    </row>
    <row r="28" spans="2:21" ht="15.75">
      <c r="B28" s="74"/>
      <c r="C28" s="36"/>
      <c r="D28" s="26" t="s">
        <v>97</v>
      </c>
      <c r="Q28" s="69" t="s">
        <v>9</v>
      </c>
      <c r="R28" s="70" t="e">
        <f ca="1">IF(Actual_Week&gt;0,IFERROR(IF(INDEX(INDIRECT("Calendar"),Actual_Week,MATCH(Q28,INDIRECT("Calendar[#Headers]"),0))=0,"Rest",INDEX(INDIRECT("Calendar"),Actual_Week,MATCH(Q28,INDIRECT("Calendar[#Headers]"),0))),""),"")</f>
        <v>#N/A</v>
      </c>
      <c r="S28" s="112" t="e">
        <f ca="1">IF(R28="Rest","",R28)</f>
        <v>#N/A</v>
      </c>
      <c r="U28" s="27"/>
    </row>
    <row r="29" spans="2:21">
      <c r="B29" s="27"/>
      <c r="C29" s="27"/>
      <c r="U29" s="27"/>
    </row>
    <row r="30" spans="2:21">
      <c r="U30" s="27"/>
    </row>
    <row r="31" spans="2:21">
      <c r="U31" s="27"/>
    </row>
    <row r="32" spans="2:21"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U32" s="27"/>
    </row>
    <row r="33" spans="2:21">
      <c r="U33" s="27"/>
    </row>
    <row r="34" spans="2:21">
      <c r="U34" s="27"/>
    </row>
    <row r="35" spans="2:21">
      <c r="B35" s="37"/>
      <c r="C35" s="37"/>
      <c r="U35" s="27"/>
    </row>
    <row r="36" spans="2:21">
      <c r="U36" s="27"/>
    </row>
    <row r="37" spans="2:21">
      <c r="U37" s="27"/>
    </row>
    <row r="38" spans="2:21">
      <c r="U38" s="27"/>
    </row>
    <row r="39" spans="2:21">
      <c r="U39" s="27"/>
    </row>
    <row r="40" spans="2:21">
      <c r="U40" s="27"/>
    </row>
  </sheetData>
  <sheetProtection formatCells="0" formatColumns="0" formatRows="0" insertColumns="0" insertRows="0" insertHyperlinks="0" deleteColumns="0" deleteRows="0" sort="0" autoFilter="0" pivotTables="0"/>
  <mergeCells count="1">
    <mergeCell ref="B3:C3"/>
  </mergeCells>
  <conditionalFormatting sqref="R20 R26 R28 R24 R22 R18 R16">
    <cfRule type="dataBar" priority="35">
      <dataBar showValue="0">
        <cfvo type="min"/>
        <cfvo type="max"/>
        <color rgb="FFA6A6A6"/>
      </dataBar>
      <extLst>
        <ext xmlns:x14="http://schemas.microsoft.com/office/spreadsheetml/2009/9/main" uri="{B025F937-C7B1-47D3-B67F-A62EFF666E3E}">
          <x14:id>{86AF33A7-F7CC-4B20-A8EF-B1A3FF76852F}</x14:id>
        </ext>
      </extLst>
    </cfRule>
  </conditionalFormatting>
  <pageMargins left="0.7" right="0.7" top="0.75" bottom="0.75" header="0.3" footer="0.3"/>
  <pageSetup orientation="portrait" horizontalDpi="4294967293" verticalDpi="4294967293" r:id="rId1"/>
  <ignoredErrors>
    <ignoredError sqref="R16:S21 B3 R23:S23 R22 R25:S25 R24 R27:S27 R26 R28" unlockedFormula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AF33A7-F7CC-4B20-A8EF-B1A3FF7685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R20 R26 R28 R24 R22 R18 R16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BC848-B641-41FB-B273-4BAF2333F44E}">
  <sheetPr codeName="Sheet4">
    <pageSetUpPr fitToPage="1"/>
  </sheetPr>
  <dimension ref="A1:AY28"/>
  <sheetViews>
    <sheetView showGridLines="0" showRowColHeaders="0" zoomScaleNormal="100" zoomScaleSheetLayoutView="100" workbookViewId="0">
      <selection activeCell="D28" sqref="D28"/>
    </sheetView>
  </sheetViews>
  <sheetFormatPr defaultColWidth="9.140625" defaultRowHeight="15.75"/>
  <cols>
    <col min="1" max="1" width="1.7109375" style="105" customWidth="1"/>
    <col min="2" max="17" width="5.7109375" style="105" customWidth="1"/>
    <col min="18" max="18" width="3.7109375" style="105" customWidth="1"/>
    <col min="19" max="31" width="5.7109375" style="105" customWidth="1"/>
    <col min="32" max="35" width="5" style="105" bestFit="1" customWidth="1"/>
    <col min="36" max="36" width="11.7109375" style="105" bestFit="1" customWidth="1"/>
    <col min="37" max="249" width="5" style="105" bestFit="1" customWidth="1"/>
    <col min="250" max="251" width="6" style="105" bestFit="1" customWidth="1"/>
    <col min="252" max="252" width="7.28515625" style="105" bestFit="1" customWidth="1"/>
    <col min="253" max="253" width="11.28515625" style="105" bestFit="1" customWidth="1"/>
    <col min="254" max="16384" width="9.140625" style="105"/>
  </cols>
  <sheetData>
    <row r="1" spans="1:51" ht="20.25">
      <c r="A1" s="191"/>
      <c r="B1" s="113" t="s">
        <v>557</v>
      </c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  <c r="AV1" s="191"/>
      <c r="AW1" s="191"/>
      <c r="AX1" s="191"/>
      <c r="AY1" s="191"/>
    </row>
    <row r="2" spans="1:51" s="157" customFormat="1" ht="5.0999999999999996" customHeight="1">
      <c r="A2" s="136"/>
      <c r="B2" s="132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</row>
    <row r="3" spans="1:51">
      <c r="AF3" s="133"/>
      <c r="AG3" s="133"/>
    </row>
    <row r="4" spans="1:51">
      <c r="AF4" s="133"/>
      <c r="AG4" s="133"/>
    </row>
    <row r="5" spans="1:51">
      <c r="AF5" s="133"/>
      <c r="AG5" s="133"/>
    </row>
    <row r="6" spans="1:51">
      <c r="AF6" s="133"/>
      <c r="AG6" s="133"/>
    </row>
    <row r="7" spans="1:51">
      <c r="AF7" s="133"/>
      <c r="AG7" s="133"/>
    </row>
    <row r="8" spans="1:51">
      <c r="AF8" s="133"/>
      <c r="AG8" s="133"/>
    </row>
    <row r="9" spans="1:51">
      <c r="AF9" s="133"/>
      <c r="AG9" s="133"/>
    </row>
    <row r="10" spans="1:51">
      <c r="AF10" s="133"/>
      <c r="AG10" s="133"/>
    </row>
    <row r="11" spans="1:51">
      <c r="AF11" s="133"/>
      <c r="AG11" s="133"/>
    </row>
    <row r="12" spans="1:51">
      <c r="AF12" s="133"/>
      <c r="AG12" s="133"/>
    </row>
    <row r="13" spans="1:51">
      <c r="AF13" s="133"/>
      <c r="AG13" s="133"/>
    </row>
    <row r="14" spans="1:51">
      <c r="C14" s="173"/>
      <c r="AF14" s="133"/>
      <c r="AG14" s="133"/>
    </row>
    <row r="15" spans="1:51">
      <c r="AF15" s="133"/>
      <c r="AG15" s="133"/>
    </row>
    <row r="16" spans="1:51">
      <c r="AF16" s="133"/>
      <c r="AG16" s="133"/>
    </row>
    <row r="17" spans="1:33">
      <c r="AF17" s="133"/>
      <c r="AG17" s="133"/>
    </row>
    <row r="18" spans="1:33">
      <c r="AF18" s="133"/>
      <c r="AG18" s="133"/>
    </row>
    <row r="19" spans="1:33">
      <c r="AF19" s="133"/>
      <c r="AG19" s="133"/>
    </row>
    <row r="20" spans="1:33">
      <c r="AF20" s="133"/>
      <c r="AG20" s="133"/>
    </row>
    <row r="21" spans="1:33">
      <c r="E21" s="192"/>
      <c r="F21" s="192"/>
      <c r="AF21" s="133"/>
      <c r="AG21" s="133"/>
    </row>
    <row r="22" spans="1:33">
      <c r="AF22" s="133"/>
      <c r="AG22" s="133"/>
    </row>
    <row r="23" spans="1:33">
      <c r="AF23" s="133"/>
      <c r="AG23" s="133"/>
    </row>
    <row r="24" spans="1:33">
      <c r="AF24" s="133"/>
      <c r="AG24" s="133"/>
    </row>
    <row r="25" spans="1:33">
      <c r="AF25" s="133"/>
      <c r="AG25" s="133"/>
    </row>
    <row r="26" spans="1:33">
      <c r="AF26" s="133"/>
      <c r="AG26" s="133"/>
    </row>
    <row r="27" spans="1:33">
      <c r="A27" s="133"/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  <c r="AC27" s="133"/>
      <c r="AD27" s="133"/>
      <c r="AE27" s="133"/>
      <c r="AF27" s="133"/>
      <c r="AG27" s="133"/>
    </row>
    <row r="28" spans="1:33">
      <c r="A28" s="133"/>
      <c r="B28" s="133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  <c r="AC28" s="133"/>
      <c r="AD28" s="133"/>
      <c r="AE28" s="133"/>
      <c r="AF28" s="133"/>
    </row>
  </sheetData>
  <pageMargins left="0.25" right="0.25" top="0.75" bottom="0.75" header="0.3" footer="0.3"/>
  <pageSetup scale="70" orientation="landscape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25610" r:id="rId4" name="Pivot2ComboBox1">
          <controlPr defaultSize="0" autoLine="0" linkedCell="Analytics2Field1" listFillRange="UploadQueryFields" r:id="rId5">
            <anchor moveWithCells="1">
              <from>
                <xdr:col>17</xdr:col>
                <xdr:colOff>38100</xdr:colOff>
                <xdr:row>8</xdr:row>
                <xdr:rowOff>114300</xdr:rowOff>
              </from>
              <to>
                <xdr:col>21</xdr:col>
                <xdr:colOff>19050</xdr:colOff>
                <xdr:row>9</xdr:row>
                <xdr:rowOff>171450</xdr:rowOff>
              </to>
            </anchor>
          </controlPr>
        </control>
      </mc:Choice>
      <mc:Fallback>
        <control shapeId="25610" r:id="rId4" name="Pivot2ComboBox1"/>
      </mc:Fallback>
    </mc:AlternateContent>
    <mc:AlternateContent xmlns:mc="http://schemas.openxmlformats.org/markup-compatibility/2006">
      <mc:Choice Requires="x14">
        <control shapeId="25611" r:id="rId6" name="Pivot1ComboBox1">
          <controlPr defaultSize="0" autoLine="0" autoPict="0" linkedCell="Analytics1Field1" listFillRange="UploadQueryFields" r:id="rId7">
            <anchor moveWithCells="1">
              <from>
                <xdr:col>1</xdr:col>
                <xdr:colOff>66675</xdr:colOff>
                <xdr:row>8</xdr:row>
                <xdr:rowOff>114300</xdr:rowOff>
              </from>
              <to>
                <xdr:col>5</xdr:col>
                <xdr:colOff>9525</xdr:colOff>
                <xdr:row>9</xdr:row>
                <xdr:rowOff>171450</xdr:rowOff>
              </to>
            </anchor>
          </controlPr>
        </control>
      </mc:Choice>
      <mc:Fallback>
        <control shapeId="25611" r:id="rId6" name="Pivot1ComboBox1"/>
      </mc:Fallback>
    </mc:AlternateContent>
    <mc:AlternateContent xmlns:mc="http://schemas.openxmlformats.org/markup-compatibility/2006">
      <mc:Choice Requires="x14">
        <control shapeId="25612" r:id="rId8" name="Pivot1ComboBox2">
          <controlPr defaultSize="0" autoLine="0" autoPict="0" linkedCell="Analytics1Field2" listFillRange="UploadQueryFields" r:id="rId9">
            <anchor moveWithCells="1">
              <from>
                <xdr:col>1</xdr:col>
                <xdr:colOff>66675</xdr:colOff>
                <xdr:row>10</xdr:row>
                <xdr:rowOff>47625</xdr:rowOff>
              </from>
              <to>
                <xdr:col>5</xdr:col>
                <xdr:colOff>9525</xdr:colOff>
                <xdr:row>11</xdr:row>
                <xdr:rowOff>104775</xdr:rowOff>
              </to>
            </anchor>
          </controlPr>
        </control>
      </mc:Choice>
      <mc:Fallback>
        <control shapeId="25612" r:id="rId8" name="Pivot1ComboBox2"/>
      </mc:Fallback>
    </mc:AlternateContent>
    <mc:AlternateContent xmlns:mc="http://schemas.openxmlformats.org/markup-compatibility/2006">
      <mc:Choice Requires="x14">
        <control shapeId="25613" r:id="rId10" name="Pivot2ComboBox2">
          <controlPr defaultSize="0" autoLine="0" linkedCell="Analytics2Field2" listFillRange="UploadQueryFields" r:id="rId11">
            <anchor moveWithCells="1">
              <from>
                <xdr:col>17</xdr:col>
                <xdr:colOff>38100</xdr:colOff>
                <xdr:row>10</xdr:row>
                <xdr:rowOff>47625</xdr:rowOff>
              </from>
              <to>
                <xdr:col>21</xdr:col>
                <xdr:colOff>19050</xdr:colOff>
                <xdr:row>11</xdr:row>
                <xdr:rowOff>104775</xdr:rowOff>
              </to>
            </anchor>
          </controlPr>
        </control>
      </mc:Choice>
      <mc:Fallback>
        <control shapeId="25613" r:id="rId10" name="Pivot2ComboBox2"/>
      </mc:Fallback>
    </mc:AlternateContent>
    <mc:AlternateContent xmlns:mc="http://schemas.openxmlformats.org/markup-compatibility/2006">
      <mc:Choice Requires="x14">
        <control shapeId="25614" r:id="rId12" name="Pivot4ComboBox1">
          <controlPr defaultSize="0" autoLine="0" linkedCell="Analytics4Field1" listFillRange="UploadQueryFields" r:id="rId13">
            <anchor moveWithCells="1">
              <from>
                <xdr:col>17</xdr:col>
                <xdr:colOff>38100</xdr:colOff>
                <xdr:row>17</xdr:row>
                <xdr:rowOff>114300</xdr:rowOff>
              </from>
              <to>
                <xdr:col>21</xdr:col>
                <xdr:colOff>19050</xdr:colOff>
                <xdr:row>18</xdr:row>
                <xdr:rowOff>171450</xdr:rowOff>
              </to>
            </anchor>
          </controlPr>
        </control>
      </mc:Choice>
      <mc:Fallback>
        <control shapeId="25614" r:id="rId12" name="Pivot4ComboBox1"/>
      </mc:Fallback>
    </mc:AlternateContent>
    <mc:AlternateContent xmlns:mc="http://schemas.openxmlformats.org/markup-compatibility/2006">
      <mc:Choice Requires="x14">
        <control shapeId="25616" r:id="rId14" name="Pivot3ComboBox2">
          <controlPr defaultSize="0" autoLine="0" autoPict="0" linkedCell="Analytics3Field2" listFillRange="UploadQueryFields" r:id="rId15">
            <anchor moveWithCells="1">
              <from>
                <xdr:col>1</xdr:col>
                <xdr:colOff>66675</xdr:colOff>
                <xdr:row>19</xdr:row>
                <xdr:rowOff>47625</xdr:rowOff>
              </from>
              <to>
                <xdr:col>5</xdr:col>
                <xdr:colOff>9525</xdr:colOff>
                <xdr:row>20</xdr:row>
                <xdr:rowOff>104775</xdr:rowOff>
              </to>
            </anchor>
          </controlPr>
        </control>
      </mc:Choice>
      <mc:Fallback>
        <control shapeId="25616" r:id="rId14" name="Pivot3ComboBox2"/>
      </mc:Fallback>
    </mc:AlternateContent>
    <mc:AlternateContent xmlns:mc="http://schemas.openxmlformats.org/markup-compatibility/2006">
      <mc:Choice Requires="x14">
        <control shapeId="25617" r:id="rId16" name="Pivot3ComboBox1">
          <controlPr defaultSize="0" autoLine="0" autoPict="0" linkedCell="Analytics3Field1" listFillRange="UploadQueryFields" r:id="rId17">
            <anchor moveWithCells="1">
              <from>
                <xdr:col>1</xdr:col>
                <xdr:colOff>66675</xdr:colOff>
                <xdr:row>17</xdr:row>
                <xdr:rowOff>114300</xdr:rowOff>
              </from>
              <to>
                <xdr:col>5</xdr:col>
                <xdr:colOff>9525</xdr:colOff>
                <xdr:row>18</xdr:row>
                <xdr:rowOff>171450</xdr:rowOff>
              </to>
            </anchor>
          </controlPr>
        </control>
      </mc:Choice>
      <mc:Fallback>
        <control shapeId="25617" r:id="rId16" name="Pivot3ComboBox1"/>
      </mc:Fallback>
    </mc:AlternateContent>
    <mc:AlternateContent xmlns:mc="http://schemas.openxmlformats.org/markup-compatibility/2006">
      <mc:Choice Requires="x14">
        <control shapeId="25618" r:id="rId18" name="AnalyticsResetButton">
          <controlPr defaultSize="0" autoFill="0" autoPict="0" macro="[0]!AnalyticsResetButton_Click" altText="Reset Analytics Sheet">
            <anchor>
              <from>
                <xdr:col>31</xdr:col>
                <xdr:colOff>161925</xdr:colOff>
                <xdr:row>2</xdr:row>
                <xdr:rowOff>19050</xdr:rowOff>
              </from>
              <to>
                <xdr:col>33</xdr:col>
                <xdr:colOff>47625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0" r:id="rId19" name="AnalyticsTopButton">
          <controlPr defaultSize="0" autoFill="0" autoPict="0" macro="[0]!AnalyticsTopButton_Click" altText="Top 10">
            <anchor>
              <from>
                <xdr:col>31</xdr:col>
                <xdr:colOff>161925</xdr:colOff>
                <xdr:row>5</xdr:row>
                <xdr:rowOff>38100</xdr:rowOff>
              </from>
              <to>
                <xdr:col>32</xdr:col>
                <xdr:colOff>57150</xdr:colOff>
                <xdr:row>6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1" r:id="rId20" name="AnalyticsBottomButton">
          <controlPr defaultSize="0" autoFill="0" autoPict="0" macro="[0]!AnalyticsBottomButton_Click" altText="Bottom 10">
            <anchor>
              <from>
                <xdr:col>32</xdr:col>
                <xdr:colOff>152400</xdr:colOff>
                <xdr:row>5</xdr:row>
                <xdr:rowOff>38100</xdr:rowOff>
              </from>
              <to>
                <xdr:col>33</xdr:col>
                <xdr:colOff>47625</xdr:colOff>
                <xdr:row>6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19" r:id="rId21" name="AnalyticsPlanButton">
          <controlPr defaultSize="0" autoFill="0" autoPict="0" macro="[0]!AnalyticsPlanButton_Click" altText="Set Time Period to current plan">
            <anchor>
              <from>
                <xdr:col>31</xdr:col>
                <xdr:colOff>161925</xdr:colOff>
                <xdr:row>3</xdr:row>
                <xdr:rowOff>123825</xdr:rowOff>
              </from>
              <to>
                <xdr:col>33</xdr:col>
                <xdr:colOff>47625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2" r:id="rId22" name="AnalyticsClearButton">
          <controlPr defaultSize="0" autoFill="0" autoPict="0" macro="[0]!AnalyticsClearButton_Click" altText="Set Time Period to current plan">
            <anchor>
              <from>
                <xdr:col>31</xdr:col>
                <xdr:colOff>161925</xdr:colOff>
                <xdr:row>6</xdr:row>
                <xdr:rowOff>142875</xdr:rowOff>
              </from>
              <to>
                <xdr:col>33</xdr:col>
                <xdr:colOff>47625</xdr:colOff>
                <xdr:row>7</xdr:row>
                <xdr:rowOff>171450</xdr:rowOff>
              </to>
            </anchor>
          </controlPr>
        </control>
      </mc:Choice>
    </mc:AlternateContent>
  </controls>
  <extLst>
    <ext xmlns:x15="http://schemas.microsoft.com/office/spreadsheetml/2010/11/main" uri="{7E03D99C-DC04-49d9-9315-930204A7B6E9}">
      <x15:timelineRefs>
        <x15:timelineRef r:id="rId23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09BCA-2E90-41F2-AFD8-761A2B7AC8D2}">
  <sheetPr codeName="Sheet24"/>
  <dimension ref="A1:B3"/>
  <sheetViews>
    <sheetView workbookViewId="0"/>
  </sheetViews>
  <sheetFormatPr defaultRowHeight="15"/>
  <cols>
    <col min="1" max="1" width="13.140625" bestFit="1" customWidth="1"/>
    <col min="2" max="2" width="15.85546875" bestFit="1" customWidth="1"/>
    <col min="3" max="13" width="6.5703125" bestFit="1" customWidth="1"/>
  </cols>
  <sheetData>
    <row r="1" spans="1:2">
      <c r="A1" s="10" t="s">
        <v>88</v>
      </c>
      <c r="B1" s="405" t="s">
        <v>516</v>
      </c>
    </row>
    <row r="2" spans="1:2">
      <c r="A2" s="244" t="s">
        <v>732</v>
      </c>
      <c r="B2" s="409"/>
    </row>
    <row r="3" spans="1:2">
      <c r="A3" s="117" t="s">
        <v>427</v>
      </c>
      <c r="B3" s="4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CB24E-E23A-488C-B263-C3233B82E55A}">
  <sheetPr codeName="Sheet14"/>
  <dimension ref="A1:U28"/>
  <sheetViews>
    <sheetView showGridLines="0" workbookViewId="0">
      <selection activeCell="B8" sqref="B8"/>
    </sheetView>
  </sheetViews>
  <sheetFormatPr defaultColWidth="9.140625" defaultRowHeight="15"/>
  <cols>
    <col min="1" max="1" width="16.28515625" style="76" bestFit="1" customWidth="1"/>
    <col min="2" max="2" width="9.5703125" style="76" bestFit="1" customWidth="1"/>
    <col min="3" max="3" width="42.42578125" style="76" bestFit="1" customWidth="1"/>
    <col min="4" max="4" width="16.140625" style="76" bestFit="1" customWidth="1"/>
    <col min="5" max="5" width="13.28515625" style="76" customWidth="1"/>
    <col min="6" max="16384" width="9.140625" style="76"/>
  </cols>
  <sheetData>
    <row r="1" spans="1:7" ht="15.75">
      <c r="A1" s="75" t="s">
        <v>107</v>
      </c>
      <c r="B1" s="75" t="s">
        <v>104</v>
      </c>
      <c r="C1" s="75" t="s">
        <v>108</v>
      </c>
      <c r="D1" s="75" t="s">
        <v>529</v>
      </c>
      <c r="F1" s="77"/>
    </row>
    <row r="2" spans="1:7" ht="15.75">
      <c r="A2" s="75" t="s">
        <v>103</v>
      </c>
      <c r="B2" s="193">
        <v>1.1574076779652387E-5</v>
      </c>
      <c r="D2" s="194">
        <f>SUM(D3:D14)</f>
        <v>1</v>
      </c>
      <c r="F2" s="79"/>
    </row>
    <row r="3" spans="1:7">
      <c r="A3" s="76" t="s">
        <v>404</v>
      </c>
      <c r="B3" s="78">
        <v>0</v>
      </c>
      <c r="C3" s="76" t="s">
        <v>405</v>
      </c>
      <c r="D3" s="80">
        <f t="shared" ref="D3:D6" si="0">B3/TotalTime</f>
        <v>0</v>
      </c>
    </row>
    <row r="4" spans="1:7">
      <c r="A4" s="76" t="s">
        <v>105</v>
      </c>
      <c r="B4" s="78">
        <v>0</v>
      </c>
      <c r="C4" s="76" t="s">
        <v>105</v>
      </c>
      <c r="D4" s="80">
        <f t="shared" si="0"/>
        <v>0</v>
      </c>
    </row>
    <row r="5" spans="1:7">
      <c r="A5" s="76" t="s">
        <v>106</v>
      </c>
      <c r="B5" s="78">
        <v>1.1574076779652387E-5</v>
      </c>
      <c r="C5" s="76" t="s">
        <v>406</v>
      </c>
      <c r="D5" s="80">
        <f t="shared" si="0"/>
        <v>1</v>
      </c>
    </row>
    <row r="6" spans="1:7">
      <c r="A6" s="76" t="s">
        <v>109</v>
      </c>
      <c r="B6" s="78">
        <v>0</v>
      </c>
      <c r="C6" s="76" t="s">
        <v>109</v>
      </c>
      <c r="D6" s="80">
        <f t="shared" si="0"/>
        <v>0</v>
      </c>
    </row>
    <row r="7" spans="1:7">
      <c r="A7" s="76" t="s">
        <v>407</v>
      </c>
      <c r="B7" s="78">
        <v>0</v>
      </c>
      <c r="C7" s="76" t="s">
        <v>408</v>
      </c>
      <c r="D7" s="80">
        <f>B7/TotalTime</f>
        <v>0</v>
      </c>
    </row>
    <row r="8" spans="1:7">
      <c r="A8" s="76" t="s">
        <v>544</v>
      </c>
      <c r="B8" s="78">
        <v>0</v>
      </c>
      <c r="C8" s="76" t="s">
        <v>544</v>
      </c>
      <c r="D8" s="80">
        <f>B8/TotalTime</f>
        <v>0</v>
      </c>
    </row>
    <row r="10" spans="1:7">
      <c r="B10" s="78"/>
      <c r="D10" s="80"/>
    </row>
    <row r="14" spans="1:7">
      <c r="B14" s="78"/>
      <c r="D14" s="80"/>
    </row>
    <row r="15" spans="1:7" ht="15.75">
      <c r="A15" s="81"/>
      <c r="B15" s="82"/>
      <c r="E15" s="83"/>
      <c r="F15" s="83"/>
      <c r="G15" s="83"/>
    </row>
    <row r="28" spans="21:21">
      <c r="U28" s="76">
        <v>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E4F16-5B00-4102-8581-62CFFDB1D39A}">
  <sheetPr codeName="Sheet10"/>
  <dimension ref="A1:O49"/>
  <sheetViews>
    <sheetView showGridLines="0" zoomScaleNormal="100" workbookViewId="0">
      <selection activeCell="G4" sqref="G4"/>
    </sheetView>
  </sheetViews>
  <sheetFormatPr defaultColWidth="8.7109375" defaultRowHeight="15"/>
  <cols>
    <col min="1" max="1" width="23.140625" bestFit="1" customWidth="1"/>
    <col min="2" max="2" width="14" bestFit="1" customWidth="1"/>
    <col min="3" max="3" width="14.28515625" bestFit="1" customWidth="1"/>
    <col min="4" max="4" width="10.85546875" bestFit="1" customWidth="1"/>
    <col min="5" max="5" width="11.7109375" bestFit="1" customWidth="1"/>
    <col min="6" max="6" width="18.5703125" bestFit="1" customWidth="1"/>
    <col min="7" max="7" width="13" bestFit="1" customWidth="1"/>
    <col min="13" max="13" width="16.7109375" bestFit="1" customWidth="1"/>
    <col min="14" max="14" width="10.7109375" customWidth="1"/>
  </cols>
  <sheetData>
    <row r="1" spans="1:15" ht="25.5">
      <c r="A1" s="432" t="s">
        <v>48</v>
      </c>
      <c r="B1" s="432"/>
      <c r="C1" s="432"/>
      <c r="D1" s="432"/>
      <c r="E1" s="4"/>
      <c r="F1" s="22"/>
      <c r="G1" s="4"/>
      <c r="H1" s="4"/>
      <c r="I1" s="4"/>
      <c r="J1" s="4"/>
      <c r="K1" s="4"/>
      <c r="L1" s="4"/>
      <c r="M1" s="5" t="s">
        <v>204</v>
      </c>
    </row>
    <row r="2" spans="1:15" ht="15.7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7"/>
    </row>
    <row r="3" spans="1:15" ht="15.75">
      <c r="A3" s="6" t="s">
        <v>37</v>
      </c>
      <c r="B3" s="6">
        <f>Total_Weeks_Planned*0.45</f>
        <v>9.4500000000000011</v>
      </c>
      <c r="C3" s="4">
        <f>Total_Weeks_Planned</f>
        <v>21</v>
      </c>
      <c r="D3" s="4"/>
      <c r="E3" s="4"/>
      <c r="F3" s="87" t="s">
        <v>409</v>
      </c>
      <c r="G3" s="88">
        <v>44704.977071759262</v>
      </c>
      <c r="H3" s="4"/>
      <c r="I3" s="4"/>
      <c r="J3" s="4"/>
      <c r="K3" s="4"/>
      <c r="L3" s="4"/>
      <c r="M3" s="7"/>
      <c r="O3" s="3"/>
    </row>
    <row r="4" spans="1:15" ht="15.75">
      <c r="A4" s="6" t="s">
        <v>28</v>
      </c>
      <c r="B4" s="6" t="e">
        <f ca="1">C4</f>
        <v>#N/A</v>
      </c>
      <c r="C4" s="4" t="e">
        <f ca="1">IF(TodayDate&lt;VLOOKUP(1,INDIRECT("Calendar"),2,FALSE),0,IF(TodayDate&gt;LastWeek,Total_Weeks_Planned,D4))</f>
        <v>#N/A</v>
      </c>
      <c r="D4" s="4">
        <f ca="1">MATCH(MAX(INDIRECT("Calendar[Today Week]")),INDIRECT("Calendar[Today Week]"),0)</f>
        <v>1</v>
      </c>
      <c r="E4" s="22"/>
      <c r="F4" s="4" t="s">
        <v>419</v>
      </c>
      <c r="G4" s="4">
        <f>RIDERHEIGHT(HeightPrimary,HeightSecondary,HeightUnit)</f>
        <v>72</v>
      </c>
      <c r="H4" s="4"/>
      <c r="I4" s="4"/>
      <c r="J4" s="4"/>
      <c r="K4" s="4"/>
      <c r="L4" s="4"/>
      <c r="M4" s="7"/>
    </row>
    <row r="5" spans="1:15" ht="15.75">
      <c r="A5" s="6" t="e">
        <f ca="1">IF(B5&gt;1,"Weeks to Race",IF(B5=1,"Week to Race","Race Week"))</f>
        <v>#N/A</v>
      </c>
      <c r="B5" s="6" t="e">
        <f ca="1">Total_Weeks_Planned-Actual_Week</f>
        <v>#N/A</v>
      </c>
      <c r="C5" s="4" t="e">
        <f ca="1">IF(Weeks_To_Race&gt;0,Weeks_To_Race,_xlfn.UNICHAR(127937))</f>
        <v>#N/A</v>
      </c>
      <c r="D5" s="4"/>
      <c r="E5" s="4"/>
      <c r="F5" s="4"/>
      <c r="G5" s="4"/>
      <c r="H5" s="4"/>
      <c r="I5" s="4"/>
      <c r="J5" s="4"/>
      <c r="K5" s="4"/>
      <c r="L5" s="4"/>
      <c r="M5" s="7"/>
    </row>
    <row r="6" spans="1:15" ht="15.7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7"/>
      <c r="O6" s="3"/>
    </row>
    <row r="7" spans="1:15" ht="15.75">
      <c r="A7" s="432" t="s">
        <v>49</v>
      </c>
      <c r="B7" s="432"/>
      <c r="C7" s="432"/>
      <c r="D7" s="432"/>
      <c r="E7" s="4"/>
      <c r="F7" s="4"/>
      <c r="G7" s="4"/>
      <c r="H7" s="4"/>
      <c r="I7" s="4"/>
      <c r="J7" s="4"/>
      <c r="K7" s="4"/>
      <c r="L7" s="4"/>
      <c r="M7" s="7"/>
    </row>
    <row r="8" spans="1:15" ht="15.75">
      <c r="A8" s="6" t="s">
        <v>50</v>
      </c>
      <c r="B8" s="47" t="e">
        <f ca="1">D8</f>
        <v>#N/A</v>
      </c>
      <c r="C8" s="6" t="str">
        <f>WeightUnit</f>
        <v>lb</v>
      </c>
      <c r="D8" s="93" t="e">
        <f ca="1">IFERROR(INDEX(INDIRECT("Calendar"),Actual_Week,MATCH("Weight",INDIRECT("Calendar[#Headers]"),0)),Last_Weight_Update)</f>
        <v>#N/A</v>
      </c>
      <c r="E8" s="4"/>
      <c r="F8" s="4"/>
      <c r="G8" s="4"/>
      <c r="H8" s="4"/>
      <c r="I8" s="4"/>
      <c r="J8" s="4"/>
      <c r="K8" s="4"/>
      <c r="L8" s="4"/>
      <c r="O8" s="3"/>
    </row>
    <row r="9" spans="1:15" ht="15.75">
      <c r="A9" s="4" t="s">
        <v>51</v>
      </c>
      <c r="B9" s="64" t="e">
        <f ca="1">BMIf(Actual_Weight,ActualHeight)</f>
        <v>#N/A</v>
      </c>
      <c r="C9" s="4"/>
      <c r="D9" s="93" t="e">
        <f ca="1">IF(C8="Kg",Actual_Weight/(ActualHeight^2),Actual_Weight/(ActualHeight^2)*703)</f>
        <v>#N/A</v>
      </c>
      <c r="E9" s="4"/>
      <c r="F9" s="4"/>
      <c r="G9" s="4"/>
      <c r="H9" s="4"/>
      <c r="I9" s="4"/>
      <c r="J9" s="4"/>
      <c r="K9" s="4"/>
      <c r="L9" s="4"/>
    </row>
    <row r="10" spans="1:15" ht="15.75">
      <c r="A10" s="4" t="s">
        <v>69</v>
      </c>
      <c r="B10" s="8">
        <f>BMI_min</f>
        <v>21</v>
      </c>
      <c r="C10" s="4"/>
      <c r="D10" s="4"/>
      <c r="E10" s="4"/>
      <c r="F10" s="4" t="s">
        <v>338</v>
      </c>
      <c r="G10" s="4"/>
      <c r="H10" s="4"/>
      <c r="I10" s="4"/>
      <c r="J10" s="4"/>
      <c r="K10" s="4"/>
      <c r="L10" s="4"/>
    </row>
    <row r="11" spans="1:15" ht="15.75">
      <c r="A11" s="4" t="s">
        <v>68</v>
      </c>
      <c r="B11" s="4">
        <f>BMI_max</f>
        <v>22.4</v>
      </c>
      <c r="C11" s="4"/>
      <c r="D11" s="4"/>
      <c r="E11" s="4"/>
      <c r="F11" s="4" t="s">
        <v>339</v>
      </c>
      <c r="G11" s="4"/>
      <c r="H11" s="4"/>
      <c r="I11" s="4"/>
      <c r="J11" s="4"/>
      <c r="K11" s="4"/>
      <c r="L11" s="4"/>
    </row>
    <row r="12" spans="1:15" ht="15.75">
      <c r="A12" s="4" t="s">
        <v>202</v>
      </c>
      <c r="B12" s="4" t="e">
        <f ca="1">MATCH(2,INDEX(1/(INDIRECT("Calendar[Weight]")&lt;&gt;""),0))</f>
        <v>#N/A</v>
      </c>
      <c r="C12" s="4"/>
      <c r="D12" s="4"/>
      <c r="E12" s="4"/>
      <c r="F12" s="4"/>
      <c r="G12" s="4"/>
      <c r="H12" s="4"/>
      <c r="I12" s="4"/>
      <c r="J12" s="4"/>
      <c r="K12" s="4"/>
      <c r="L12" s="4"/>
    </row>
    <row r="13" spans="1:15" ht="15.75">
      <c r="A13" s="4" t="s">
        <v>201</v>
      </c>
      <c r="B13" s="93" t="e">
        <f ca="1">INDEX(INDIRECT("Calendar"),Last_Weight_Week,MATCH("Weight",INDIRECT("Calendar[#Headers]"),0))</f>
        <v>#N/A</v>
      </c>
      <c r="C13" s="4"/>
      <c r="D13" s="4"/>
      <c r="E13" s="4"/>
      <c r="F13" s="4"/>
      <c r="G13" s="4"/>
      <c r="H13" s="4"/>
      <c r="I13" s="4"/>
      <c r="J13" s="4"/>
      <c r="K13" s="4"/>
      <c r="L13" s="4"/>
    </row>
    <row r="14" spans="1:15" ht="15.7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 spans="1:15" ht="15.75">
      <c r="A15" s="6" t="s">
        <v>203</v>
      </c>
      <c r="B15" s="6" t="s">
        <v>75</v>
      </c>
      <c r="C15" s="6" t="s">
        <v>76</v>
      </c>
      <c r="D15" s="6" t="s">
        <v>43</v>
      </c>
      <c r="E15" s="6" t="s">
        <v>42</v>
      </c>
      <c r="F15" s="4"/>
      <c r="G15" s="4"/>
      <c r="H15" s="4"/>
      <c r="I15" s="4"/>
      <c r="J15" s="4"/>
      <c r="K15" s="4"/>
      <c r="L15" s="4"/>
    </row>
    <row r="16" spans="1:15" ht="15.75">
      <c r="A16" s="4" t="s">
        <v>77</v>
      </c>
      <c r="B16" s="8">
        <v>0</v>
      </c>
      <c r="C16" s="8">
        <v>18.399999999999999</v>
      </c>
      <c r="D16" s="8">
        <f>C16-B16</f>
        <v>18.399999999999999</v>
      </c>
      <c r="E16" s="8">
        <f>D16</f>
        <v>18.399999999999999</v>
      </c>
      <c r="F16" s="4"/>
      <c r="G16" s="4"/>
      <c r="H16" s="4"/>
      <c r="I16" s="4"/>
      <c r="J16" s="4"/>
      <c r="K16" s="4"/>
      <c r="L16" s="4"/>
    </row>
    <row r="17" spans="1:13" ht="15.75">
      <c r="A17" s="4" t="s">
        <v>78</v>
      </c>
      <c r="B17" s="8">
        <v>18.5</v>
      </c>
      <c r="C17" s="8"/>
      <c r="D17" s="8">
        <f>(C19-B17)/2</f>
        <v>3.1999999999999993</v>
      </c>
      <c r="E17" s="8">
        <f>B18-B17</f>
        <v>2.5</v>
      </c>
      <c r="F17" s="4"/>
      <c r="G17" s="4"/>
      <c r="H17" s="4"/>
      <c r="I17" s="4"/>
      <c r="J17" s="4"/>
      <c r="K17" s="4"/>
      <c r="L17" s="4"/>
    </row>
    <row r="18" spans="1:13" ht="15.75">
      <c r="A18" s="4" t="s">
        <v>42</v>
      </c>
      <c r="B18" s="8">
        <f>F18</f>
        <v>21</v>
      </c>
      <c r="C18" s="8">
        <f>G18</f>
        <v>22.4</v>
      </c>
      <c r="D18" s="8"/>
      <c r="E18" s="8">
        <f>C18-B18</f>
        <v>1.3999999999999986</v>
      </c>
      <c r="F18" s="4">
        <f>IF(OR(BMI_min&lt;18.5,BMI_min&gt;24.9)=TRUE,18.5,BMI_min)</f>
        <v>21</v>
      </c>
      <c r="G18" s="4">
        <f>IF(OR(BMI_max&lt;18.5,BMI_max&gt;24.9)=TRUE,18.5,BMI_max)</f>
        <v>22.4</v>
      </c>
      <c r="H18" s="7"/>
      <c r="I18" s="7"/>
      <c r="J18" s="7"/>
      <c r="K18" s="7"/>
      <c r="L18" s="7"/>
      <c r="M18" s="7"/>
    </row>
    <row r="19" spans="1:13" ht="15.75">
      <c r="A19" s="4" t="s">
        <v>78</v>
      </c>
      <c r="B19" s="8"/>
      <c r="C19" s="8">
        <v>24.9</v>
      </c>
      <c r="D19" s="8">
        <f>D17</f>
        <v>3.1999999999999993</v>
      </c>
      <c r="E19" s="8">
        <f>C19-C18</f>
        <v>2.5</v>
      </c>
      <c r="F19" s="4"/>
      <c r="G19" s="4"/>
      <c r="H19" s="7"/>
      <c r="I19" s="7"/>
      <c r="J19" s="7"/>
      <c r="K19" s="7"/>
      <c r="L19" s="7"/>
      <c r="M19" s="7"/>
    </row>
    <row r="20" spans="1:13" ht="15.75">
      <c r="A20" s="4" t="s">
        <v>70</v>
      </c>
      <c r="B20" s="8">
        <v>25</v>
      </c>
      <c r="C20" s="8">
        <v>29.9</v>
      </c>
      <c r="D20" s="8">
        <f>C20-B20</f>
        <v>4.8999999999999986</v>
      </c>
      <c r="E20" s="8">
        <f>D20</f>
        <v>4.8999999999999986</v>
      </c>
      <c r="F20" s="4"/>
      <c r="G20" s="4"/>
      <c r="H20" s="7"/>
      <c r="I20" s="7"/>
      <c r="J20" s="7"/>
      <c r="K20" s="7"/>
      <c r="L20" s="7"/>
      <c r="M20" s="7"/>
    </row>
    <row r="21" spans="1:13" ht="15.75">
      <c r="A21" s="4" t="s">
        <v>71</v>
      </c>
      <c r="B21" s="8">
        <v>30</v>
      </c>
      <c r="C21" s="8">
        <f>B21+C16</f>
        <v>48.4</v>
      </c>
      <c r="D21" s="8">
        <f>D16-D20</f>
        <v>13.5</v>
      </c>
      <c r="E21" s="8">
        <f>D21</f>
        <v>13.5</v>
      </c>
      <c r="F21" s="4"/>
      <c r="G21" s="4"/>
      <c r="H21" s="7"/>
      <c r="I21" s="7"/>
      <c r="J21" s="7"/>
      <c r="K21" s="7"/>
      <c r="L21" s="7"/>
      <c r="M21" s="7"/>
    </row>
    <row r="22" spans="1:13" ht="15.75">
      <c r="A22" s="4" t="s">
        <v>72</v>
      </c>
      <c r="B22" s="4"/>
      <c r="C22" s="4"/>
      <c r="D22" s="8">
        <f>SUM(D16:D21)/4</f>
        <v>10.799999999999999</v>
      </c>
      <c r="E22" s="8">
        <f>SUM(E16:E21)/4</f>
        <v>10.799999999999999</v>
      </c>
      <c r="F22" s="4"/>
      <c r="G22" s="4"/>
      <c r="H22" s="7"/>
      <c r="I22" s="7"/>
      <c r="J22" s="7"/>
      <c r="K22" s="7"/>
      <c r="L22" s="7"/>
      <c r="M22" s="7"/>
    </row>
    <row r="23" spans="1:13" ht="15.75">
      <c r="A23" s="4"/>
      <c r="B23" s="8"/>
      <c r="C23" s="8"/>
      <c r="D23" s="4"/>
      <c r="E23" s="4"/>
      <c r="F23" s="4"/>
      <c r="G23" s="4"/>
      <c r="H23" s="7"/>
      <c r="I23" s="7"/>
      <c r="J23" s="7"/>
      <c r="K23" s="7"/>
      <c r="L23" s="7"/>
      <c r="M23" s="7"/>
    </row>
    <row r="24" spans="1:13" ht="15.75">
      <c r="A24" s="49" t="s">
        <v>190</v>
      </c>
      <c r="B24" s="49">
        <v>17.5</v>
      </c>
      <c r="C24" s="49"/>
      <c r="D24" s="49"/>
      <c r="E24" s="49"/>
      <c r="F24" s="42" t="s">
        <v>43</v>
      </c>
      <c r="G24" s="42" t="s">
        <v>194</v>
      </c>
      <c r="H24" s="7"/>
      <c r="I24" s="7"/>
      <c r="J24" s="7"/>
      <c r="K24" s="7"/>
      <c r="L24" s="7"/>
      <c r="M24" s="7"/>
    </row>
    <row r="25" spans="1:13" ht="15.75">
      <c r="A25" s="49" t="s">
        <v>196</v>
      </c>
      <c r="B25" s="51" t="e">
        <f ca="1">C25</f>
        <v>#N/A</v>
      </c>
      <c r="C25" s="51" t="e">
        <f ca="1">G30-G26</f>
        <v>#N/A</v>
      </c>
      <c r="D25" s="49"/>
      <c r="E25" s="49"/>
      <c r="F25" s="52">
        <f>SUM($D$16:$D$22)</f>
        <v>53.999999999999993</v>
      </c>
      <c r="G25" s="49">
        <v>360</v>
      </c>
      <c r="H25" s="7"/>
      <c r="I25" s="7"/>
      <c r="J25" s="7"/>
      <c r="K25" s="7"/>
      <c r="L25" s="7"/>
      <c r="M25" s="7"/>
    </row>
    <row r="26" spans="1:13" ht="15.75">
      <c r="A26" s="49" t="s">
        <v>195</v>
      </c>
      <c r="B26" s="51" t="e">
        <f ca="1">COS(RADIANS(B25))</f>
        <v>#N/A</v>
      </c>
      <c r="C26" s="53"/>
      <c r="D26" s="51"/>
      <c r="E26" s="49"/>
      <c r="F26" s="51" t="e">
        <f ca="1">IF(Actual_BMI&lt;=0,0,IF(Actual_BMI&gt;=43.2,43.2,Actual_BMI))</f>
        <v>#N/A</v>
      </c>
      <c r="G26" s="51" t="e">
        <f ca="1">G25*F26/F25</f>
        <v>#N/A</v>
      </c>
      <c r="H26" s="7"/>
      <c r="I26" s="7"/>
      <c r="J26" s="7"/>
      <c r="K26" s="7"/>
      <c r="L26" s="7"/>
      <c r="M26" s="7"/>
    </row>
    <row r="27" spans="1:13" ht="15.75">
      <c r="A27" s="49" t="s">
        <v>197</v>
      </c>
      <c r="B27" s="51" t="e">
        <f ca="1">SIN(RADIANS(B25))</f>
        <v>#N/A</v>
      </c>
      <c r="C27" s="49"/>
      <c r="D27" s="51"/>
      <c r="E27" s="49"/>
      <c r="F27" s="49"/>
      <c r="G27" s="52"/>
      <c r="H27" s="7"/>
      <c r="I27" s="7"/>
      <c r="J27" s="7"/>
      <c r="K27" s="7"/>
      <c r="L27" s="7"/>
      <c r="M27" s="7"/>
    </row>
    <row r="28" spans="1:13" ht="15.75">
      <c r="A28" s="49" t="s">
        <v>193</v>
      </c>
      <c r="B28" s="54" t="e">
        <f ca="1">radius*B26</f>
        <v>#N/A</v>
      </c>
      <c r="C28" s="49"/>
      <c r="D28" s="49"/>
      <c r="E28" s="49"/>
      <c r="F28" s="52">
        <f>SUM($D$16:$D$22)</f>
        <v>53.999999999999993</v>
      </c>
      <c r="G28" s="49">
        <v>360</v>
      </c>
      <c r="H28" s="43"/>
      <c r="J28" s="7"/>
      <c r="K28" s="7"/>
      <c r="L28" s="7"/>
      <c r="M28" s="7"/>
    </row>
    <row r="29" spans="1:13" ht="16.5" thickBot="1">
      <c r="A29" s="49" t="s">
        <v>192</v>
      </c>
      <c r="B29" s="51" t="e">
        <f ca="1">B27*radius</f>
        <v>#N/A</v>
      </c>
      <c r="C29" s="49"/>
      <c r="D29" s="49"/>
      <c r="E29" s="49"/>
      <c r="F29" s="51">
        <f>D16+D17</f>
        <v>21.599999999999998</v>
      </c>
      <c r="G29" s="51">
        <f>G28*F29/F28</f>
        <v>144</v>
      </c>
      <c r="H29" s="2"/>
      <c r="K29" s="7"/>
      <c r="L29" s="7"/>
      <c r="M29" s="7"/>
    </row>
    <row r="30" spans="1:13" ht="15.75">
      <c r="A30" s="55" t="s">
        <v>200</v>
      </c>
      <c r="B30" s="46" t="s">
        <v>187</v>
      </c>
      <c r="C30" s="56" t="s">
        <v>188</v>
      </c>
      <c r="D30" s="49"/>
      <c r="E30" s="49"/>
      <c r="F30" s="62" t="s">
        <v>205</v>
      </c>
      <c r="G30" s="51" t="e">
        <f ca="1">IF(ActualBMILimit&lt;=0,90+G29-2,IF(OR(ActualBMILimit&lt;21.6,ActualBMILimit&gt;=43.2),90+G29+3,90+G29))</f>
        <v>#N/A</v>
      </c>
      <c r="K30" s="7"/>
      <c r="L30" s="7"/>
      <c r="M30" s="7"/>
    </row>
    <row r="31" spans="1:13" ht="15.75">
      <c r="A31" s="57" t="s">
        <v>189</v>
      </c>
      <c r="B31" s="58">
        <v>25</v>
      </c>
      <c r="C31" s="59">
        <v>25</v>
      </c>
      <c r="D31" s="49"/>
      <c r="E31" s="49"/>
      <c r="F31" s="49"/>
      <c r="G31" s="49"/>
      <c r="J31" s="49"/>
      <c r="K31" s="7"/>
      <c r="L31" s="7"/>
      <c r="M31" s="7"/>
    </row>
    <row r="32" spans="1:13" ht="16.5" thickBot="1">
      <c r="A32" s="60" t="s">
        <v>191</v>
      </c>
      <c r="B32" s="114" t="e">
        <f ca="1">B31+B28</f>
        <v>#N/A</v>
      </c>
      <c r="C32" s="61" t="e">
        <f ca="1">C31+B29</f>
        <v>#N/A</v>
      </c>
      <c r="D32" s="49"/>
      <c r="E32" s="49"/>
      <c r="F32" s="1"/>
      <c r="G32" s="7"/>
      <c r="I32" s="43"/>
      <c r="J32" s="7"/>
      <c r="K32" s="7"/>
      <c r="L32" s="7"/>
      <c r="M32" s="7"/>
    </row>
    <row r="33" spans="1:13" ht="15.75">
      <c r="D33" s="49"/>
      <c r="E33" s="49"/>
      <c r="F33" s="63"/>
      <c r="I33" s="43"/>
      <c r="J33" s="50"/>
      <c r="K33" s="7"/>
      <c r="L33" s="7"/>
      <c r="M33" s="7"/>
    </row>
    <row r="34" spans="1:13" ht="15.75">
      <c r="A34" s="49"/>
      <c r="B34" s="6"/>
      <c r="C34" s="49"/>
      <c r="D34" s="49"/>
      <c r="E34" s="49"/>
      <c r="F34" s="49"/>
      <c r="G34" s="51"/>
      <c r="I34" s="43"/>
      <c r="J34" s="50"/>
      <c r="K34" s="7"/>
      <c r="L34" s="7"/>
      <c r="M34" s="7"/>
    </row>
    <row r="35" spans="1:13" ht="15.75">
      <c r="A35" s="7"/>
      <c r="B35" s="6"/>
      <c r="C35" s="7"/>
      <c r="D35" s="7"/>
      <c r="H35" s="7"/>
      <c r="I35" s="7"/>
      <c r="J35" s="7"/>
      <c r="K35" s="7"/>
      <c r="L35" s="7"/>
      <c r="M35" s="7"/>
    </row>
    <row r="36" spans="1:13" ht="15.75">
      <c r="B36" s="6"/>
    </row>
    <row r="37" spans="1:13" ht="15.75">
      <c r="B37" s="6"/>
    </row>
    <row r="38" spans="1:13" ht="15.75">
      <c r="B38" s="6"/>
    </row>
    <row r="39" spans="1:13" ht="15.75">
      <c r="B39" s="6"/>
    </row>
    <row r="40" spans="1:13" ht="15.75">
      <c r="B40" s="6"/>
    </row>
    <row r="41" spans="1:13" ht="15.75">
      <c r="B41" s="6"/>
    </row>
    <row r="42" spans="1:13" ht="15.75">
      <c r="B42" s="6"/>
    </row>
    <row r="43" spans="1:13" ht="15.75">
      <c r="B43" s="6"/>
    </row>
    <row r="44" spans="1:13" ht="15.75">
      <c r="B44" s="6"/>
    </row>
    <row r="45" spans="1:13" ht="15.75">
      <c r="B45" s="6"/>
    </row>
    <row r="46" spans="1:13" ht="15.75">
      <c r="B46" s="6"/>
    </row>
    <row r="47" spans="1:13" ht="15.75">
      <c r="B47" s="6"/>
    </row>
    <row r="48" spans="1:13" ht="15.75">
      <c r="B48" s="6"/>
    </row>
    <row r="49" spans="2:2" ht="15.75">
      <c r="B49" s="6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N3:R12">
    <sortCondition descending="1" ref="Q2"/>
  </sortState>
  <mergeCells count="2">
    <mergeCell ref="A1:D1"/>
    <mergeCell ref="A7:D7"/>
  </mergeCells>
  <pageMargins left="0.7" right="0.7" top="0.75" bottom="0.75" header="0.3" footer="0.3"/>
  <pageSetup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9A16-C285-438B-A7C9-22460ED7094A}">
  <sheetPr codeName="Sheet19"/>
  <dimension ref="A1:DI76"/>
  <sheetViews>
    <sheetView showGridLines="0" zoomScaleNormal="100" workbookViewId="0"/>
  </sheetViews>
  <sheetFormatPr defaultColWidth="9.140625" defaultRowHeight="15.75"/>
  <cols>
    <col min="1" max="11" width="9.140625" style="90"/>
    <col min="12" max="42" width="9.140625" style="105"/>
    <col min="43" max="43" width="12.140625" style="105" customWidth="1"/>
    <col min="44" max="44" width="6.5703125" style="105" bestFit="1" customWidth="1"/>
    <col min="45" max="45" width="6.85546875" style="105" bestFit="1" customWidth="1"/>
    <col min="46" max="46" width="6.5703125" style="105" bestFit="1" customWidth="1"/>
    <col min="47" max="47" width="9.140625" style="105"/>
    <col min="48" max="48" width="9.28515625" style="105" customWidth="1"/>
    <col min="49" max="49" width="31.28515625" style="105" bestFit="1" customWidth="1"/>
    <col min="50" max="50" width="51.7109375" style="105" bestFit="1" customWidth="1"/>
    <col min="51" max="51" width="9.140625" style="105"/>
    <col min="52" max="52" width="33" style="105" bestFit="1" customWidth="1"/>
    <col min="53" max="53" width="16" style="105" customWidth="1"/>
    <col min="54" max="54" width="31.7109375" style="105" bestFit="1" customWidth="1"/>
    <col min="55" max="55" width="9.140625" style="105"/>
    <col min="56" max="56" width="14.140625" style="105" bestFit="1" customWidth="1"/>
    <col min="57" max="57" width="11" style="105" bestFit="1" customWidth="1"/>
    <col min="58" max="58" width="9.5703125" style="105" bestFit="1" customWidth="1"/>
    <col min="59" max="59" width="15.42578125" style="105" bestFit="1" customWidth="1"/>
    <col min="60" max="60" width="38.5703125" style="105" bestFit="1" customWidth="1"/>
    <col min="61" max="61" width="13.7109375" style="105" bestFit="1" customWidth="1"/>
    <col min="62" max="62" width="15.28515625" style="105" bestFit="1" customWidth="1"/>
    <col min="63" max="66" width="13.7109375" style="105" customWidth="1"/>
    <col min="67" max="67" width="21" style="105" bestFit="1" customWidth="1"/>
    <col min="68" max="68" width="21" style="105" customWidth="1"/>
    <col min="69" max="69" width="180.7109375" style="105" bestFit="1" customWidth="1"/>
    <col min="70" max="70" width="232" style="105" bestFit="1" customWidth="1"/>
    <col min="71" max="71" width="20" style="105" bestFit="1" customWidth="1"/>
    <col min="72" max="72" width="9.140625" style="105"/>
    <col min="73" max="73" width="12.5703125" style="105" bestFit="1" customWidth="1"/>
    <col min="74" max="74" width="10.5703125" style="105" bestFit="1" customWidth="1"/>
    <col min="75" max="76" width="9.140625" style="105"/>
    <col min="77" max="77" width="14.140625" style="105" bestFit="1" customWidth="1"/>
    <col min="78" max="78" width="9.140625" style="105"/>
    <col min="79" max="79" width="9.140625" style="105" bestFit="1" customWidth="1"/>
    <col min="80" max="80" width="9.140625" style="105"/>
    <col min="81" max="81" width="20.28515625" style="105" customWidth="1"/>
    <col min="82" max="83" width="14.28515625" style="105" bestFit="1" customWidth="1"/>
    <col min="84" max="84" width="14.28515625" style="105" customWidth="1"/>
    <col min="85" max="85" width="9.140625" style="105"/>
    <col min="86" max="86" width="29.42578125" style="105" bestFit="1" customWidth="1"/>
    <col min="87" max="87" width="17.28515625" style="105" bestFit="1" customWidth="1"/>
    <col min="88" max="88" width="9.140625" style="105"/>
    <col min="89" max="89" width="59.85546875" style="105" bestFit="1" customWidth="1"/>
    <col min="90" max="90" width="9.140625" style="105"/>
    <col min="91" max="91" width="17" style="105" customWidth="1"/>
    <col min="92" max="95" width="9.140625" style="105"/>
    <col min="96" max="96" width="10.7109375" style="105" customWidth="1"/>
    <col min="97" max="97" width="35" style="105" bestFit="1" customWidth="1"/>
    <col min="98" max="98" width="9.140625" style="105"/>
    <col min="99" max="99" width="16.5703125" style="105" customWidth="1"/>
    <col min="100" max="100" width="20.28515625" style="105" bestFit="1" customWidth="1"/>
    <col min="101" max="101" width="9.140625" style="105"/>
    <col min="102" max="102" width="18.140625" style="105" bestFit="1" customWidth="1"/>
    <col min="103" max="103" width="13.7109375" style="105" bestFit="1" customWidth="1"/>
    <col min="104" max="104" width="13" style="105" bestFit="1" customWidth="1"/>
    <col min="105" max="111" width="9.140625" style="105"/>
    <col min="112" max="112" width="37.140625" style="105" bestFit="1" customWidth="1"/>
    <col min="113" max="113" width="12.5703125" style="105" customWidth="1"/>
    <col min="114" max="441" width="9.140625" style="105"/>
    <col min="442" max="442" width="11.28515625" style="105" bestFit="1" customWidth="1"/>
    <col min="443" max="16384" width="9.140625" style="105"/>
  </cols>
  <sheetData>
    <row r="1" spans="2:113">
      <c r="AQ1" s="41" t="s">
        <v>33</v>
      </c>
      <c r="AV1" s="41" t="s">
        <v>110</v>
      </c>
      <c r="AZ1" s="41" t="s">
        <v>388</v>
      </c>
      <c r="BD1" s="41" t="s">
        <v>387</v>
      </c>
      <c r="BU1" s="41" t="s">
        <v>389</v>
      </c>
      <c r="CA1" s="41" t="s">
        <v>390</v>
      </c>
      <c r="CC1" s="41" t="s">
        <v>415</v>
      </c>
      <c r="CD1" s="105" t="s">
        <v>416</v>
      </c>
      <c r="CH1" s="41" t="s">
        <v>369</v>
      </c>
      <c r="CK1" s="41" t="s">
        <v>386</v>
      </c>
      <c r="CM1" s="357" t="s">
        <v>63</v>
      </c>
      <c r="CO1" s="105" t="s">
        <v>547</v>
      </c>
      <c r="CS1" s="41" t="s">
        <v>517</v>
      </c>
      <c r="CU1" s="41" t="s">
        <v>518</v>
      </c>
      <c r="CX1" s="41" t="s">
        <v>523</v>
      </c>
      <c r="DB1" s="41" t="s">
        <v>547</v>
      </c>
      <c r="DD1" s="41" t="s">
        <v>547</v>
      </c>
      <c r="DF1" s="41" t="s">
        <v>548</v>
      </c>
      <c r="DH1" s="358" t="s">
        <v>546</v>
      </c>
    </row>
    <row r="2" spans="2:113">
      <c r="DH2" s="269"/>
    </row>
    <row r="3" spans="2:113">
      <c r="AQ3" s="39" t="s">
        <v>0</v>
      </c>
      <c r="AR3" s="39" t="s">
        <v>30</v>
      </c>
      <c r="AS3" s="39" t="s">
        <v>31</v>
      </c>
      <c r="AT3" s="39" t="s">
        <v>32</v>
      </c>
      <c r="AV3" s="359" t="s">
        <v>112</v>
      </c>
      <c r="AW3" s="360" t="s">
        <v>111</v>
      </c>
      <c r="AX3" s="359" t="s">
        <v>108</v>
      </c>
      <c r="AZ3" s="361" t="s">
        <v>209</v>
      </c>
      <c r="BA3" s="361" t="s">
        <v>210</v>
      </c>
      <c r="BB3" s="362" t="s">
        <v>353</v>
      </c>
      <c r="BD3" s="361" t="s">
        <v>329</v>
      </c>
      <c r="BE3" s="362" t="s">
        <v>378</v>
      </c>
      <c r="BF3" s="362" t="s">
        <v>377</v>
      </c>
      <c r="BG3" s="362" t="s">
        <v>379</v>
      </c>
      <c r="BH3" s="362" t="s">
        <v>380</v>
      </c>
      <c r="BI3" s="362" t="s">
        <v>395</v>
      </c>
      <c r="BJ3" s="362" t="s">
        <v>580</v>
      </c>
      <c r="BK3" s="362" t="s">
        <v>581</v>
      </c>
      <c r="BL3" s="362" t="s">
        <v>582</v>
      </c>
      <c r="BM3" s="362" t="s">
        <v>583</v>
      </c>
      <c r="BN3" s="362" t="s">
        <v>584</v>
      </c>
      <c r="BO3" s="362" t="s">
        <v>18</v>
      </c>
      <c r="BP3" s="362" t="s">
        <v>561</v>
      </c>
      <c r="BQ3" s="362" t="s">
        <v>394</v>
      </c>
      <c r="BR3" s="362" t="s">
        <v>384</v>
      </c>
      <c r="BS3" s="362" t="s">
        <v>400</v>
      </c>
      <c r="BU3" s="65" t="s">
        <v>357</v>
      </c>
      <c r="BV3" s="65" t="s">
        <v>330</v>
      </c>
      <c r="BW3" s="65" t="s">
        <v>352</v>
      </c>
      <c r="BX3" s="65" t="s">
        <v>578</v>
      </c>
      <c r="BY3" s="65" t="s">
        <v>392</v>
      </c>
      <c r="CA3" s="363" t="s">
        <v>375</v>
      </c>
      <c r="CC3" s="364" t="s">
        <v>342</v>
      </c>
      <c r="CD3" s="365" t="s">
        <v>343</v>
      </c>
      <c r="CE3" s="364" t="s">
        <v>346</v>
      </c>
      <c r="CF3" s="364" t="s">
        <v>410</v>
      </c>
      <c r="CH3" s="366" t="s">
        <v>370</v>
      </c>
      <c r="CI3" s="366" t="s">
        <v>112</v>
      </c>
      <c r="CK3" s="105" t="s">
        <v>391</v>
      </c>
      <c r="CM3" s="361" t="s">
        <v>418</v>
      </c>
      <c r="CO3" s="247" t="str">
        <f>_xlfn.UNICHAR(9654)</f>
        <v>▶</v>
      </c>
      <c r="CP3" s="198"/>
      <c r="CS3" s="367" t="s">
        <v>431</v>
      </c>
      <c r="CU3" s="368" t="s">
        <v>370</v>
      </c>
      <c r="CV3" s="369" t="s">
        <v>112</v>
      </c>
      <c r="CX3" s="41" t="s">
        <v>342</v>
      </c>
      <c r="CY3" s="41" t="s">
        <v>506</v>
      </c>
      <c r="CZ3" s="41" t="s">
        <v>507</v>
      </c>
      <c r="DB3" s="246" t="str">
        <f>_xlfn.UNICHAR(HEX2DEC("1F4C2"))</f>
        <v>📂</v>
      </c>
      <c r="DF3" s="370" t="s">
        <v>112</v>
      </c>
    </row>
    <row r="4" spans="2:113">
      <c r="C4" s="98"/>
      <c r="AQ4" s="39" t="str">
        <f>INDEX(Setup!$B$16:$B$23,ROW()-3)</f>
        <v>Race</v>
      </c>
      <c r="AR4" s="39">
        <v>0</v>
      </c>
      <c r="AS4" s="39">
        <v>255</v>
      </c>
      <c r="AT4" s="39">
        <v>0</v>
      </c>
      <c r="AV4" s="371">
        <v>-4098</v>
      </c>
      <c r="AW4" s="372" t="s">
        <v>113</v>
      </c>
      <c r="AX4" s="372" t="s">
        <v>433</v>
      </c>
      <c r="AZ4" s="199" t="s">
        <v>211</v>
      </c>
      <c r="BA4" s="199" t="s">
        <v>212</v>
      </c>
      <c r="BB4" s="200" t="s">
        <v>385</v>
      </c>
      <c r="BD4" s="201" t="s">
        <v>330</v>
      </c>
      <c r="BE4" s="202" t="str">
        <f>"https://www.bikereg.com/api/"</f>
        <v>https://www.bikereg.com/api/</v>
      </c>
      <c r="BF4" s="203" t="s">
        <v>393</v>
      </c>
      <c r="BG4" s="203"/>
      <c r="BH4" s="203"/>
      <c r="BI4" s="203" t="str">
        <f>VLOOKUP(EventType,EventTypeTable[],MATCH(APITable[[#This Row],[Database]],EventTypeTable[#Headers],0),FALSE)</f>
        <v>Road Race</v>
      </c>
      <c r="BJ4" s="203" t="s">
        <v>396</v>
      </c>
      <c r="BK4" s="203" t="s">
        <v>397</v>
      </c>
      <c r="BL4" s="203" t="s">
        <v>398</v>
      </c>
      <c r="BM4" s="203" t="s">
        <v>399</v>
      </c>
      <c r="BN4" s="203"/>
      <c r="BO4" s="203" t="str">
        <f>IF(APITable[[#This Row],[Parameter4]]="year",SeasonSearch,"11%2F1%2F"&amp;SeasonSearch-1)</f>
        <v>2022</v>
      </c>
      <c r="BP4" s="203" t="str">
        <f>"10%2F31%2F"&amp;SeasonSearch</f>
        <v>10%2F31%2F2022</v>
      </c>
      <c r="BQ4" s="203" t="str">
        <f>IF(APITable[[#This Row],[Database]]="UCI",APITable[[#This Row],[Parameter1]]&amp;"?"&amp;APITable[[#This Row],[Parameter2]]&amp;"="&amp;APITable[[#This Row],[Event Type]]&amp;"&amp;"&amp;APITable[[#This Row],[Parameter4]]&amp;"="&amp;APITable[[#This Row],[Date]],IF(APITable[[#This Row],[Database]]="BikeReg",APITable[[#This Row],[Parameter1]]&amp;APITable[[#This Row],[Parameter2]]&amp;"="&amp;StateAbbreviation&amp;"&amp;"&amp;APITable[[#This Row],[Parameter3]]&amp;"="&amp;APITable[[#This Row],[Event Type]]&amp;"&amp;"&amp;APITable[[#This Row],[Parameter4]]&amp;"="&amp;APITable[[#This Row],[Date]],APITable[[#This Row],[Parameter1]]&amp;APITable[[#This Row],[Event Type]]&amp;"&amp;"&amp;APITable[[#This Row],[Parameter2]]&amp;APITable[[#This Row],[Date]]&amp;"&amp;"&amp;APITable[[#This Row],[Parameter3]]&amp;APITable[[#This Row],[EndDate]]&amp;"&amp;"&amp;APITable[[#This Row],[Parameter4]]&amp;StateAbbreviation))</f>
        <v>search?states=NY&amp;eventtype=Road Race&amp;year=2022</v>
      </c>
      <c r="BR4" s="203" t="str">
        <f>APITable[[#This Row],[URL]]&amp;APITable[[#This Row],[Query]]</f>
        <v>https://www.bikereg.com/api/search?states=NY&amp;eventtype=Road Race&amp;year=2022</v>
      </c>
      <c r="BS4" s="204" t="s">
        <v>401</v>
      </c>
      <c r="BU4" s="65" t="s">
        <v>358</v>
      </c>
      <c r="BV4" s="65" t="s">
        <v>364</v>
      </c>
      <c r="BW4" s="65" t="s">
        <v>361</v>
      </c>
      <c r="BX4" s="65" t="s">
        <v>361</v>
      </c>
      <c r="BY4" s="65">
        <v>19</v>
      </c>
      <c r="CA4" s="205">
        <f>YEAR(TodayDate)-2</f>
        <v>2020</v>
      </c>
      <c r="CC4" s="373" t="s">
        <v>40</v>
      </c>
      <c r="CD4" s="374" t="s">
        <v>40</v>
      </c>
      <c r="CE4" s="375" t="s">
        <v>505</v>
      </c>
      <c r="CF4" s="376" t="s">
        <v>414</v>
      </c>
      <c r="CH4" s="206" t="s">
        <v>371</v>
      </c>
      <c r="CI4" s="206" t="s">
        <v>392</v>
      </c>
      <c r="CK4" s="105" t="s">
        <v>569</v>
      </c>
      <c r="CM4" s="201" t="s">
        <v>63</v>
      </c>
      <c r="CQ4" s="105" t="s">
        <v>63</v>
      </c>
      <c r="CS4" s="207" t="s">
        <v>40</v>
      </c>
      <c r="CU4" s="208" t="s">
        <v>519</v>
      </c>
      <c r="CV4" s="209" t="s">
        <v>79</v>
      </c>
      <c r="CX4" s="105" t="s">
        <v>40</v>
      </c>
      <c r="CY4" s="105">
        <v>-4157</v>
      </c>
      <c r="CZ4" s="105">
        <v>51</v>
      </c>
      <c r="DB4" s="246" t="str">
        <f>_xlfn.UNICHAR(HEX2DEC("2b61"))</f>
        <v>⭡</v>
      </c>
      <c r="DD4" s="377" t="str">
        <f>UploadURL[Value]</f>
        <v xml:space="preserve"> </v>
      </c>
      <c r="DF4" s="370" t="s">
        <v>331</v>
      </c>
      <c r="DH4" s="241" t="s">
        <v>541</v>
      </c>
      <c r="DI4" s="241" t="s">
        <v>542</v>
      </c>
    </row>
    <row r="5" spans="2:113">
      <c r="B5" s="210"/>
      <c r="C5" s="211"/>
      <c r="D5" s="211"/>
      <c r="E5" s="211"/>
      <c r="G5" s="211"/>
      <c r="H5" s="211"/>
      <c r="I5" s="378"/>
      <c r="AQ5" s="39" t="str">
        <f>INDEX(Setup!$B$16:$B$23,ROW()-3)</f>
        <v>Peak</v>
      </c>
      <c r="AR5" s="39">
        <v>59</v>
      </c>
      <c r="AS5" s="39">
        <v>89</v>
      </c>
      <c r="AT5" s="39">
        <v>152</v>
      </c>
      <c r="AV5" s="371">
        <v>78</v>
      </c>
      <c r="AW5" s="372" t="s">
        <v>114</v>
      </c>
      <c r="AX5" s="372" t="s">
        <v>434</v>
      </c>
      <c r="AZ5" s="212" t="s">
        <v>213</v>
      </c>
      <c r="BA5" s="212" t="s">
        <v>214</v>
      </c>
      <c r="BB5" s="200" t="s">
        <v>385</v>
      </c>
      <c r="BD5" s="201" t="s">
        <v>392</v>
      </c>
      <c r="BE5" s="201" t="str">
        <f>"https://www.usacycling.org/API/events-search/"</f>
        <v>https://www.usacycling.org/API/events-search/</v>
      </c>
      <c r="BF5" s="201" t="s">
        <v>393</v>
      </c>
      <c r="BG5" s="201"/>
      <c r="BH5" s="201"/>
      <c r="BI5" s="203">
        <f>VLOOKUP(EventType,EventTypeTable[],MATCH(APITable[[#This Row],[Database]],EventTypeTable[#Headers],0),FALSE)</f>
        <v>19</v>
      </c>
      <c r="BJ5" s="203" t="s">
        <v>562</v>
      </c>
      <c r="BK5" s="203" t="s">
        <v>563</v>
      </c>
      <c r="BL5" s="203" t="s">
        <v>560</v>
      </c>
      <c r="BM5" s="203" t="s">
        <v>564</v>
      </c>
      <c r="BN5" s="203" t="s">
        <v>565</v>
      </c>
      <c r="BO5" s="203" t="str">
        <f>IF(APITable[[#This Row],[Parameter4]]="year",SeasonSearch,"11%2F1%2F"&amp;SeasonSearch-1)</f>
        <v>11%2F1%2F2021</v>
      </c>
      <c r="BP5" s="203" t="str">
        <f>"10%2F31%2F"&amp;SeasonSearch</f>
        <v>10%2F31%2F2022</v>
      </c>
      <c r="BQ5" s="203" t="str">
        <f>IF(APITable[[#This Row],[Database]]="UCI",APITable[[#This Row],[Parameter1]]&amp;"?"&amp;APITable[[#This Row],[Parameter2]]&amp;"="&amp;APITable[[#This Row],[Event Type]]&amp;"&amp;"&amp;APITable[[#This Row],[Parameter4]]&amp;"="&amp;APITable[[#This Row],[Date]],IF(APITable[[#This Row],[Database]]="BikeReg",APITable[[#This Row],[Parameter1]]&amp;APITable[[#This Row],[Parameter2]]&amp;"="&amp;StateAbbreviation&amp;"&amp;"&amp;APITable[[#This Row],[Parameter3]]&amp;"="&amp;APITable[[#This Row],[Event Type]]&amp;"&amp;"&amp;APITable[[#This Row],[Parameter4]]&amp;"="&amp;APITable[[#This Row],[Date]],APITable[[#This Row],[Parameter1]]&amp;APITable[[#This Row],[Event Type]]&amp;"&amp;"&amp;APITable[[#This Row],[Parameter2]]&amp;APITable[[#This Row],[Date]]&amp;"&amp;"&amp;APITable[[#This Row],[Parameter3]]&amp;APITable[[#This Row],[EndDate]]&amp;"&amp;"&amp;APITable[[#This Row],[Parameter4]]&amp;StateAbbreviation))</f>
        <v>?name=&amp;discipline=19&amp;sub_disciplines=&amp;event_types=&amp;special_calendars=&amp;date_start=11%2F1%2F2021&amp;date_end=10%2F31%2F2022&amp;location=&amp;state=NY</v>
      </c>
      <c r="BR5" s="203" t="str">
        <f>APITable[[#This Row],[URL]]&amp;APITable[[#This Row],[Query]]</f>
        <v>https://www.usacycling.org/API/events-search/?name=&amp;discipline=19&amp;sub_disciplines=&amp;event_types=&amp;special_calendars=&amp;date_start=11%2F1%2F2021&amp;date_end=10%2F31%2F2022&amp;location=&amp;state=NY</v>
      </c>
      <c r="BS5" s="204" t="s">
        <v>402</v>
      </c>
      <c r="BU5" s="65" t="s">
        <v>360</v>
      </c>
      <c r="BV5" s="65" t="s">
        <v>365</v>
      </c>
      <c r="BW5" s="65" t="s">
        <v>362</v>
      </c>
      <c r="BX5" s="65" t="s">
        <v>362</v>
      </c>
      <c r="BY5" s="65">
        <v>21</v>
      </c>
      <c r="CA5" s="213">
        <f>YEAR(TodayDate)-1</f>
        <v>2021</v>
      </c>
      <c r="CC5" s="373" t="s">
        <v>79</v>
      </c>
      <c r="CD5" s="374" t="str" cm="1">
        <f t="array" aca="1" ref="CD5" ca="1">IFERROR(INDEX(INDIRECT("UploadQuery[Calories Unit]"),MATCH(TRUE,INDEX((INDIRECT("UploadQuery[Calories Unit]")&lt;&gt;""),),0)),"C")</f>
        <v>C</v>
      </c>
      <c r="CE5" s="374" t="s">
        <v>347</v>
      </c>
      <c r="CF5" s="376" t="s">
        <v>414</v>
      </c>
      <c r="CH5" s="214" t="s">
        <v>372</v>
      </c>
      <c r="CI5" s="215" t="s">
        <v>358</v>
      </c>
      <c r="CM5" s="216" t="s">
        <v>420</v>
      </c>
      <c r="CQ5" s="105" t="s">
        <v>420</v>
      </c>
      <c r="CS5" s="207" t="s">
        <v>79</v>
      </c>
      <c r="CU5" s="217" t="s">
        <v>521</v>
      </c>
      <c r="CV5" s="218" t="s">
        <v>530</v>
      </c>
      <c r="CX5" s="105" t="s">
        <v>79</v>
      </c>
      <c r="CY5" s="105">
        <v>-4157</v>
      </c>
      <c r="CZ5" s="105">
        <v>51</v>
      </c>
      <c r="DB5" s="246" t="str">
        <f>_xlfn.UNICHAR(HEX2DEC("2b63"))</f>
        <v>⭣</v>
      </c>
      <c r="DH5" s="379" t="s">
        <v>532</v>
      </c>
      <c r="DI5" s="380" t="b">
        <v>0</v>
      </c>
    </row>
    <row r="6" spans="2:113">
      <c r="B6" s="210"/>
      <c r="C6" s="211"/>
      <c r="D6" s="211"/>
      <c r="E6" s="211"/>
      <c r="G6" s="211"/>
      <c r="H6" s="211"/>
      <c r="I6" s="381"/>
      <c r="AQ6" s="39" t="str">
        <f>INDEX(Setup!$B$16:$B$23,ROW()-3)</f>
        <v>Build II</v>
      </c>
      <c r="AR6" s="39">
        <v>210</v>
      </c>
      <c r="AS6" s="39">
        <v>31</v>
      </c>
      <c r="AT6" s="39">
        <v>52</v>
      </c>
      <c r="AV6" s="371">
        <v>79</v>
      </c>
      <c r="AW6" s="372" t="s">
        <v>115</v>
      </c>
      <c r="AX6" s="372" t="s">
        <v>435</v>
      </c>
      <c r="AZ6" s="199" t="s">
        <v>215</v>
      </c>
      <c r="BA6" s="199" t="s">
        <v>216</v>
      </c>
      <c r="BB6" s="200" t="s">
        <v>385</v>
      </c>
      <c r="BD6" s="201" t="s">
        <v>352</v>
      </c>
      <c r="BE6" s="105" t="str">
        <f>"https://www.uci.org/api/calendar/"</f>
        <v>https://www.uci.org/api/calendar/</v>
      </c>
      <c r="BF6" s="201" t="s">
        <v>393</v>
      </c>
      <c r="BG6" s="201"/>
      <c r="BH6" s="201"/>
      <c r="BI6" s="203" t="str">
        <f>VLOOKUP(EventType,EventTypeTable[],MATCH(APITable[[#This Row],[Database]],EventTypeTable[#Headers],0),FALSE)</f>
        <v>ROA</v>
      </c>
      <c r="BJ6" s="203" t="s">
        <v>579</v>
      </c>
      <c r="BK6" s="203" t="s">
        <v>585</v>
      </c>
      <c r="BL6" s="203"/>
      <c r="BM6" s="203" t="s">
        <v>399</v>
      </c>
      <c r="BN6" s="203"/>
      <c r="BO6" s="203" t="str">
        <f>IF(APITable[[#This Row],[Parameter4]]="year",SeasonSearch,"11%2F1%2F"&amp;SeasonSearch-1)</f>
        <v>2022</v>
      </c>
      <c r="BP6" s="203"/>
      <c r="BQ6" s="203" t="str">
        <f>IF(APITable[[#This Row],[Database]]="UCI",APITable[[#This Row],[Parameter1]]&amp;"?"&amp;APITable[[#This Row],[Parameter2]]&amp;"="&amp;APITable[[#This Row],[Event Type]]&amp;"&amp;"&amp;APITable[[#This Row],[Parameter4]]&amp;"="&amp;APITable[[#This Row],[Date]],IF(APITable[[#This Row],[Database]]="BikeReg",APITable[[#This Row],[Parameter1]]&amp;APITable[[#This Row],[Parameter2]]&amp;"="&amp;StateAbbreviation&amp;"&amp;"&amp;APITable[[#This Row],[Parameter3]]&amp;"="&amp;APITable[[#This Row],[Event Type]]&amp;"&amp;"&amp;APITable[[#This Row],[Parameter4]]&amp;"="&amp;APITable[[#This Row],[Date]],APITable[[#This Row],[Parameter1]]&amp;APITable[[#This Row],[Event Type]]&amp;"&amp;"&amp;APITable[[#This Row],[Parameter2]]&amp;APITable[[#This Row],[Date]]&amp;"&amp;"&amp;APITable[[#This Row],[Parameter3]]&amp;APITable[[#This Row],[EndDate]]&amp;"&amp;"&amp;APITable[[#This Row],[Parameter4]]&amp;StateAbbreviation))</f>
        <v>past?discipline=ROA&amp;year=2022</v>
      </c>
      <c r="BR6" s="203" t="str">
        <f>APITable[[#This Row],[URL]]&amp;APITable[[#This Row],[Query]]</f>
        <v>https://www.uci.org/api/calendar/past?discipline=ROA&amp;year=2022</v>
      </c>
      <c r="BS6" s="204" t="s">
        <v>403</v>
      </c>
      <c r="BU6" s="65" t="s">
        <v>359</v>
      </c>
      <c r="BV6" s="65" t="s">
        <v>366</v>
      </c>
      <c r="BW6" s="65" t="s">
        <v>363</v>
      </c>
      <c r="BX6" s="65" t="s">
        <v>363</v>
      </c>
      <c r="BY6" s="65">
        <v>23</v>
      </c>
      <c r="CA6" s="219">
        <f>YEAR(TodayDate)</f>
        <v>2022</v>
      </c>
      <c r="CC6" s="373" t="s">
        <v>508</v>
      </c>
      <c r="CD6" s="374" t="s">
        <v>344</v>
      </c>
      <c r="CE6" s="374" t="s">
        <v>417</v>
      </c>
      <c r="CF6" s="376" t="s">
        <v>411</v>
      </c>
      <c r="CH6" s="206" t="s">
        <v>373</v>
      </c>
      <c r="CI6" s="220" t="s">
        <v>273</v>
      </c>
      <c r="CS6" s="221" t="s">
        <v>508</v>
      </c>
      <c r="CU6" s="208" t="s">
        <v>520</v>
      </c>
      <c r="CV6" s="222" t="s">
        <v>46</v>
      </c>
      <c r="CX6" s="105" t="s">
        <v>508</v>
      </c>
      <c r="CY6" s="105">
        <v>-4157</v>
      </c>
      <c r="CZ6" s="105">
        <v>51</v>
      </c>
      <c r="DH6" s="382" t="s">
        <v>533</v>
      </c>
      <c r="DI6" s="380" t="b">
        <v>0</v>
      </c>
    </row>
    <row r="7" spans="2:113">
      <c r="B7" s="210"/>
      <c r="C7" s="211"/>
      <c r="D7" s="211"/>
      <c r="E7" s="211"/>
      <c r="G7" s="211"/>
      <c r="H7" s="211"/>
      <c r="I7" s="381"/>
      <c r="AQ7" s="39" t="str">
        <f>INDEX(Setup!$B$16:$B$23,ROW()-3)</f>
        <v>Build I</v>
      </c>
      <c r="AR7" s="39">
        <v>166</v>
      </c>
      <c r="AS7" s="39">
        <v>31</v>
      </c>
      <c r="AT7" s="39">
        <v>52</v>
      </c>
      <c r="AV7" s="371">
        <v>60</v>
      </c>
      <c r="AW7" s="372" t="s">
        <v>116</v>
      </c>
      <c r="AX7" s="372" t="s">
        <v>436</v>
      </c>
      <c r="AZ7" s="212" t="s">
        <v>217</v>
      </c>
      <c r="BA7" s="212" t="s">
        <v>218</v>
      </c>
      <c r="BB7" s="200" t="s">
        <v>385</v>
      </c>
      <c r="BR7" s="224"/>
      <c r="BS7" s="224"/>
      <c r="BU7" s="65" t="s">
        <v>367</v>
      </c>
      <c r="BV7" s="65" t="s">
        <v>367</v>
      </c>
      <c r="BW7" s="65" t="s">
        <v>368</v>
      </c>
      <c r="BX7" s="65" t="s">
        <v>368</v>
      </c>
      <c r="BY7" s="65">
        <v>20</v>
      </c>
      <c r="CA7" s="205">
        <f>YEAR(TodayDate)+1</f>
        <v>2023</v>
      </c>
      <c r="CC7" s="373" t="s">
        <v>413</v>
      </c>
      <c r="CD7" s="374" t="s">
        <v>344</v>
      </c>
      <c r="CE7" s="374" t="s">
        <v>417</v>
      </c>
      <c r="CF7" s="376" t="s">
        <v>411</v>
      </c>
      <c r="CH7" s="214" t="s">
        <v>374</v>
      </c>
      <c r="CI7" s="215" t="str">
        <f>VLOOKUP(StateSearch,StateTable[],2,FALSE)</f>
        <v>NY</v>
      </c>
      <c r="CS7" s="223" t="s">
        <v>511</v>
      </c>
      <c r="CU7" s="217" t="s">
        <v>522</v>
      </c>
      <c r="CV7" s="218" t="s">
        <v>530</v>
      </c>
      <c r="CX7" s="105" t="s">
        <v>511</v>
      </c>
      <c r="CY7" s="105">
        <v>-4106</v>
      </c>
      <c r="CZ7" s="105">
        <v>4</v>
      </c>
      <c r="DH7" s="383" t="s">
        <v>534</v>
      </c>
      <c r="DI7" s="380" t="b">
        <v>1</v>
      </c>
    </row>
    <row r="8" spans="2:113">
      <c r="B8" s="210"/>
      <c r="C8" s="211"/>
      <c r="D8" s="211"/>
      <c r="E8" s="211"/>
      <c r="G8" s="211"/>
      <c r="H8" s="211"/>
      <c r="I8" s="381"/>
      <c r="AQ8" s="39" t="str">
        <f>INDEX(Setup!$B$16:$B$23,ROW()-3)</f>
        <v>Base III</v>
      </c>
      <c r="AR8" s="39">
        <v>255</v>
      </c>
      <c r="AS8" s="39">
        <v>170</v>
      </c>
      <c r="AT8" s="39">
        <v>100</v>
      </c>
      <c r="AV8" s="371">
        <v>61</v>
      </c>
      <c r="AW8" s="372" t="s">
        <v>117</v>
      </c>
      <c r="AX8" s="372" t="s">
        <v>437</v>
      </c>
      <c r="AZ8" s="199" t="s">
        <v>219</v>
      </c>
      <c r="BA8" s="199" t="s">
        <v>220</v>
      </c>
      <c r="BB8" s="200" t="s">
        <v>385</v>
      </c>
      <c r="BR8" s="72"/>
      <c r="BS8" s="72"/>
      <c r="BU8" s="65"/>
      <c r="BV8" s="65"/>
      <c r="BW8" s="65"/>
      <c r="BX8" s="65"/>
      <c r="BY8" s="65"/>
      <c r="CC8" s="373" t="s">
        <v>511</v>
      </c>
      <c r="CD8" s="374" t="str" cm="1">
        <f t="array" aca="1" ref="CD8" ca="1">IFERROR(INDEX(INDIRECT("UploadQuery[Cadence Unit]"),MATCH(TRUE,INDEX((INDIRECT("UploadQuery[Cadence Unit]")&lt;&gt;""),),0)),"rpm")</f>
        <v>rpm</v>
      </c>
      <c r="CE8" s="374" t="str" cm="1">
        <f t="array" aca="1" ref="CE8" ca="1">IFERROR(INDEX(INDIRECT("UploadQuery[Cadence Unit]"),MATCH(TRUE,INDEX((INDIRECT("UploadQuery[Cadence Unit]")&lt;&gt;""),),0)),"rpm")</f>
        <v>rpm</v>
      </c>
      <c r="CF8" s="376">
        <v>0</v>
      </c>
      <c r="CH8" s="225" t="s">
        <v>376</v>
      </c>
      <c r="CI8" s="226" t="s">
        <v>572</v>
      </c>
      <c r="CS8" s="223" t="s">
        <v>530</v>
      </c>
      <c r="CU8" s="227" t="s">
        <v>524</v>
      </c>
      <c r="CV8" s="228" t="s">
        <v>512</v>
      </c>
      <c r="CX8" s="105" t="s">
        <v>530</v>
      </c>
      <c r="CY8" s="105">
        <v>-4106</v>
      </c>
      <c r="CZ8" s="105">
        <v>4</v>
      </c>
      <c r="DH8" s="382" t="s">
        <v>535</v>
      </c>
      <c r="DI8" s="380" t="b">
        <v>1</v>
      </c>
    </row>
    <row r="9" spans="2:113">
      <c r="B9" s="210"/>
      <c r="C9" s="211"/>
      <c r="D9" s="211"/>
      <c r="E9" s="211"/>
      <c r="G9" s="211"/>
      <c r="H9" s="211"/>
      <c r="I9" s="381"/>
      <c r="AQ9" s="39" t="str">
        <f>INDEX(Setup!$B$16:$B$23,ROW()-3)</f>
        <v>Base II</v>
      </c>
      <c r="AR9" s="39">
        <v>255</v>
      </c>
      <c r="AS9" s="39">
        <v>128</v>
      </c>
      <c r="AT9" s="39">
        <v>80</v>
      </c>
      <c r="AV9" s="371">
        <v>62</v>
      </c>
      <c r="AW9" s="372" t="s">
        <v>118</v>
      </c>
      <c r="AX9" s="372" t="s">
        <v>438</v>
      </c>
      <c r="AZ9" s="212" t="s">
        <v>221</v>
      </c>
      <c r="BA9" s="212" t="s">
        <v>222</v>
      </c>
      <c r="BB9" s="200" t="s">
        <v>385</v>
      </c>
      <c r="CC9" s="373" t="s">
        <v>345</v>
      </c>
      <c r="CD9" s="374" t="str" cm="1">
        <f t="array" aca="1" ref="CD9" ca="1">IFERROR(INDEX(INDIRECT("UploadQuery[Cadence Unit]"),MATCH(TRUE,INDEX((INDIRECT("UploadQuery[Cadence Unit]")&lt;&gt;""),),0)),"rpm")</f>
        <v>rpm</v>
      </c>
      <c r="CE9" s="374" t="str" cm="1">
        <f t="array" aca="1" ref="CE9" ca="1">IFERROR(INDEX(INDIRECT("UploadQuery[Cadence Unit]"),MATCH(TRUE,INDEX((INDIRECT("UploadQuery[Cadence Unit]")&lt;&gt;""),),0)),"rpm")</f>
        <v>rpm</v>
      </c>
      <c r="CF9" s="376">
        <v>0</v>
      </c>
      <c r="CS9" s="223" t="s">
        <v>101</v>
      </c>
      <c r="CU9" s="217" t="s">
        <v>525</v>
      </c>
      <c r="CV9" s="217" t="s">
        <v>530</v>
      </c>
      <c r="CX9" s="105" t="s">
        <v>101</v>
      </c>
      <c r="CY9" s="105">
        <v>-4106</v>
      </c>
      <c r="CZ9" s="105">
        <v>4</v>
      </c>
      <c r="DH9" s="380" t="s">
        <v>536</v>
      </c>
      <c r="DI9" s="380" t="b">
        <v>1</v>
      </c>
    </row>
    <row r="10" spans="2:113">
      <c r="B10" s="210"/>
      <c r="C10" s="211"/>
      <c r="D10" s="211"/>
      <c r="E10" s="211"/>
      <c r="G10" s="211"/>
      <c r="H10" s="211"/>
      <c r="I10" s="381"/>
      <c r="AQ10" s="39" t="str">
        <f>INDEX(Setup!$B$16:$B$23,ROW()-3)</f>
        <v>Base I</v>
      </c>
      <c r="AR10" s="39">
        <v>255</v>
      </c>
      <c r="AS10" s="39">
        <v>128</v>
      </c>
      <c r="AT10" s="39">
        <v>0</v>
      </c>
      <c r="AV10" s="371">
        <v>-4100</v>
      </c>
      <c r="AW10" s="372" t="s">
        <v>119</v>
      </c>
      <c r="AX10" s="372" t="s">
        <v>439</v>
      </c>
      <c r="AZ10" s="199" t="s">
        <v>223</v>
      </c>
      <c r="BA10" s="199" t="s">
        <v>224</v>
      </c>
      <c r="BB10" s="200" t="s">
        <v>385</v>
      </c>
      <c r="BD10" s="401" t="s">
        <v>578</v>
      </c>
      <c r="BE10" s="402" t="str">
        <f>"https://www.uci.org/web-interface/Base/ExportExcelCalendar"</f>
        <v>https://www.uci.org/web-interface/Base/ExportExcelCalendar</v>
      </c>
      <c r="BF10" s="402" t="s">
        <v>381</v>
      </c>
      <c r="BG10" s="402" t="s">
        <v>382</v>
      </c>
      <c r="BH10" s="402" t="s">
        <v>383</v>
      </c>
      <c r="BI10" s="402" t="e">
        <f>VLOOKUP(EventType,EventTypeTable[],MATCH(APITable[[#This Row],[Database]],EventTypeTable[#Headers],0),FALSE)</f>
        <v>#VALUE!</v>
      </c>
      <c r="BJ10" s="402"/>
      <c r="BK10" s="402"/>
      <c r="BL10" s="402"/>
      <c r="BM10" s="402"/>
      <c r="BN10" s="402"/>
      <c r="BO10" s="403" t="e">
        <f>IF(APITable[[#This Row],[Parameter4]]="year",SeasonSearch,"11%2F1%2F"&amp;SeasonSearch-1)</f>
        <v>#VALUE!</v>
      </c>
      <c r="BP10" s="403" t="str">
        <f>"10%2F31%2F"&amp;SeasonSearch</f>
        <v>10%2F31%2F2022</v>
      </c>
      <c r="BQ10" s="402" t="e">
        <f>IF(APITable[[#This Row],[Database]]="UCI",APITable[[#This Row],[Parameter1]]&amp;"?"&amp;APITable[[#This Row],[Parameter2]]&amp;"="&amp;APITable[[#This Row],[Event Type]]&amp;"&amp;"&amp;APITable[[#This Row],[Parameter4]]&amp;"="&amp;APITable[[#This Row],[Date]],IF(APITable[[#This Row],[Database]]="BikeReg",APITable[[#This Row],[Parameter1]]&amp;APITable[[#This Row],[Parameter2]]&amp;"="&amp;StateAbbreviation&amp;"&amp;"&amp;APITable[[#This Row],[Parameter3]]&amp;"="&amp;APITable[[#This Row],[Event Type]]&amp;"&amp;"&amp;APITable[[#This Row],[Parameter4]]&amp;"="&amp;APITable[[#This Row],[Date]],APITable[[#This Row],[Parameter1]]&amp;APITable[[#This Row],[Event Type]]&amp;"&amp;"&amp;APITable[[#This Row],[Parameter2]]&amp;APITable[[#This Row],[Date]]&amp;"&amp;"&amp;APITable[[#This Row],[Parameter3]]&amp;APITable[[#This Row],[EndDate]]&amp;"&amp;"&amp;APITable[[#This Row],[Parameter4]]&amp;StateAbbreviation&amp;APITable[[#This Row],[Parameter5]]))</f>
        <v>#VALUE!</v>
      </c>
      <c r="BR10" s="403" t="e">
        <f>APITable[[#This Row],[URL]]&amp;APITable[[#This Row],[Query]]</f>
        <v>#VALUE!</v>
      </c>
      <c r="BS10" s="404" t="s">
        <v>403</v>
      </c>
      <c r="CC10" s="373" t="s">
        <v>25</v>
      </c>
      <c r="CD10" s="374" t="str" cm="1">
        <f t="array" aca="1" ref="CD10" ca="1">IFERROR(INDEX(INDIRECT("UploadQuery[Calories Unit]"),MATCH(TRUE,INDEX((INDIRECT("UploadQuery[Calories Unit]")&lt;&gt;""),),0)),"C")</f>
        <v>C</v>
      </c>
      <c r="CE10" s="374" t="s">
        <v>347</v>
      </c>
      <c r="CF10" s="376" t="s">
        <v>414</v>
      </c>
      <c r="CS10" s="223" t="s">
        <v>100</v>
      </c>
      <c r="CU10" s="227" t="s">
        <v>526</v>
      </c>
      <c r="CV10" s="228" t="s">
        <v>509</v>
      </c>
      <c r="CX10" s="105" t="s">
        <v>100</v>
      </c>
      <c r="CY10" s="105">
        <v>-4157</v>
      </c>
      <c r="CZ10" s="105">
        <v>51</v>
      </c>
      <c r="DH10" s="380" t="s">
        <v>537</v>
      </c>
      <c r="DI10" s="380" t="b">
        <v>1</v>
      </c>
    </row>
    <row r="11" spans="2:113">
      <c r="B11" s="210"/>
      <c r="C11" s="211"/>
      <c r="D11" s="211"/>
      <c r="E11" s="211"/>
      <c r="G11" s="211"/>
      <c r="H11" s="211"/>
      <c r="I11" s="381"/>
      <c r="AQ11" s="39" t="str">
        <f>INDEX(Setup!$B$16:$B$23,ROW()-3)</f>
        <v>Prep.</v>
      </c>
      <c r="AR11" s="39">
        <v>255</v>
      </c>
      <c r="AS11" s="39">
        <v>200</v>
      </c>
      <c r="AT11" s="39">
        <v>0</v>
      </c>
      <c r="AV11" s="371">
        <v>54</v>
      </c>
      <c r="AW11" s="372" t="s">
        <v>120</v>
      </c>
      <c r="AX11" s="372" t="s">
        <v>440</v>
      </c>
      <c r="AZ11" s="212" t="s">
        <v>225</v>
      </c>
      <c r="BA11" s="212" t="s">
        <v>226</v>
      </c>
      <c r="BB11" s="200" t="s">
        <v>385</v>
      </c>
      <c r="CC11" s="373" t="s">
        <v>26</v>
      </c>
      <c r="CD11" s="374" t="str" cm="1">
        <f t="array" aca="1" ref="CD11" ca="1">IFERROR(INDEX(INDIRECT("UploadQuery[Calories Unit]"),MATCH(TRUE,INDEX((INDIRECT("UploadQuery[Calories Unit]")&lt;&gt;""),),0)),"C")</f>
        <v>C</v>
      </c>
      <c r="CE11" s="374" t="s">
        <v>347</v>
      </c>
      <c r="CF11" s="376" t="s">
        <v>414</v>
      </c>
      <c r="CS11" s="223" t="s">
        <v>509</v>
      </c>
      <c r="CU11" s="217" t="s">
        <v>527</v>
      </c>
      <c r="CV11" s="217"/>
      <c r="CX11" s="105" t="s">
        <v>509</v>
      </c>
      <c r="CY11" s="105">
        <v>-4157</v>
      </c>
      <c r="CZ11" s="105">
        <v>1</v>
      </c>
      <c r="DH11" s="380" t="s">
        <v>538</v>
      </c>
      <c r="DI11" s="380" t="b">
        <v>1</v>
      </c>
    </row>
    <row r="12" spans="2:113">
      <c r="B12" s="210"/>
      <c r="C12" s="211"/>
      <c r="D12" s="211"/>
      <c r="E12" s="211"/>
      <c r="G12" s="211"/>
      <c r="H12" s="211"/>
      <c r="I12" s="381"/>
      <c r="AQ12" s="39" t="s">
        <v>90</v>
      </c>
      <c r="AR12" s="39">
        <v>255</v>
      </c>
      <c r="AS12" s="39">
        <v>128</v>
      </c>
      <c r="AT12" s="39">
        <v>0</v>
      </c>
      <c r="AV12" s="371">
        <v>55</v>
      </c>
      <c r="AW12" s="372" t="s">
        <v>121</v>
      </c>
      <c r="AX12" s="372" t="s">
        <v>441</v>
      </c>
      <c r="AZ12" s="199" t="s">
        <v>227</v>
      </c>
      <c r="BA12" s="199" t="s">
        <v>228</v>
      </c>
      <c r="BB12" s="200" t="s">
        <v>385</v>
      </c>
      <c r="CC12" s="373" t="s">
        <v>332</v>
      </c>
      <c r="CD12" s="374" t="str" cm="1">
        <f t="array" aca="1" ref="CD12" ca="1">IFERROR(INDEX(INDIRECT("UploadQuery[Calories Unit]"),MATCH(TRUE,INDEX((INDIRECT("UploadQuery[Calories Unit]")&lt;&gt;""),),0)),"C")</f>
        <v>C</v>
      </c>
      <c r="CE12" s="374" t="s">
        <v>347</v>
      </c>
      <c r="CF12" s="376" t="s">
        <v>414</v>
      </c>
      <c r="CS12" s="223" t="s">
        <v>510</v>
      </c>
      <c r="CX12" s="105" t="s">
        <v>510</v>
      </c>
      <c r="CY12" s="105">
        <v>-4106</v>
      </c>
      <c r="CZ12" s="105">
        <v>4</v>
      </c>
      <c r="DH12" s="380" t="s">
        <v>539</v>
      </c>
      <c r="DI12" s="380" t="b">
        <v>0</v>
      </c>
    </row>
    <row r="13" spans="2:113">
      <c r="B13" s="210"/>
      <c r="C13" s="211"/>
      <c r="D13" s="211"/>
      <c r="E13" s="211"/>
      <c r="G13" s="211"/>
      <c r="H13" s="211"/>
      <c r="I13" s="381"/>
      <c r="AQ13" s="39" t="s">
        <v>333</v>
      </c>
      <c r="AR13" s="39">
        <v>166</v>
      </c>
      <c r="AS13" s="39">
        <v>166</v>
      </c>
      <c r="AT13" s="39">
        <v>166</v>
      </c>
      <c r="AV13" s="371">
        <v>56</v>
      </c>
      <c r="AW13" s="372" t="s">
        <v>122</v>
      </c>
      <c r="AX13" s="372" t="s">
        <v>442</v>
      </c>
      <c r="AZ13" s="212" t="s">
        <v>229</v>
      </c>
      <c r="BA13" s="212" t="s">
        <v>230</v>
      </c>
      <c r="BB13" s="200" t="s">
        <v>385</v>
      </c>
      <c r="BR13" s="229"/>
      <c r="BS13" s="229"/>
      <c r="CC13" s="373" t="s">
        <v>530</v>
      </c>
      <c r="CD13" s="374" t="str">
        <f>UnitsTable[[#This Row],[Field]]</f>
        <v>Cal/hour</v>
      </c>
      <c r="CE13" s="374" t="str">
        <f>UnitsTable[[#This Row],[Field]]</f>
        <v>Cal/hour</v>
      </c>
      <c r="CF13" s="376">
        <v>0</v>
      </c>
      <c r="CS13" s="223" t="s">
        <v>512</v>
      </c>
      <c r="CX13" s="105" t="s">
        <v>512</v>
      </c>
      <c r="CY13" s="105">
        <v>-4106</v>
      </c>
      <c r="CZ13" s="105">
        <v>4</v>
      </c>
      <c r="DH13" s="380" t="s">
        <v>540</v>
      </c>
      <c r="DI13" s="380" t="b">
        <v>0</v>
      </c>
    </row>
    <row r="14" spans="2:113">
      <c r="B14" s="210"/>
      <c r="C14" s="211"/>
      <c r="D14" s="211"/>
      <c r="E14" s="211"/>
      <c r="G14" s="211"/>
      <c r="H14" s="211"/>
      <c r="I14" s="381"/>
      <c r="AQ14" s="39" t="s">
        <v>91</v>
      </c>
      <c r="AR14" s="39">
        <v>0</v>
      </c>
      <c r="AS14" s="39">
        <v>255</v>
      </c>
      <c r="AT14" s="39">
        <v>0</v>
      </c>
      <c r="AV14" s="371">
        <v>-4101</v>
      </c>
      <c r="AW14" s="372" t="s">
        <v>123</v>
      </c>
      <c r="AX14" s="372" t="s">
        <v>443</v>
      </c>
      <c r="AZ14" s="199" t="s">
        <v>231</v>
      </c>
      <c r="BA14" s="199" t="s">
        <v>232</v>
      </c>
      <c r="BB14" s="200" t="s">
        <v>385</v>
      </c>
      <c r="BR14" s="229"/>
      <c r="BS14" s="229"/>
      <c r="CC14" s="373" t="s">
        <v>101</v>
      </c>
      <c r="CD14" s="374" t="str">
        <f>UnitsTable[[#This Row],[Field]]</f>
        <v>Climber Index</v>
      </c>
      <c r="CE14" s="374" t="str">
        <f>UnitsTable[[#This Row],[Field]]</f>
        <v>Climber Index</v>
      </c>
      <c r="CF14" s="376">
        <v>0</v>
      </c>
      <c r="CS14" s="223" t="s">
        <v>47</v>
      </c>
      <c r="CX14" s="105" t="s">
        <v>47</v>
      </c>
      <c r="CY14" s="105">
        <v>-4106</v>
      </c>
      <c r="CZ14" s="105">
        <v>4</v>
      </c>
      <c r="DH14" s="380" t="s">
        <v>543</v>
      </c>
      <c r="DI14" s="380" t="b">
        <v>0</v>
      </c>
    </row>
    <row r="15" spans="2:113">
      <c r="G15" s="211"/>
      <c r="AQ15" s="39" t="s">
        <v>92</v>
      </c>
      <c r="AR15" s="39">
        <v>166</v>
      </c>
      <c r="AS15" s="39">
        <v>166</v>
      </c>
      <c r="AT15" s="39">
        <v>166</v>
      </c>
      <c r="AV15" s="371">
        <v>-4102</v>
      </c>
      <c r="AW15" s="372" t="s">
        <v>124</v>
      </c>
      <c r="AX15" s="372" t="s">
        <v>444</v>
      </c>
      <c r="AZ15" s="212" t="s">
        <v>233</v>
      </c>
      <c r="BA15" s="212" t="s">
        <v>234</v>
      </c>
      <c r="BB15" s="200" t="s">
        <v>385</v>
      </c>
      <c r="BR15" s="86"/>
      <c r="BS15" s="86"/>
      <c r="CC15" s="373" t="s">
        <v>100</v>
      </c>
      <c r="CD15" s="374" t="str" cm="1">
        <f t="array" aca="1" ref="CD15" ca="1">IFERROR(INDEX(INDIRECT("UploadQuery[Distance Unit]"),MATCH(TRUE,INDEX((INDIRECT("UploadQuery[Distance Unit]")&lt;&gt;""),),0)),"mi")</f>
        <v>mi</v>
      </c>
      <c r="CE15" s="374" t="str" cm="1">
        <f t="array" aca="1" ref="CE15" ca="1">IFERROR(INDEX(INDIRECT("UploadQuery[Distance Unit]"),MATCH(TRUE,INDEX((INDIRECT("UploadQuery[Distance Unit]")&lt;&gt;""),),0)),"mi")</f>
        <v>mi</v>
      </c>
      <c r="CF15" s="376" t="s">
        <v>414</v>
      </c>
      <c r="CS15" s="223" t="s">
        <v>46</v>
      </c>
      <c r="CX15" s="105" t="s">
        <v>46</v>
      </c>
      <c r="CY15" s="105">
        <v>-4106</v>
      </c>
      <c r="CZ15" s="105">
        <v>4</v>
      </c>
      <c r="DH15" s="380" t="s">
        <v>545</v>
      </c>
      <c r="DI15" s="380" t="b">
        <v>1</v>
      </c>
    </row>
    <row r="16" spans="2:113">
      <c r="G16" s="211"/>
      <c r="AQ16" s="39" t="s">
        <v>94</v>
      </c>
      <c r="AR16" s="39">
        <v>0</v>
      </c>
      <c r="AS16" s="39">
        <v>0</v>
      </c>
      <c r="AT16" s="39">
        <v>255</v>
      </c>
      <c r="AV16" s="371">
        <v>70</v>
      </c>
      <c r="AW16" s="372" t="s">
        <v>125</v>
      </c>
      <c r="AX16" s="372" t="s">
        <v>445</v>
      </c>
      <c r="AZ16" s="199" t="s">
        <v>235</v>
      </c>
      <c r="BA16" s="199" t="s">
        <v>236</v>
      </c>
      <c r="BB16" s="200" t="s">
        <v>385</v>
      </c>
      <c r="BR16" s="86"/>
      <c r="BS16" s="86"/>
      <c r="CC16" s="373" t="s">
        <v>509</v>
      </c>
      <c r="CD16" s="374" t="str" cm="1">
        <f t="array" aca="1" ref="CD16" ca="1">IFERROR(INDEX(INDIRECT("UploadQuery[Elevation Unit]"),MATCH(TRUE,INDEX((INDIRECT("UploadQuery[Elevation Unit]")&lt;&gt;""),),0)),"ft")</f>
        <v>ft</v>
      </c>
      <c r="CE16" s="374" t="str" cm="1">
        <f t="array" aca="1" ref="CE16" ca="1">IFERROR(INDEX(INDIRECT("UploadQuery[Elevation Unit]"),MATCH(TRUE,INDEX((INDIRECT("UploadQuery[Elevation Unit]")&lt;&gt;""),),0)),"ft")</f>
        <v>ft</v>
      </c>
      <c r="CF16" s="376" t="s">
        <v>414</v>
      </c>
      <c r="CR16" s="133"/>
      <c r="CS16" s="230"/>
      <c r="CT16" s="133"/>
      <c r="CU16" s="133"/>
    </row>
    <row r="17" spans="7:99">
      <c r="G17" s="211"/>
      <c r="AQ17" s="39" t="s">
        <v>93</v>
      </c>
      <c r="AR17" s="39">
        <v>255</v>
      </c>
      <c r="AS17" s="39">
        <v>0</v>
      </c>
      <c r="AT17" s="39">
        <v>0</v>
      </c>
      <c r="AV17" s="371">
        <v>1</v>
      </c>
      <c r="AW17" s="372" t="s">
        <v>126</v>
      </c>
      <c r="AX17" s="372" t="s">
        <v>127</v>
      </c>
      <c r="AZ17" s="212" t="s">
        <v>237</v>
      </c>
      <c r="BA17" s="212" t="s">
        <v>238</v>
      </c>
      <c r="BB17" s="200" t="s">
        <v>385</v>
      </c>
      <c r="CC17" s="373" t="s">
        <v>95</v>
      </c>
      <c r="CD17" s="374" t="str" cm="1">
        <f t="array" aca="1" ref="CD17" ca="1">IFERROR(INDEX(INDIRECT("UploadQuery[Elevation Unit]"),MATCH(TRUE,INDEX((INDIRECT("UploadQuery[Elevation Unit]")&lt;&gt;""),),0)),"ft")</f>
        <v>ft</v>
      </c>
      <c r="CE17" s="374" t="str" cm="1">
        <f t="array" aca="1" ref="CE17" ca="1">IFERROR(INDEX(INDIRECT("UploadQuery[Elevation Unit]"),MATCH(TRUE,INDEX((INDIRECT("UploadQuery[Elevation Unit]")&lt;&gt;""),),0)),"ft")</f>
        <v>ft</v>
      </c>
      <c r="CF17" s="376" t="s">
        <v>414</v>
      </c>
      <c r="CR17" s="133"/>
      <c r="CS17" s="133"/>
      <c r="CT17" s="133"/>
      <c r="CU17" s="133"/>
    </row>
    <row r="18" spans="7:99">
      <c r="G18" s="211"/>
      <c r="AQ18" s="39" t="s">
        <v>102</v>
      </c>
      <c r="AR18" s="39">
        <v>225</v>
      </c>
      <c r="AS18" s="39">
        <v>104</v>
      </c>
      <c r="AT18" s="39">
        <v>75</v>
      </c>
      <c r="AV18" s="371">
        <v>76</v>
      </c>
      <c r="AW18" s="372" t="s">
        <v>128</v>
      </c>
      <c r="AX18" s="372" t="s">
        <v>446</v>
      </c>
      <c r="AZ18" s="199" t="s">
        <v>239</v>
      </c>
      <c r="BA18" s="199" t="s">
        <v>240</v>
      </c>
      <c r="BB18" s="200" t="s">
        <v>385</v>
      </c>
      <c r="CC18" s="373" t="s">
        <v>510</v>
      </c>
      <c r="CD18" s="374" t="str" cm="1">
        <f t="array" aca="1" ref="CD18" ca="1">IFERROR(INDEX(INDIRECT("UploadQuery[Heart Rate Unit]"),MATCH(TRUE,INDEX((INDIRECT("UploadQuery[Heart Rate Unit]")&lt;&gt;""),),0)),"bpm")</f>
        <v>bpm</v>
      </c>
      <c r="CE18" s="374" t="str" cm="1">
        <f t="array" aca="1" ref="CE18" ca="1">IFERROR(INDEX(INDIRECT("UploadQuery[Heart Rate Unit]"),MATCH(TRUE,INDEX((INDIRECT("UploadQuery[Heart Rate Unit]")&lt;&gt;""),),0)),"bpm")</f>
        <v>bpm</v>
      </c>
      <c r="CF18" s="376">
        <v>0</v>
      </c>
    </row>
    <row r="19" spans="7:99">
      <c r="G19" s="211"/>
      <c r="AQ19" s="39" t="s">
        <v>531</v>
      </c>
      <c r="AR19" s="39">
        <v>255</v>
      </c>
      <c r="AS19" s="39">
        <v>255</v>
      </c>
      <c r="AT19" s="39">
        <v>0</v>
      </c>
      <c r="AV19" s="371">
        <v>77</v>
      </c>
      <c r="AW19" s="372" t="s">
        <v>129</v>
      </c>
      <c r="AX19" s="372" t="s">
        <v>435</v>
      </c>
      <c r="AZ19" s="212" t="s">
        <v>241</v>
      </c>
      <c r="BA19" s="212" t="s">
        <v>242</v>
      </c>
      <c r="BB19" s="200" t="s">
        <v>385</v>
      </c>
      <c r="CC19" s="373" t="s">
        <v>39</v>
      </c>
      <c r="CD19" s="374" t="str" cm="1">
        <f t="array" aca="1" ref="CD19" ca="1">IFERROR(INDEX(INDIRECT("UploadQuery[Heart Rate Unit]"),MATCH(TRUE,INDEX((INDIRECT("UploadQuery[Heart Rate Unit]")&lt;&gt;""),),0)),"bpm")</f>
        <v>bpm</v>
      </c>
      <c r="CE19" s="374" t="str" cm="1">
        <f t="array" aca="1" ref="CE19" ca="1">IFERROR(INDEX(INDIRECT("UploadQuery[Heart Rate Unit]"),MATCH(TRUE,INDEX((INDIRECT("UploadQuery[Heart Rate Unit]")&lt;&gt;""),),0)),"bpm")</f>
        <v>bpm</v>
      </c>
      <c r="CF19" s="376">
        <v>0</v>
      </c>
    </row>
    <row r="20" spans="7:99">
      <c r="G20" s="211"/>
      <c r="AQ20" s="105" t="s">
        <v>44</v>
      </c>
      <c r="AR20" s="105">
        <v>166</v>
      </c>
      <c r="AS20" s="105">
        <v>166</v>
      </c>
      <c r="AT20" s="105">
        <v>166</v>
      </c>
      <c r="AV20" s="371">
        <v>57</v>
      </c>
      <c r="AW20" s="372" t="s">
        <v>130</v>
      </c>
      <c r="AX20" s="372" t="s">
        <v>447</v>
      </c>
      <c r="AZ20" s="199" t="s">
        <v>243</v>
      </c>
      <c r="BA20" s="199" t="s">
        <v>244</v>
      </c>
      <c r="BB20" s="200" t="s">
        <v>385</v>
      </c>
      <c r="CC20" s="373" t="s">
        <v>45</v>
      </c>
      <c r="CD20" s="374" t="str" cm="1">
        <f t="array" aca="1" ref="CD20" ca="1">IFERROR(INDEX(INDIRECT("UploadQuery[Heart Rate Unit]"),MATCH(TRUE,INDEX((INDIRECT("UploadQuery[Heart Rate Unit]")&lt;&gt;""),),0)),"bpm")</f>
        <v>bpm</v>
      </c>
      <c r="CE20" s="374" t="str" cm="1">
        <f t="array" aca="1" ref="CE20" ca="1">IFERROR(INDEX(INDIRECT("UploadQuery[Heart Rate Unit]"),MATCH(TRUE,INDEX((INDIRECT("UploadQuery[Heart Rate Unit]")&lt;&gt;""),),0)),"bpm")</f>
        <v>bpm</v>
      </c>
      <c r="CF20" s="376">
        <v>0</v>
      </c>
    </row>
    <row r="21" spans="7:99">
      <c r="G21" s="211"/>
      <c r="AQ21" s="105" t="s">
        <v>36</v>
      </c>
      <c r="AR21" s="105">
        <v>125</v>
      </c>
      <c r="AS21" s="105">
        <v>255</v>
      </c>
      <c r="AT21" s="105">
        <v>125</v>
      </c>
      <c r="AV21" s="371">
        <v>71</v>
      </c>
      <c r="AW21" s="372" t="s">
        <v>131</v>
      </c>
      <c r="AX21" s="372" t="s">
        <v>448</v>
      </c>
      <c r="AZ21" s="212" t="s">
        <v>245</v>
      </c>
      <c r="BA21" s="212" t="s">
        <v>246</v>
      </c>
      <c r="BB21" s="200" t="s">
        <v>385</v>
      </c>
      <c r="CC21" s="373" t="s">
        <v>512</v>
      </c>
      <c r="CD21" s="374" t="s">
        <v>344</v>
      </c>
      <c r="CE21" s="374" t="s">
        <v>501</v>
      </c>
      <c r="CF21" s="376" t="s">
        <v>411</v>
      </c>
    </row>
    <row r="22" spans="7:99">
      <c r="G22" s="211"/>
      <c r="AQ22" s="105" t="s">
        <v>99</v>
      </c>
      <c r="AV22" s="371">
        <v>58</v>
      </c>
      <c r="AW22" s="372" t="s">
        <v>132</v>
      </c>
      <c r="AX22" s="372" t="s">
        <v>449</v>
      </c>
      <c r="AZ22" s="199" t="s">
        <v>247</v>
      </c>
      <c r="BA22" s="199" t="s">
        <v>248</v>
      </c>
      <c r="BB22" s="200" t="s">
        <v>385</v>
      </c>
      <c r="CC22" s="373" t="str">
        <f>WeightUnit</f>
        <v>lb</v>
      </c>
      <c r="CD22" s="374" t="str">
        <f>UnitsTable[[#This Row],[Field]]</f>
        <v>lb</v>
      </c>
      <c r="CE22" s="375" t="str">
        <f>UnitsTable[[#This Row],[Unit]]</f>
        <v>lb</v>
      </c>
      <c r="CF22" s="376" t="str">
        <f>"0.0"</f>
        <v>0.0</v>
      </c>
    </row>
    <row r="23" spans="7:99">
      <c r="G23" s="211"/>
      <c r="AQ23" s="105" t="s">
        <v>42</v>
      </c>
      <c r="AR23" s="105">
        <v>166</v>
      </c>
      <c r="AS23" s="105">
        <v>166</v>
      </c>
      <c r="AT23" s="105">
        <v>166</v>
      </c>
      <c r="AV23" s="371">
        <v>59</v>
      </c>
      <c r="AW23" s="372" t="s">
        <v>133</v>
      </c>
      <c r="AX23" s="372" t="s">
        <v>450</v>
      </c>
      <c r="AZ23" s="212" t="s">
        <v>249</v>
      </c>
      <c r="BA23" s="212" t="s">
        <v>250</v>
      </c>
      <c r="BB23" s="200" t="s">
        <v>385</v>
      </c>
      <c r="CC23" s="373" t="s">
        <v>341</v>
      </c>
      <c r="CD23" s="374" t="s">
        <v>344</v>
      </c>
      <c r="CE23" s="374" t="s">
        <v>417</v>
      </c>
      <c r="CF23" s="376" t="s">
        <v>411</v>
      </c>
    </row>
    <row r="24" spans="7:99">
      <c r="G24" s="211"/>
      <c r="AQ24" s="39" t="s">
        <v>335</v>
      </c>
      <c r="AR24" s="105">
        <v>166</v>
      </c>
      <c r="AS24" s="105">
        <v>166</v>
      </c>
      <c r="AT24" s="105">
        <v>166</v>
      </c>
      <c r="AV24" s="371">
        <v>15</v>
      </c>
      <c r="AW24" s="372" t="s">
        <v>134</v>
      </c>
      <c r="AX24" s="372" t="s">
        <v>451</v>
      </c>
      <c r="AZ24" s="199" t="s">
        <v>251</v>
      </c>
      <c r="BA24" s="199" t="s">
        <v>252</v>
      </c>
      <c r="BB24" s="200" t="s">
        <v>385</v>
      </c>
      <c r="CC24" s="373" t="s">
        <v>412</v>
      </c>
      <c r="CD24" s="374" t="s">
        <v>344</v>
      </c>
      <c r="CE24" s="374" t="s">
        <v>417</v>
      </c>
      <c r="CF24" s="376" t="s">
        <v>411</v>
      </c>
    </row>
    <row r="25" spans="7:99">
      <c r="G25" s="211"/>
      <c r="AQ25" s="105" t="s">
        <v>336</v>
      </c>
      <c r="AR25" s="105">
        <v>255</v>
      </c>
      <c r="AS25" s="105">
        <v>0</v>
      </c>
      <c r="AT25" s="105">
        <v>0</v>
      </c>
      <c r="AV25" s="371">
        <v>87</v>
      </c>
      <c r="AW25" s="372" t="s">
        <v>135</v>
      </c>
      <c r="AX25" s="372" t="s">
        <v>452</v>
      </c>
      <c r="AZ25" s="212" t="s">
        <v>253</v>
      </c>
      <c r="BA25" s="212" t="s">
        <v>254</v>
      </c>
      <c r="BB25" s="200" t="s">
        <v>385</v>
      </c>
      <c r="CC25" s="373" t="s">
        <v>47</v>
      </c>
      <c r="CD25" s="374" t="str">
        <f ca="1">IFERROR(INDEX(INDIRECT("UploadQuery[Power Unit]"),MATCH(TRUE,INDEX((INDIRECT("UploadQuery[Power Unit]")&lt;&gt;""),),0)),"W")</f>
        <v>W</v>
      </c>
      <c r="CE25" s="374" t="s">
        <v>348</v>
      </c>
      <c r="CF25" s="376" t="s">
        <v>414</v>
      </c>
    </row>
    <row r="26" spans="7:99">
      <c r="G26" s="211"/>
      <c r="AQ26" s="105" t="s">
        <v>337</v>
      </c>
      <c r="AR26" s="105">
        <v>166</v>
      </c>
      <c r="AS26" s="105">
        <v>166</v>
      </c>
      <c r="AT26" s="105">
        <v>166</v>
      </c>
      <c r="AV26" s="371">
        <v>51</v>
      </c>
      <c r="AW26" s="372" t="s">
        <v>136</v>
      </c>
      <c r="AX26" s="372" t="s">
        <v>453</v>
      </c>
      <c r="AZ26" s="199" t="s">
        <v>255</v>
      </c>
      <c r="BA26" s="199" t="s">
        <v>256</v>
      </c>
      <c r="BB26" s="200" t="s">
        <v>385</v>
      </c>
      <c r="CC26" s="373" t="s">
        <v>334</v>
      </c>
      <c r="CD26" s="374" t="str">
        <f ca="1">IFERROR(INDEX(INDIRECT("UploadQuery[Power Unit]"),MATCH(TRUE,INDEX((INDIRECT("UploadQuery[Power Unit]")&lt;&gt;""),),0)),"W")</f>
        <v>W</v>
      </c>
      <c r="CE26" s="374" t="s">
        <v>348</v>
      </c>
      <c r="CF26" s="376" t="s">
        <v>414</v>
      </c>
    </row>
    <row r="27" spans="7:99">
      <c r="G27" s="211"/>
      <c r="AQ27" s="39" t="s">
        <v>25</v>
      </c>
      <c r="AR27" s="39">
        <v>255</v>
      </c>
      <c r="AS27" s="39">
        <v>128</v>
      </c>
      <c r="AT27" s="39">
        <v>0</v>
      </c>
      <c r="AV27" s="371">
        <v>52</v>
      </c>
      <c r="AW27" s="372" t="s">
        <v>137</v>
      </c>
      <c r="AX27" s="372" t="s">
        <v>454</v>
      </c>
      <c r="AZ27" s="212" t="s">
        <v>257</v>
      </c>
      <c r="BA27" s="212" t="s">
        <v>258</v>
      </c>
      <c r="BB27" s="200" t="s">
        <v>385</v>
      </c>
      <c r="CC27" s="373" t="s">
        <v>46</v>
      </c>
      <c r="CD27" s="374" t="str" cm="1">
        <f t="array" aca="1" ref="CD27" ca="1">IFERROR(INDEX(INDIRECT("UploadQuery[Speed Unit]"),MATCH(TRUE,INDEX((INDIRECT("UploadQuery[Speed Unit]")&lt;&gt;""),),0)),"mph")</f>
        <v>mph</v>
      </c>
      <c r="CE27" s="374" t="str" cm="1">
        <f t="array" aca="1" ref="CE27" ca="1">IFERROR(INDEX(INDIRECT("UploadQuery[Speed Unit]"),MATCH(TRUE,INDEX((INDIRECT("UploadQuery[Speed Unit]")&lt;&gt;""),),0)),"mph")</f>
        <v>mph</v>
      </c>
      <c r="CF27" s="376" t="str">
        <f>"0.0"</f>
        <v>0.0</v>
      </c>
    </row>
    <row r="28" spans="7:99">
      <c r="G28" s="211"/>
      <c r="AQ28" s="39" t="s">
        <v>17</v>
      </c>
      <c r="AR28" s="39">
        <v>0</v>
      </c>
      <c r="AS28" s="39">
        <v>255</v>
      </c>
      <c r="AT28" s="39">
        <v>0</v>
      </c>
      <c r="AV28" s="371">
        <v>53</v>
      </c>
      <c r="AW28" s="372" t="s">
        <v>138</v>
      </c>
      <c r="AX28" s="372" t="s">
        <v>455</v>
      </c>
      <c r="AZ28" s="199" t="s">
        <v>259</v>
      </c>
      <c r="BA28" s="199" t="s">
        <v>260</v>
      </c>
      <c r="BB28" s="200" t="s">
        <v>385</v>
      </c>
      <c r="CC28" s="373" t="s">
        <v>34</v>
      </c>
      <c r="CD28" s="374" t="s">
        <v>344</v>
      </c>
      <c r="CE28" s="374" t="s">
        <v>417</v>
      </c>
      <c r="CF28" s="376" t="s">
        <v>411</v>
      </c>
    </row>
    <row r="29" spans="7:99">
      <c r="G29" s="211"/>
      <c r="AQ29" s="39" t="s">
        <v>39</v>
      </c>
      <c r="AR29" s="39">
        <v>0</v>
      </c>
      <c r="AS29" s="39">
        <v>0</v>
      </c>
      <c r="AT29" s="39">
        <v>255</v>
      </c>
      <c r="AV29" s="371">
        <v>102</v>
      </c>
      <c r="AW29" s="372" t="s">
        <v>139</v>
      </c>
      <c r="AX29" s="372" t="s">
        <v>456</v>
      </c>
      <c r="AZ29" s="212" t="s">
        <v>261</v>
      </c>
      <c r="BA29" s="212" t="s">
        <v>262</v>
      </c>
      <c r="BB29" s="200" t="s">
        <v>385</v>
      </c>
      <c r="CC29" s="373" t="s">
        <v>17</v>
      </c>
      <c r="CD29" s="374" t="str">
        <f>WeightUnit</f>
        <v>lb</v>
      </c>
      <c r="CE29" s="374" t="str">
        <f>WeightUnit</f>
        <v>lb</v>
      </c>
      <c r="CF29" s="376" t="str">
        <f>"0.0"</f>
        <v>0.0</v>
      </c>
    </row>
    <row r="30" spans="7:99">
      <c r="G30" s="211"/>
      <c r="AQ30" s="39" t="s">
        <v>46</v>
      </c>
      <c r="AR30" s="39">
        <v>255</v>
      </c>
      <c r="AS30" s="39">
        <v>0</v>
      </c>
      <c r="AT30" s="39">
        <v>0</v>
      </c>
      <c r="AV30" s="371">
        <v>103</v>
      </c>
      <c r="AW30" s="372" t="s">
        <v>140</v>
      </c>
      <c r="AX30" s="372" t="s">
        <v>457</v>
      </c>
      <c r="AZ30" s="199" t="s">
        <v>263</v>
      </c>
      <c r="BA30" s="199" t="s">
        <v>264</v>
      </c>
      <c r="BB30" s="200" t="s">
        <v>385</v>
      </c>
      <c r="CC30" s="373" t="s">
        <v>19</v>
      </c>
      <c r="CD30" s="374" t="str">
        <f>WeightUnit</f>
        <v>lb</v>
      </c>
      <c r="CE30" s="374" t="str">
        <f>WeightUnit</f>
        <v>lb</v>
      </c>
      <c r="CF30" s="376" t="str">
        <f>"0.0"</f>
        <v>0.0</v>
      </c>
    </row>
    <row r="31" spans="7:99">
      <c r="G31" s="211"/>
      <c r="AQ31" s="39" t="s">
        <v>101</v>
      </c>
      <c r="AR31" s="39">
        <v>225</v>
      </c>
      <c r="AS31" s="39">
        <v>104</v>
      </c>
      <c r="AT31" s="39">
        <v>75</v>
      </c>
      <c r="AV31" s="371">
        <v>104</v>
      </c>
      <c r="AW31" s="372" t="s">
        <v>141</v>
      </c>
      <c r="AX31" s="372" t="s">
        <v>458</v>
      </c>
      <c r="AZ31" s="212" t="s">
        <v>265</v>
      </c>
      <c r="BA31" s="212" t="s">
        <v>266</v>
      </c>
      <c r="BB31" s="200" t="s">
        <v>385</v>
      </c>
    </row>
    <row r="32" spans="7:99">
      <c r="G32" s="211"/>
      <c r="AQ32" s="39" t="s">
        <v>530</v>
      </c>
      <c r="AR32" s="39">
        <v>255</v>
      </c>
      <c r="AS32" s="39">
        <v>255</v>
      </c>
      <c r="AT32" s="39">
        <v>0</v>
      </c>
      <c r="AV32" s="371">
        <v>105</v>
      </c>
      <c r="AW32" s="372" t="s">
        <v>142</v>
      </c>
      <c r="AX32" s="372" t="s">
        <v>459</v>
      </c>
      <c r="AZ32" s="199" t="s">
        <v>267</v>
      </c>
      <c r="BA32" s="199" t="s">
        <v>268</v>
      </c>
      <c r="BB32" s="200" t="s">
        <v>385</v>
      </c>
      <c r="CC32" s="384"/>
      <c r="CF32" s="376"/>
    </row>
    <row r="33" spans="7:83">
      <c r="G33" s="211"/>
      <c r="AQ33" s="105" t="s">
        <v>549</v>
      </c>
      <c r="AR33" s="105">
        <v>166</v>
      </c>
      <c r="AS33" s="105">
        <v>166</v>
      </c>
      <c r="AT33" s="105">
        <v>166</v>
      </c>
      <c r="AV33" s="371">
        <v>99</v>
      </c>
      <c r="AW33" s="372" t="s">
        <v>143</v>
      </c>
      <c r="AX33" s="372" t="s">
        <v>460</v>
      </c>
      <c r="AZ33" s="212" t="s">
        <v>269</v>
      </c>
      <c r="BA33" s="212" t="s">
        <v>270</v>
      </c>
      <c r="BB33" s="200" t="s">
        <v>385</v>
      </c>
      <c r="CC33" s="384"/>
      <c r="CD33" s="376"/>
      <c r="CE33" s="385"/>
    </row>
    <row r="34" spans="7:83">
      <c r="G34" s="211"/>
      <c r="AQ34" s="105" t="s">
        <v>40</v>
      </c>
      <c r="AV34" s="371">
        <v>100</v>
      </c>
      <c r="AW34" s="372" t="s">
        <v>144</v>
      </c>
      <c r="AX34" s="372" t="s">
        <v>461</v>
      </c>
      <c r="AZ34" s="199" t="s">
        <v>271</v>
      </c>
      <c r="BA34" s="199" t="s">
        <v>272</v>
      </c>
      <c r="BB34" s="200" t="s">
        <v>385</v>
      </c>
      <c r="CC34" s="384"/>
      <c r="CD34" s="376"/>
      <c r="CE34" s="385"/>
    </row>
    <row r="35" spans="7:83">
      <c r="G35" s="211"/>
      <c r="AQ35" s="105" t="s">
        <v>508</v>
      </c>
      <c r="AV35" s="371">
        <v>101</v>
      </c>
      <c r="AW35" s="372" t="s">
        <v>145</v>
      </c>
      <c r="AX35" s="372" t="s">
        <v>462</v>
      </c>
      <c r="AZ35" s="212" t="s">
        <v>273</v>
      </c>
      <c r="BA35" s="212" t="s">
        <v>274</v>
      </c>
      <c r="BB35" s="200" t="s">
        <v>385</v>
      </c>
      <c r="CC35" s="384"/>
      <c r="CD35" s="376"/>
      <c r="CE35" s="385"/>
    </row>
    <row r="36" spans="7:83">
      <c r="G36" s="211"/>
      <c r="AQ36" s="105" t="s">
        <v>35</v>
      </c>
      <c r="AV36" s="371">
        <v>95</v>
      </c>
      <c r="AW36" s="372" t="s">
        <v>146</v>
      </c>
      <c r="AX36" s="372" t="s">
        <v>463</v>
      </c>
      <c r="AZ36" s="199" t="s">
        <v>275</v>
      </c>
      <c r="BA36" s="199" t="s">
        <v>276</v>
      </c>
      <c r="BB36" s="200" t="s">
        <v>385</v>
      </c>
      <c r="CC36" s="384"/>
      <c r="CD36" s="376"/>
      <c r="CE36" s="385"/>
    </row>
    <row r="37" spans="7:83">
      <c r="G37" s="211"/>
      <c r="AQ37" s="105" t="s">
        <v>511</v>
      </c>
      <c r="AV37" s="371">
        <v>96</v>
      </c>
      <c r="AW37" s="372" t="s">
        <v>147</v>
      </c>
      <c r="AX37" s="372" t="s">
        <v>464</v>
      </c>
      <c r="AZ37" s="212" t="s">
        <v>277</v>
      </c>
      <c r="BA37" s="212" t="s">
        <v>278</v>
      </c>
      <c r="BB37" s="200" t="s">
        <v>385</v>
      </c>
      <c r="CC37" s="384"/>
      <c r="CD37" s="376"/>
      <c r="CE37" s="385"/>
    </row>
    <row r="38" spans="7:83">
      <c r="G38" s="211"/>
      <c r="AQ38" s="105" t="s">
        <v>42</v>
      </c>
      <c r="AR38" s="105">
        <v>166</v>
      </c>
      <c r="AS38" s="105">
        <v>166</v>
      </c>
      <c r="AT38" s="105">
        <v>166</v>
      </c>
      <c r="AV38" s="371">
        <v>97</v>
      </c>
      <c r="AW38" s="372" t="s">
        <v>148</v>
      </c>
      <c r="AX38" s="372" t="s">
        <v>465</v>
      </c>
      <c r="AZ38" s="199" t="s">
        <v>279</v>
      </c>
      <c r="BA38" s="199" t="s">
        <v>280</v>
      </c>
      <c r="BB38" s="200" t="s">
        <v>385</v>
      </c>
      <c r="CC38" s="384"/>
      <c r="CD38" s="376"/>
      <c r="CE38" s="385"/>
    </row>
    <row r="39" spans="7:83">
      <c r="G39" s="211"/>
      <c r="AQ39" s="105" t="s">
        <v>101</v>
      </c>
      <c r="AV39" s="371">
        <v>98</v>
      </c>
      <c r="AW39" s="372" t="s">
        <v>149</v>
      </c>
      <c r="AX39" s="372" t="s">
        <v>466</v>
      </c>
      <c r="AZ39" s="212" t="s">
        <v>281</v>
      </c>
      <c r="BA39" s="212" t="s">
        <v>282</v>
      </c>
      <c r="BB39" s="200" t="s">
        <v>385</v>
      </c>
      <c r="CC39" s="384"/>
      <c r="CD39" s="376"/>
      <c r="CE39" s="385"/>
    </row>
    <row r="40" spans="7:83">
      <c r="G40" s="211"/>
      <c r="AQ40" s="105" t="s">
        <v>47</v>
      </c>
      <c r="AR40" s="105">
        <v>255</v>
      </c>
      <c r="AS40" s="105">
        <v>0</v>
      </c>
      <c r="AT40" s="105">
        <v>0</v>
      </c>
      <c r="AV40" s="371">
        <v>92</v>
      </c>
      <c r="AW40" s="372" t="s">
        <v>150</v>
      </c>
      <c r="AX40" s="372" t="s">
        <v>460</v>
      </c>
      <c r="AZ40" s="199" t="s">
        <v>283</v>
      </c>
      <c r="BA40" s="199" t="s">
        <v>284</v>
      </c>
      <c r="BB40" s="200" t="s">
        <v>385</v>
      </c>
    </row>
    <row r="41" spans="7:83">
      <c r="G41" s="211"/>
      <c r="AQ41" s="105" t="s">
        <v>100</v>
      </c>
      <c r="AV41" s="371">
        <v>93</v>
      </c>
      <c r="AW41" s="372" t="s">
        <v>151</v>
      </c>
      <c r="AX41" s="372" t="s">
        <v>461</v>
      </c>
      <c r="AZ41" s="212" t="s">
        <v>285</v>
      </c>
      <c r="BA41" s="212" t="s">
        <v>286</v>
      </c>
      <c r="BB41" s="200" t="s">
        <v>385</v>
      </c>
    </row>
    <row r="42" spans="7:83">
      <c r="G42" s="211"/>
      <c r="AQ42" s="105" t="s">
        <v>512</v>
      </c>
      <c r="AV42" s="371">
        <v>94</v>
      </c>
      <c r="AW42" s="372" t="s">
        <v>152</v>
      </c>
      <c r="AX42" s="372" t="s">
        <v>467</v>
      </c>
      <c r="AZ42" s="199" t="s">
        <v>287</v>
      </c>
      <c r="BA42" s="199" t="s">
        <v>288</v>
      </c>
      <c r="BB42" s="200" t="s">
        <v>385</v>
      </c>
    </row>
    <row r="43" spans="7:83">
      <c r="G43" s="211"/>
      <c r="AQ43" s="105" t="s">
        <v>509</v>
      </c>
      <c r="AV43" s="371">
        <v>-4120</v>
      </c>
      <c r="AW43" s="372" t="s">
        <v>153</v>
      </c>
      <c r="AX43" s="372" t="s">
        <v>468</v>
      </c>
      <c r="AZ43" s="212" t="s">
        <v>289</v>
      </c>
      <c r="BA43" s="212" t="s">
        <v>290</v>
      </c>
      <c r="BB43" s="200" t="s">
        <v>385</v>
      </c>
    </row>
    <row r="44" spans="7:83">
      <c r="G44" s="211"/>
      <c r="AV44" s="371">
        <v>80</v>
      </c>
      <c r="AW44" s="372" t="s">
        <v>154</v>
      </c>
      <c r="AX44" s="372" t="s">
        <v>469</v>
      </c>
      <c r="AZ44" s="199" t="s">
        <v>291</v>
      </c>
      <c r="BA44" s="199" t="s">
        <v>292</v>
      </c>
      <c r="BB44" s="200" t="s">
        <v>385</v>
      </c>
    </row>
    <row r="45" spans="7:83">
      <c r="G45" s="211"/>
      <c r="AV45" s="371">
        <v>4</v>
      </c>
      <c r="AW45" s="372" t="s">
        <v>155</v>
      </c>
      <c r="AX45" s="372" t="s">
        <v>470</v>
      </c>
      <c r="AZ45" s="212" t="s">
        <v>293</v>
      </c>
      <c r="BA45" s="212" t="s">
        <v>294</v>
      </c>
      <c r="BB45" s="200" t="s">
        <v>385</v>
      </c>
    </row>
    <row r="46" spans="7:83">
      <c r="G46" s="211"/>
      <c r="AV46" s="371">
        <v>65</v>
      </c>
      <c r="AW46" s="372" t="s">
        <v>156</v>
      </c>
      <c r="AX46" s="372" t="s">
        <v>471</v>
      </c>
      <c r="AZ46" s="199" t="s">
        <v>295</v>
      </c>
      <c r="BA46" s="199" t="s">
        <v>296</v>
      </c>
      <c r="BB46" s="200" t="s">
        <v>385</v>
      </c>
    </row>
    <row r="47" spans="7:83">
      <c r="AV47" s="371">
        <v>66</v>
      </c>
      <c r="AW47" s="372" t="s">
        <v>157</v>
      </c>
      <c r="AX47" s="372" t="s">
        <v>472</v>
      </c>
      <c r="AZ47" s="212" t="s">
        <v>297</v>
      </c>
      <c r="BA47" s="212" t="s">
        <v>298</v>
      </c>
      <c r="BB47" s="200" t="s">
        <v>385</v>
      </c>
    </row>
    <row r="48" spans="7:83">
      <c r="AV48" s="371">
        <v>67</v>
      </c>
      <c r="AW48" s="372" t="s">
        <v>158</v>
      </c>
      <c r="AX48" s="372" t="s">
        <v>473</v>
      </c>
      <c r="AZ48" s="199" t="s">
        <v>299</v>
      </c>
      <c r="BA48" s="199" t="s">
        <v>300</v>
      </c>
      <c r="BB48" s="200" t="s">
        <v>385</v>
      </c>
    </row>
    <row r="49" spans="48:54">
      <c r="AV49" s="371">
        <v>63</v>
      </c>
      <c r="AW49" s="372" t="s">
        <v>159</v>
      </c>
      <c r="AX49" s="372" t="s">
        <v>474</v>
      </c>
      <c r="AZ49" s="212" t="s">
        <v>301</v>
      </c>
      <c r="BA49" s="212" t="s">
        <v>302</v>
      </c>
      <c r="BB49" s="200" t="s">
        <v>385</v>
      </c>
    </row>
    <row r="50" spans="48:54">
      <c r="AV50" s="371">
        <v>64</v>
      </c>
      <c r="AW50" s="372" t="s">
        <v>160</v>
      </c>
      <c r="AX50" s="372" t="s">
        <v>475</v>
      </c>
      <c r="AZ50" s="199" t="s">
        <v>303</v>
      </c>
      <c r="BA50" s="199" t="s">
        <v>304</v>
      </c>
      <c r="BB50" s="200" t="s">
        <v>385</v>
      </c>
    </row>
    <row r="51" spans="48:54">
      <c r="AV51" s="371">
        <v>5</v>
      </c>
      <c r="AW51" s="372" t="s">
        <v>161</v>
      </c>
      <c r="AX51" s="372" t="s">
        <v>476</v>
      </c>
      <c r="AZ51" s="212" t="s">
        <v>305</v>
      </c>
      <c r="BA51" s="212" t="s">
        <v>306</v>
      </c>
      <c r="BB51" s="200" t="s">
        <v>385</v>
      </c>
    </row>
    <row r="52" spans="48:54">
      <c r="AV52" s="371">
        <v>69</v>
      </c>
      <c r="AW52" s="372" t="s">
        <v>162</v>
      </c>
      <c r="AX52" s="372" t="s">
        <v>477</v>
      </c>
      <c r="AZ52" s="199" t="s">
        <v>307</v>
      </c>
      <c r="BA52" s="199" t="s">
        <v>308</v>
      </c>
      <c r="BB52" s="200" t="s">
        <v>385</v>
      </c>
    </row>
    <row r="53" spans="48:54">
      <c r="AV53" s="371">
        <v>68</v>
      </c>
      <c r="AW53" s="372" t="s">
        <v>163</v>
      </c>
      <c r="AX53" s="372" t="s">
        <v>478</v>
      </c>
      <c r="AZ53" s="212" t="s">
        <v>309</v>
      </c>
      <c r="BA53" s="212" t="s">
        <v>310</v>
      </c>
      <c r="BB53" s="200" t="s">
        <v>385</v>
      </c>
    </row>
    <row r="54" spans="48:54">
      <c r="AV54" s="371">
        <v>109</v>
      </c>
      <c r="AW54" s="372" t="s">
        <v>164</v>
      </c>
      <c r="AX54" s="372" t="s">
        <v>479</v>
      </c>
      <c r="AZ54" s="199" t="s">
        <v>311</v>
      </c>
      <c r="BA54" s="199" t="s">
        <v>312</v>
      </c>
      <c r="BB54" s="200" t="s">
        <v>385</v>
      </c>
    </row>
    <row r="55" spans="48:54">
      <c r="AV55" s="371">
        <v>110</v>
      </c>
      <c r="AW55" s="372" t="s">
        <v>165</v>
      </c>
      <c r="AX55" s="372" t="s">
        <v>480</v>
      </c>
      <c r="AZ55" s="212" t="s">
        <v>313</v>
      </c>
      <c r="BA55" s="212" t="s">
        <v>314</v>
      </c>
      <c r="BB55" s="200" t="s">
        <v>385</v>
      </c>
    </row>
    <row r="56" spans="48:54">
      <c r="AV56" s="371">
        <v>111</v>
      </c>
      <c r="AW56" s="372" t="s">
        <v>166</v>
      </c>
      <c r="AX56" s="372" t="s">
        <v>481</v>
      </c>
      <c r="AZ56" s="199" t="s">
        <v>315</v>
      </c>
      <c r="BA56" s="199" t="s">
        <v>316</v>
      </c>
      <c r="BB56" s="200" t="s">
        <v>385</v>
      </c>
    </row>
    <row r="57" spans="48:54">
      <c r="AV57" s="371">
        <v>112</v>
      </c>
      <c r="AW57" s="372" t="s">
        <v>167</v>
      </c>
      <c r="AX57" s="372" t="s">
        <v>482</v>
      </c>
      <c r="AZ57" s="212" t="s">
        <v>317</v>
      </c>
      <c r="BA57" s="212" t="s">
        <v>318</v>
      </c>
      <c r="BB57" s="200" t="s">
        <v>385</v>
      </c>
    </row>
    <row r="58" spans="48:54">
      <c r="AV58" s="371">
        <v>106</v>
      </c>
      <c r="AW58" s="372" t="s">
        <v>168</v>
      </c>
      <c r="AX58" s="372" t="s">
        <v>483</v>
      </c>
      <c r="AZ58" s="199" t="s">
        <v>319</v>
      </c>
      <c r="BA58" s="199" t="s">
        <v>320</v>
      </c>
      <c r="BB58" s="200" t="s">
        <v>385</v>
      </c>
    </row>
    <row r="59" spans="48:54">
      <c r="AV59" s="371">
        <v>107</v>
      </c>
      <c r="AW59" s="372" t="s">
        <v>169</v>
      </c>
      <c r="AX59" s="372" t="s">
        <v>484</v>
      </c>
      <c r="AZ59" s="212" t="s">
        <v>321</v>
      </c>
      <c r="BA59" s="212" t="s">
        <v>322</v>
      </c>
      <c r="BB59" s="200" t="s">
        <v>385</v>
      </c>
    </row>
    <row r="60" spans="48:54">
      <c r="AV60" s="371">
        <v>108</v>
      </c>
      <c r="AW60" s="372" t="s">
        <v>170</v>
      </c>
      <c r="AX60" s="372" t="s">
        <v>485</v>
      </c>
      <c r="AZ60" s="199" t="s">
        <v>323</v>
      </c>
      <c r="BA60" s="199" t="s">
        <v>324</v>
      </c>
      <c r="BB60" s="200" t="s">
        <v>385</v>
      </c>
    </row>
    <row r="61" spans="48:54">
      <c r="AV61" s="371">
        <v>-4151</v>
      </c>
      <c r="AW61" s="372" t="s">
        <v>171</v>
      </c>
      <c r="AX61" s="372" t="s">
        <v>486</v>
      </c>
      <c r="AZ61" s="212" t="s">
        <v>325</v>
      </c>
      <c r="BA61" s="212" t="s">
        <v>326</v>
      </c>
      <c r="BB61" s="200" t="s">
        <v>385</v>
      </c>
    </row>
    <row r="62" spans="48:54">
      <c r="AV62" s="371">
        <v>82</v>
      </c>
      <c r="AW62" s="372" t="s">
        <v>172</v>
      </c>
      <c r="AX62" s="372" t="s">
        <v>487</v>
      </c>
      <c r="AZ62" s="199" t="s">
        <v>327</v>
      </c>
      <c r="BA62" s="199" t="s">
        <v>328</v>
      </c>
      <c r="BB62" s="200" t="s">
        <v>385</v>
      </c>
    </row>
    <row r="63" spans="48:54">
      <c r="AV63" s="371">
        <v>81</v>
      </c>
      <c r="AW63" s="372" t="s">
        <v>173</v>
      </c>
      <c r="AX63" s="372" t="s">
        <v>488</v>
      </c>
    </row>
    <row r="64" spans="48:54">
      <c r="AV64" s="371">
        <v>88</v>
      </c>
      <c r="AW64" s="372" t="s">
        <v>174</v>
      </c>
      <c r="AX64" s="372" t="s">
        <v>489</v>
      </c>
    </row>
    <row r="65" spans="48:50">
      <c r="AV65" s="371">
        <v>89</v>
      </c>
      <c r="AW65" s="372" t="s">
        <v>175</v>
      </c>
      <c r="AX65" s="372" t="s">
        <v>490</v>
      </c>
    </row>
    <row r="66" spans="48:50">
      <c r="AV66" s="371">
        <v>90</v>
      </c>
      <c r="AW66" s="372" t="s">
        <v>176</v>
      </c>
      <c r="AX66" s="372" t="s">
        <v>491</v>
      </c>
    </row>
    <row r="67" spans="48:50">
      <c r="AV67" s="371">
        <v>91</v>
      </c>
      <c r="AW67" s="372" t="s">
        <v>177</v>
      </c>
      <c r="AX67" s="372" t="s">
        <v>492</v>
      </c>
    </row>
    <row r="68" spans="48:50">
      <c r="AV68" s="371">
        <v>83</v>
      </c>
      <c r="AW68" s="372" t="s">
        <v>178</v>
      </c>
      <c r="AX68" s="372" t="s">
        <v>493</v>
      </c>
    </row>
    <row r="69" spans="48:50">
      <c r="AV69" s="371">
        <v>85</v>
      </c>
      <c r="AW69" s="372" t="s">
        <v>179</v>
      </c>
      <c r="AX69" s="372" t="s">
        <v>494</v>
      </c>
    </row>
    <row r="70" spans="48:50">
      <c r="AV70" s="371">
        <v>86</v>
      </c>
      <c r="AW70" s="372" t="s">
        <v>180</v>
      </c>
      <c r="AX70" s="372" t="s">
        <v>495</v>
      </c>
    </row>
    <row r="71" spans="48:50">
      <c r="AV71" s="371">
        <v>84</v>
      </c>
      <c r="AW71" s="372" t="s">
        <v>181</v>
      </c>
      <c r="AX71" s="372" t="s">
        <v>496</v>
      </c>
    </row>
    <row r="72" spans="48:50">
      <c r="AV72" s="371">
        <v>-4169</v>
      </c>
      <c r="AW72" s="372" t="s">
        <v>182</v>
      </c>
      <c r="AX72" s="372" t="s">
        <v>497</v>
      </c>
    </row>
    <row r="73" spans="48:50">
      <c r="AV73" s="371">
        <v>74</v>
      </c>
      <c r="AW73" s="372" t="s">
        <v>183</v>
      </c>
      <c r="AX73" s="372" t="s">
        <v>498</v>
      </c>
    </row>
    <row r="74" spans="48:50">
      <c r="AV74" s="371">
        <v>75</v>
      </c>
      <c r="AW74" s="372" t="s">
        <v>184</v>
      </c>
      <c r="AX74" s="372" t="s">
        <v>499</v>
      </c>
    </row>
    <row r="75" spans="48:50">
      <c r="AV75" s="371">
        <v>72</v>
      </c>
      <c r="AW75" s="372" t="s">
        <v>185</v>
      </c>
      <c r="AX75" s="372" t="s">
        <v>500</v>
      </c>
    </row>
    <row r="76" spans="48:50">
      <c r="AV76" s="371">
        <v>73</v>
      </c>
      <c r="AW76" s="372" t="s">
        <v>186</v>
      </c>
      <c r="AX76" s="372" t="s">
        <v>432</v>
      </c>
    </row>
  </sheetData>
  <sheetProtection selectLockedCells="1" selectUnlockedCells="1"/>
  <sortState xmlns:xlrd2="http://schemas.microsoft.com/office/spreadsheetml/2017/richdata2" ref="CX4:CZ15">
    <sortCondition ref="CX4"/>
  </sortState>
  <phoneticPr fontId="49" type="noConversion"/>
  <dataValidations count="1">
    <dataValidation allowBlank="1" showInputMessage="1" showErrorMessage="1" errorTitle="Invalid unit!" error="Unit must be Kg or lb" sqref="CM1" xr:uid="{55CBBBDD-5851-4B95-98B7-B604322509D4}"/>
  </dataValidations>
  <pageMargins left="0.7" right="0.7" top="0.75" bottom="0.75" header="0.3" footer="0.3"/>
  <pageSetup orientation="portrait" horizontalDpi="4294967293" verticalDpi="4294967293"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B2422-A716-499A-8304-D0ED306CC3C8}">
  <sheetPr codeName="Sheet25"/>
  <dimension ref="A1:H4"/>
  <sheetViews>
    <sheetView workbookViewId="0"/>
  </sheetViews>
  <sheetFormatPr defaultRowHeight="15"/>
  <cols>
    <col min="1" max="1" width="13.140625" bestFit="1" customWidth="1"/>
    <col min="2" max="2" width="17.5703125" bestFit="1" customWidth="1"/>
    <col min="3" max="3" width="19.42578125" bestFit="1" customWidth="1"/>
    <col min="4" max="4" width="16" bestFit="1" customWidth="1"/>
    <col min="5" max="5" width="15.28515625" bestFit="1" customWidth="1"/>
    <col min="6" max="6" width="21.85546875" bestFit="1" customWidth="1"/>
    <col min="7" max="7" width="22.28515625" bestFit="1" customWidth="1"/>
    <col min="8" max="8" width="15.85546875" bestFit="1" customWidth="1"/>
  </cols>
  <sheetData>
    <row r="1" spans="1:8">
      <c r="A1" s="9"/>
      <c r="B1" s="10" t="s">
        <v>89</v>
      </c>
      <c r="C1" s="11"/>
      <c r="D1" s="11"/>
      <c r="E1" s="11"/>
      <c r="F1" s="11"/>
      <c r="G1" s="11"/>
      <c r="H1" s="12"/>
    </row>
    <row r="2" spans="1:8">
      <c r="A2" s="10" t="s">
        <v>88</v>
      </c>
      <c r="B2" s="9" t="s">
        <v>428</v>
      </c>
      <c r="C2" s="13" t="s">
        <v>513</v>
      </c>
      <c r="D2" s="13" t="s">
        <v>429</v>
      </c>
      <c r="E2" s="13" t="s">
        <v>514</v>
      </c>
      <c r="F2" s="13" t="s">
        <v>515</v>
      </c>
      <c r="G2" s="13" t="s">
        <v>430</v>
      </c>
      <c r="H2" s="15" t="s">
        <v>516</v>
      </c>
    </row>
    <row r="3" spans="1:8">
      <c r="A3" s="244" t="s">
        <v>732</v>
      </c>
      <c r="B3" s="18"/>
      <c r="C3" s="262"/>
      <c r="D3" s="20"/>
      <c r="E3" s="20"/>
      <c r="F3" s="262"/>
      <c r="G3" s="20"/>
      <c r="H3" s="16"/>
    </row>
    <row r="4" spans="1:8">
      <c r="A4" s="117" t="s">
        <v>427</v>
      </c>
      <c r="B4" s="115"/>
      <c r="C4" s="118"/>
      <c r="D4" s="116"/>
      <c r="E4" s="116"/>
      <c r="F4" s="118"/>
      <c r="G4" s="116"/>
      <c r="H4" s="1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42C5B-19D5-40F5-A8FD-DD20471E1154}">
  <sheetPr codeName="Sheet21"/>
  <dimension ref="A1:C4"/>
  <sheetViews>
    <sheetView workbookViewId="0">
      <selection activeCell="B12" sqref="B12"/>
    </sheetView>
  </sheetViews>
  <sheetFormatPr defaultRowHeight="15"/>
  <cols>
    <col min="1" max="1" width="13.140625" bestFit="1" customWidth="1"/>
    <col min="2" max="2" width="22.28515625" bestFit="1" customWidth="1"/>
    <col min="3" max="3" width="19" bestFit="1" customWidth="1"/>
    <col min="4" max="4" width="27.7109375" bestFit="1" customWidth="1"/>
    <col min="5" max="5" width="20.85546875" bestFit="1" customWidth="1"/>
    <col min="6" max="307" width="16.28515625" bestFit="1" customWidth="1"/>
    <col min="308" max="308" width="11.28515625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430</v>
      </c>
      <c r="C2" s="15" t="s">
        <v>571</v>
      </c>
    </row>
    <row r="3" spans="1:3">
      <c r="A3" s="244" t="s">
        <v>732</v>
      </c>
      <c r="B3" s="18"/>
      <c r="C3" s="263"/>
    </row>
    <row r="4" spans="1:3">
      <c r="A4" s="117" t="s">
        <v>427</v>
      </c>
      <c r="B4" s="115"/>
      <c r="C4" s="134"/>
    </row>
  </sheetData>
  <pageMargins left="0.7" right="0.7" top="0.75" bottom="0.75" header="0.3" footer="0.3"/>
  <pageSetup orientation="portrait" horizontalDpi="4294967293" verticalDpi="4294967293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BDBDA-C248-45E2-8299-5805AE8E2F8C}">
  <sheetPr codeName="Sheet22"/>
  <dimension ref="A1:C4"/>
  <sheetViews>
    <sheetView workbookViewId="0"/>
  </sheetViews>
  <sheetFormatPr defaultRowHeight="15"/>
  <cols>
    <col min="1" max="1" width="13.140625" bestFit="1" customWidth="1"/>
    <col min="2" max="2" width="16.7109375" bestFit="1" customWidth="1"/>
    <col min="3" max="3" width="19" bestFit="1" customWidth="1"/>
    <col min="4" max="4" width="26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573</v>
      </c>
      <c r="C2" s="15" t="s">
        <v>571</v>
      </c>
    </row>
    <row r="3" spans="1:3">
      <c r="A3" s="244" t="s">
        <v>732</v>
      </c>
      <c r="B3" s="127"/>
      <c r="C3" s="263"/>
    </row>
    <row r="4" spans="1:3">
      <c r="A4" s="117" t="s">
        <v>427</v>
      </c>
      <c r="B4" s="130"/>
      <c r="C4" s="13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E60A7-D241-4EF8-823D-B4DFED4C1881}">
  <sheetPr codeName="Sheet23"/>
  <dimension ref="A1:C4"/>
  <sheetViews>
    <sheetView topLeftCell="A2" workbookViewId="0">
      <selection activeCell="B11" sqref="B11"/>
    </sheetView>
  </sheetViews>
  <sheetFormatPr defaultRowHeight="15"/>
  <cols>
    <col min="1" max="1" width="13.140625" bestFit="1" customWidth="1"/>
    <col min="2" max="2" width="21.85546875" bestFit="1" customWidth="1"/>
    <col min="3" max="3" width="19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515</v>
      </c>
      <c r="C2" s="15" t="s">
        <v>571</v>
      </c>
    </row>
    <row r="3" spans="1:3">
      <c r="A3" s="244" t="s">
        <v>732</v>
      </c>
      <c r="B3" s="398"/>
      <c r="C3" s="263"/>
    </row>
    <row r="4" spans="1:3">
      <c r="A4" s="117" t="s">
        <v>427</v>
      </c>
      <c r="B4" s="399"/>
      <c r="C4" s="134"/>
    </row>
  </sheetData>
  <pageMargins left="0.7" right="0.7" top="0.75" bottom="0.75" header="0.3" footer="0.3"/>
  <pageSetup orientation="portrait" horizontalDpi="4294967293" verticalDpi="4294967293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0585F-AA80-42D1-A47A-22C9E4C41EBF}">
  <sheetPr codeName="Sheet6"/>
  <dimension ref="A1:D6"/>
  <sheetViews>
    <sheetView showGridLines="0" workbookViewId="0">
      <selection activeCell="D14" sqref="D14"/>
    </sheetView>
  </sheetViews>
  <sheetFormatPr defaultRowHeight="15"/>
  <cols>
    <col min="1" max="1" width="13.140625" bestFit="1" customWidth="1"/>
    <col min="2" max="2" width="18.7109375" bestFit="1" customWidth="1"/>
    <col min="3" max="3" width="17.7109375" bestFit="1" customWidth="1"/>
    <col min="4" max="4" width="20.7109375" bestFit="1" customWidth="1"/>
    <col min="5" max="8" width="7.28515625" bestFit="1" customWidth="1"/>
    <col min="9" max="9" width="17.7109375" bestFit="1" customWidth="1"/>
    <col min="10" max="10" width="6.7109375" bestFit="1" customWidth="1"/>
    <col min="11" max="11" width="7.28515625" bestFit="1" customWidth="1"/>
    <col min="12" max="12" width="6.5703125" bestFit="1" customWidth="1"/>
    <col min="13" max="13" width="7.140625" bestFit="1" customWidth="1"/>
    <col min="14" max="15" width="5.5703125" bestFit="1" customWidth="1"/>
    <col min="16" max="16" width="20.7109375" bestFit="1" customWidth="1"/>
    <col min="17" max="17" width="6.7109375" bestFit="1" customWidth="1"/>
    <col min="18" max="18" width="7.28515625" bestFit="1" customWidth="1"/>
    <col min="19" max="19" width="6.5703125" bestFit="1" customWidth="1"/>
    <col min="20" max="20" width="7.140625" bestFit="1" customWidth="1"/>
    <col min="21" max="22" width="6.5703125" bestFit="1" customWidth="1"/>
    <col min="23" max="23" width="7.140625" bestFit="1" customWidth="1"/>
    <col min="24" max="27" width="6.5703125" bestFit="1" customWidth="1"/>
    <col min="28" max="28" width="7.28515625" bestFit="1" customWidth="1"/>
  </cols>
  <sheetData>
    <row r="1" spans="1:4">
      <c r="A1" s="9"/>
      <c r="B1" s="10" t="s">
        <v>24</v>
      </c>
      <c r="C1" s="11"/>
      <c r="D1" s="12"/>
    </row>
    <row r="2" spans="1:4">
      <c r="A2" s="123"/>
      <c r="B2" s="9" t="s">
        <v>99</v>
      </c>
      <c r="C2" s="9" t="s">
        <v>503</v>
      </c>
      <c r="D2" s="405" t="s">
        <v>504</v>
      </c>
    </row>
    <row r="3" spans="1:4">
      <c r="A3" s="10" t="s">
        <v>88</v>
      </c>
      <c r="B3" s="9">
        <v>0</v>
      </c>
      <c r="C3" s="9">
        <v>0</v>
      </c>
      <c r="D3" s="405">
        <v>0</v>
      </c>
    </row>
    <row r="4" spans="1:4">
      <c r="A4" s="14" t="s">
        <v>732</v>
      </c>
      <c r="B4" s="125"/>
      <c r="C4" s="125"/>
      <c r="D4" s="406"/>
    </row>
    <row r="5" spans="1:4">
      <c r="A5" s="124" t="s">
        <v>732</v>
      </c>
      <c r="B5" s="126">
        <v>-21</v>
      </c>
      <c r="C5" s="126" t="e">
        <v>#N/A</v>
      </c>
      <c r="D5" s="407">
        <v>0</v>
      </c>
    </row>
    <row r="6" spans="1:4">
      <c r="A6" s="129" t="s">
        <v>427</v>
      </c>
      <c r="B6" s="235">
        <v>-21</v>
      </c>
      <c r="C6" s="235" t="e">
        <v>#N/A</v>
      </c>
      <c r="D6" s="408">
        <v>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4294967293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D07F5-CF37-492B-A3BA-413AF20F974B}">
  <sheetPr codeName="Sheet9"/>
  <dimension ref="A1:D5"/>
  <sheetViews>
    <sheetView showGridLines="0" topLeftCell="A2" workbookViewId="0">
      <selection activeCell="C14" sqref="C14"/>
    </sheetView>
  </sheetViews>
  <sheetFormatPr defaultRowHeight="15"/>
  <cols>
    <col min="1" max="1" width="13.140625" bestFit="1" customWidth="1"/>
    <col min="2" max="2" width="10.85546875" bestFit="1" customWidth="1"/>
    <col min="3" max="3" width="20.7109375" bestFit="1" customWidth="1"/>
    <col min="4" max="4" width="15.42578125" bestFit="1" customWidth="1"/>
    <col min="5" max="5" width="18.7109375" bestFit="1" customWidth="1"/>
    <col min="6" max="6" width="13.7109375" bestFit="1" customWidth="1"/>
    <col min="7" max="7" width="15.42578125" bestFit="1" customWidth="1"/>
    <col min="8" max="8" width="10.85546875" bestFit="1" customWidth="1"/>
    <col min="9" max="9" width="15.42578125" bestFit="1" customWidth="1"/>
    <col min="10" max="10" width="10.85546875" bestFit="1" customWidth="1"/>
    <col min="11" max="11" width="15.42578125" bestFit="1" customWidth="1"/>
    <col min="12" max="12" width="10.85546875" bestFit="1" customWidth="1"/>
    <col min="13" max="13" width="15.42578125" bestFit="1" customWidth="1"/>
    <col min="14" max="14" width="11.42578125" bestFit="1" customWidth="1"/>
    <col min="15" max="15" width="15.42578125" bestFit="1" customWidth="1"/>
    <col min="16" max="16" width="10.85546875" bestFit="1" customWidth="1"/>
    <col min="17" max="17" width="15.42578125" bestFit="1" customWidth="1"/>
    <col min="18" max="25" width="19" bestFit="1" customWidth="1"/>
  </cols>
  <sheetData>
    <row r="1" spans="1:4">
      <c r="A1" s="9"/>
      <c r="B1" s="10" t="s">
        <v>89</v>
      </c>
      <c r="C1" s="11"/>
      <c r="D1" s="12"/>
    </row>
    <row r="2" spans="1:4">
      <c r="A2" s="10" t="s">
        <v>88</v>
      </c>
      <c r="B2" s="9" t="s">
        <v>90</v>
      </c>
      <c r="C2" s="13" t="s">
        <v>333</v>
      </c>
      <c r="D2" s="15" t="s">
        <v>531</v>
      </c>
    </row>
    <row r="3" spans="1:4">
      <c r="A3" s="14" t="s">
        <v>732</v>
      </c>
      <c r="B3" s="18"/>
      <c r="C3" s="20"/>
      <c r="D3" s="120"/>
    </row>
    <row r="4" spans="1:4">
      <c r="A4" s="124" t="s">
        <v>732</v>
      </c>
      <c r="B4" s="19"/>
      <c r="C4" s="21">
        <v>0</v>
      </c>
      <c r="D4" s="121" t="e">
        <v>#N/A</v>
      </c>
    </row>
    <row r="5" spans="1:4">
      <c r="A5" s="129" t="s">
        <v>427</v>
      </c>
      <c r="B5" s="115"/>
      <c r="C5" s="116">
        <v>0</v>
      </c>
      <c r="D5" s="122" t="e">
        <v>#N/A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4294967293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1BA19-02C7-48A3-9D38-37A80066CAB0}">
  <sheetPr codeName="Sheet12"/>
  <dimension ref="A1:C5"/>
  <sheetViews>
    <sheetView showGridLines="0" topLeftCell="A2" workbookViewId="0">
      <selection activeCell="A2" sqref="A2"/>
    </sheetView>
  </sheetViews>
  <sheetFormatPr defaultRowHeight="15"/>
  <cols>
    <col min="1" max="1" width="13.140625" bestFit="1" customWidth="1"/>
    <col min="2" max="2" width="13.28515625" bestFit="1" customWidth="1"/>
    <col min="3" max="3" width="20.28515625" bestFit="1" customWidth="1"/>
    <col min="4" max="4" width="20.42578125" bestFit="1" customWidth="1"/>
    <col min="5" max="5" width="10" bestFit="1" customWidth="1"/>
    <col min="6" max="6" width="13.28515625" bestFit="1" customWidth="1"/>
    <col min="7" max="7" width="10" bestFit="1" customWidth="1"/>
    <col min="8" max="8" width="13.28515625" bestFit="1" customWidth="1"/>
    <col min="9" max="9" width="10" bestFit="1" customWidth="1"/>
    <col min="10" max="10" width="13.28515625" bestFit="1" customWidth="1"/>
    <col min="11" max="11" width="10" bestFit="1" customWidth="1"/>
    <col min="12" max="12" width="13.28515625" bestFit="1" customWidth="1"/>
    <col min="13" max="13" width="10" bestFit="1" customWidth="1"/>
    <col min="14" max="14" width="13.28515625" bestFit="1" customWidth="1"/>
    <col min="15" max="15" width="10" bestFit="1" customWidth="1"/>
    <col min="16" max="16" width="13.28515625" bestFit="1" customWidth="1"/>
    <col min="17" max="17" width="10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93</v>
      </c>
      <c r="C2" s="15" t="s">
        <v>102</v>
      </c>
    </row>
    <row r="3" spans="1:3">
      <c r="A3" s="14" t="s">
        <v>732</v>
      </c>
      <c r="B3" s="127"/>
      <c r="C3" s="16"/>
    </row>
    <row r="4" spans="1:3">
      <c r="A4" s="124" t="s">
        <v>732</v>
      </c>
      <c r="B4" s="128" t="e">
        <v>#N/A</v>
      </c>
      <c r="C4" s="17" t="e">
        <v>#N/A</v>
      </c>
    </row>
    <row r="5" spans="1:3">
      <c r="A5" s="129" t="s">
        <v>427</v>
      </c>
      <c r="B5" s="130" t="e">
        <v>#N/A</v>
      </c>
      <c r="C5" s="119" t="e">
        <v>#N/A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4294967293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DF70B-EED5-4DDE-B2AA-704BE3462B42}">
  <sheetPr codeName="Sheet13"/>
  <dimension ref="A1:C5"/>
  <sheetViews>
    <sheetView showGridLines="0" workbookViewId="0">
      <selection activeCell="B9" sqref="B9"/>
    </sheetView>
  </sheetViews>
  <sheetFormatPr defaultRowHeight="15"/>
  <cols>
    <col min="1" max="1" width="13.140625" bestFit="1" customWidth="1"/>
    <col min="2" max="2" width="14.140625" bestFit="1" customWidth="1"/>
    <col min="3" max="4" width="10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91</v>
      </c>
      <c r="C2" s="15" t="s">
        <v>94</v>
      </c>
    </row>
    <row r="3" spans="1:3">
      <c r="A3" s="14" t="s">
        <v>732</v>
      </c>
      <c r="B3" s="127"/>
      <c r="C3" s="16"/>
    </row>
    <row r="4" spans="1:3">
      <c r="A4" s="124" t="s">
        <v>732</v>
      </c>
      <c r="B4" s="128" t="e">
        <v>#N/A</v>
      </c>
      <c r="C4" s="17" t="e">
        <v>#N/A</v>
      </c>
    </row>
    <row r="5" spans="1:3">
      <c r="A5" s="129" t="s">
        <v>427</v>
      </c>
      <c r="B5" s="130" t="e">
        <v>#N/A</v>
      </c>
      <c r="C5" s="119" t="e">
        <v>#N/A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4294967293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E672F-2DCF-4D36-B5EC-7F605986F464}">
  <sheetPr codeName="Sheet20"/>
  <dimension ref="A1:B3"/>
  <sheetViews>
    <sheetView workbookViewId="0">
      <selection activeCell="B6" sqref="B6"/>
    </sheetView>
  </sheetViews>
  <sheetFormatPr defaultRowHeight="15"/>
  <cols>
    <col min="1" max="1" width="13.140625" bestFit="1" customWidth="1"/>
    <col min="2" max="2" width="16.28515625" bestFit="1" customWidth="1"/>
    <col min="3" max="10" width="5.5703125" bestFit="1" customWidth="1"/>
    <col min="11" max="14" width="10.28515625" bestFit="1" customWidth="1"/>
    <col min="15" max="19" width="10" bestFit="1" customWidth="1"/>
    <col min="20" max="23" width="9.5703125" bestFit="1" customWidth="1"/>
    <col min="24" max="27" width="10" bestFit="1" customWidth="1"/>
    <col min="28" max="31" width="10.140625" bestFit="1" customWidth="1"/>
    <col min="32" max="36" width="9.85546875" bestFit="1" customWidth="1"/>
    <col min="37" max="40" width="10.28515625" bestFit="1" customWidth="1"/>
    <col min="41" max="44" width="9.7109375" bestFit="1" customWidth="1"/>
    <col min="50" max="53" width="10.140625" bestFit="1" customWidth="1"/>
    <col min="54" max="58" width="10" bestFit="1" customWidth="1"/>
    <col min="59" max="62" width="9.7109375" bestFit="1" customWidth="1"/>
    <col min="63" max="66" width="10.28515625" bestFit="1" customWidth="1"/>
    <col min="67" max="71" width="10" bestFit="1" customWidth="1"/>
    <col min="72" max="75" width="9.5703125" bestFit="1" customWidth="1"/>
    <col min="76" max="79" width="10" bestFit="1" customWidth="1"/>
    <col min="80" max="84" width="10.140625" bestFit="1" customWidth="1"/>
    <col min="85" max="88" width="9.85546875" bestFit="1" customWidth="1"/>
    <col min="89" max="92" width="10.28515625" bestFit="1" customWidth="1"/>
    <col min="93" max="97" width="9.7109375" bestFit="1" customWidth="1"/>
    <col min="102" max="105" width="10.140625" bestFit="1" customWidth="1"/>
    <col min="106" max="110" width="10" bestFit="1" customWidth="1"/>
    <col min="111" max="114" width="9.7109375" bestFit="1" customWidth="1"/>
    <col min="115" max="118" width="10.28515625" bestFit="1" customWidth="1"/>
    <col min="119" max="123" width="10" bestFit="1" customWidth="1"/>
    <col min="124" max="127" width="9.5703125" bestFit="1" customWidth="1"/>
    <col min="128" max="131" width="10" bestFit="1" customWidth="1"/>
    <col min="132" max="136" width="10.140625" bestFit="1" customWidth="1"/>
    <col min="137" max="140" width="9.85546875" bestFit="1" customWidth="1"/>
    <col min="141" max="144" width="10.28515625" bestFit="1" customWidth="1"/>
    <col min="145" max="149" width="9.7109375" bestFit="1" customWidth="1"/>
    <col min="154" max="158" width="10.140625" bestFit="1" customWidth="1"/>
    <col min="159" max="162" width="10" bestFit="1" customWidth="1"/>
    <col min="163" max="166" width="9.7109375" bestFit="1" customWidth="1"/>
    <col min="167" max="171" width="10.28515625" bestFit="1" customWidth="1"/>
    <col min="172" max="175" width="10" bestFit="1" customWidth="1"/>
    <col min="176" max="179" width="9.5703125" bestFit="1" customWidth="1"/>
    <col min="180" max="184" width="10" bestFit="1" customWidth="1"/>
    <col min="185" max="188" width="10.140625" bestFit="1" customWidth="1"/>
    <col min="189" max="192" width="9.85546875" bestFit="1" customWidth="1"/>
    <col min="193" max="197" width="10.28515625" bestFit="1" customWidth="1"/>
    <col min="198" max="201" width="9.7109375" bestFit="1" customWidth="1"/>
    <col min="206" max="210" width="10.140625" bestFit="1" customWidth="1"/>
    <col min="211" max="214" width="10" bestFit="1" customWidth="1"/>
    <col min="215" max="219" width="9.7109375" bestFit="1" customWidth="1"/>
    <col min="220" max="223" width="10.28515625" bestFit="1" customWidth="1"/>
    <col min="224" max="227" width="10" bestFit="1" customWidth="1"/>
    <col min="228" max="232" width="9.5703125" bestFit="1" customWidth="1"/>
    <col min="233" max="236" width="10" bestFit="1" customWidth="1"/>
    <col min="237" max="240" width="10.140625" bestFit="1" customWidth="1"/>
    <col min="241" max="244" width="9.85546875" bestFit="1" customWidth="1"/>
    <col min="245" max="249" width="10.28515625" bestFit="1" customWidth="1"/>
    <col min="250" max="253" width="9.7109375" bestFit="1" customWidth="1"/>
    <col min="259" max="262" width="10.140625" bestFit="1" customWidth="1"/>
    <col min="263" max="266" width="10" bestFit="1" customWidth="1"/>
    <col min="267" max="271" width="9.7109375" bestFit="1" customWidth="1"/>
    <col min="272" max="275" width="10.28515625" bestFit="1" customWidth="1"/>
    <col min="276" max="279" width="10" bestFit="1" customWidth="1"/>
    <col min="280" max="284" width="9.5703125" bestFit="1" customWidth="1"/>
    <col min="285" max="288" width="10" bestFit="1" customWidth="1"/>
    <col min="289" max="292" width="10.140625" bestFit="1" customWidth="1"/>
    <col min="293" max="297" width="9.85546875" bestFit="1" customWidth="1"/>
    <col min="298" max="301" width="10.28515625" bestFit="1" customWidth="1"/>
    <col min="302" max="305" width="9.7109375" bestFit="1" customWidth="1"/>
    <col min="311" max="314" width="10.140625" bestFit="1" customWidth="1"/>
    <col min="315" max="318" width="10" bestFit="1" customWidth="1"/>
    <col min="319" max="323" width="9.7109375" bestFit="1" customWidth="1"/>
    <col min="324" max="327" width="10.28515625" bestFit="1" customWidth="1"/>
    <col min="328" max="332" width="10" bestFit="1" customWidth="1"/>
    <col min="333" max="336" width="9.5703125" bestFit="1" customWidth="1"/>
    <col min="337" max="340" width="10" bestFit="1" customWidth="1"/>
    <col min="341" max="344" width="10.140625" bestFit="1" customWidth="1"/>
    <col min="345" max="349" width="9.85546875" bestFit="1" customWidth="1"/>
    <col min="350" max="353" width="10.28515625" bestFit="1" customWidth="1"/>
    <col min="354" max="357" width="9.7109375" bestFit="1" customWidth="1"/>
    <col min="363" max="366" width="10.140625" bestFit="1" customWidth="1"/>
    <col min="367" max="371" width="10" bestFit="1" customWidth="1"/>
  </cols>
  <sheetData>
    <row r="1" spans="1:2">
      <c r="A1" s="10" t="s">
        <v>88</v>
      </c>
      <c r="B1" s="405" t="s">
        <v>559</v>
      </c>
    </row>
    <row r="2" spans="1:2">
      <c r="A2" s="356" t="s">
        <v>732</v>
      </c>
      <c r="B2" s="416"/>
    </row>
    <row r="3" spans="1:2">
      <c r="A3" s="417" t="s">
        <v>732</v>
      </c>
      <c r="B3" s="418"/>
    </row>
  </sheetData>
  <pageMargins left="0.7" right="0.7" top="0.75" bottom="0.75" header="0.3" footer="0.3"/>
  <pageSetup orientation="portrait" horizontalDpi="4294967293" verticalDpi="4294967293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9974-7C2F-4333-A4B8-52FEA53514F9}">
  <sheetPr codeName="Sheet16"/>
  <dimension ref="A1:C5"/>
  <sheetViews>
    <sheetView showGridLines="0" topLeftCell="A2" workbookViewId="0">
      <selection activeCell="B11" sqref="B11"/>
    </sheetView>
  </sheetViews>
  <sheetFormatPr defaultRowHeight="15"/>
  <cols>
    <col min="1" max="1" width="13.140625" bestFit="1" customWidth="1"/>
    <col min="2" max="2" width="14.140625" bestFit="1" customWidth="1"/>
    <col min="3" max="3" width="18.7109375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91</v>
      </c>
      <c r="C2" s="15" t="s">
        <v>92</v>
      </c>
    </row>
    <row r="3" spans="1:3">
      <c r="A3" s="14" t="s">
        <v>732</v>
      </c>
      <c r="B3" s="127"/>
      <c r="C3" s="386"/>
    </row>
    <row r="4" spans="1:3">
      <c r="A4" s="124" t="s">
        <v>732</v>
      </c>
      <c r="B4" s="128" t="e">
        <v>#N/A</v>
      </c>
      <c r="C4" s="387" t="e">
        <v>#N/A</v>
      </c>
    </row>
    <row r="5" spans="1:3">
      <c r="A5" s="129" t="s">
        <v>427</v>
      </c>
      <c r="B5" s="130" t="e">
        <v>#N/A</v>
      </c>
      <c r="C5" s="131" t="e">
        <v>#N/A</v>
      </c>
    </row>
  </sheetData>
  <pageMargins left="0.7" right="0.7" top="0.75" bottom="0.75" header="0.3" footer="0.3"/>
  <pageSetup orientation="portrait" horizontalDpi="4294967293" verticalDpi="4294967293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40512-2B3B-4715-A13B-9F80F04583CF}">
  <sheetPr codeName="Sheet15"/>
  <dimension ref="A1:C5"/>
  <sheetViews>
    <sheetView showGridLines="0" workbookViewId="0">
      <selection activeCell="D14" sqref="D14"/>
    </sheetView>
  </sheetViews>
  <sheetFormatPr defaultRowHeight="15"/>
  <cols>
    <col min="1" max="1" width="13.140625" bestFit="1" customWidth="1"/>
    <col min="2" max="2" width="10.85546875" bestFit="1" customWidth="1"/>
    <col min="3" max="3" width="20.7109375" bestFit="1" customWidth="1"/>
    <col min="4" max="4" width="15.42578125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90</v>
      </c>
      <c r="C2" s="15" t="s">
        <v>333</v>
      </c>
    </row>
    <row r="3" spans="1:3">
      <c r="A3" s="14" t="s">
        <v>732</v>
      </c>
      <c r="B3" s="18"/>
      <c r="C3" s="16"/>
    </row>
    <row r="4" spans="1:3">
      <c r="A4" s="124" t="s">
        <v>732</v>
      </c>
      <c r="B4" s="19"/>
      <c r="C4" s="17">
        <v>0</v>
      </c>
    </row>
    <row r="5" spans="1:3">
      <c r="A5" s="129" t="s">
        <v>427</v>
      </c>
      <c r="B5" s="115"/>
      <c r="C5" s="119">
        <v>0</v>
      </c>
    </row>
  </sheetData>
  <pageMargins left="0.7" right="0.7" top="0.75" bottom="0.75" header="0.3" footer="0.3"/>
  <pageSetup orientation="portrait" horizontalDpi="4294967293" verticalDpi="4294967293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4E20E-89AE-4A92-886C-64968B753430}">
  <sheetPr codeName="Sheet17"/>
  <dimension ref="A1:C5"/>
  <sheetViews>
    <sheetView showGridLines="0" workbookViewId="0">
      <selection activeCell="C5" sqref="C5"/>
    </sheetView>
  </sheetViews>
  <sheetFormatPr defaultRowHeight="15"/>
  <cols>
    <col min="1" max="1" width="13.140625" bestFit="1" customWidth="1"/>
    <col min="2" max="2" width="10" bestFit="1" customWidth="1"/>
    <col min="3" max="3" width="14.5703125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94</v>
      </c>
      <c r="C2" s="15" t="s">
        <v>335</v>
      </c>
    </row>
    <row r="3" spans="1:3">
      <c r="A3" s="14" t="s">
        <v>732</v>
      </c>
      <c r="B3" s="18"/>
      <c r="C3" s="16"/>
    </row>
    <row r="4" spans="1:3">
      <c r="A4" s="124" t="s">
        <v>732</v>
      </c>
      <c r="B4" s="19" t="e">
        <v>#N/A</v>
      </c>
      <c r="C4" s="17" t="e">
        <v>#N/A</v>
      </c>
    </row>
    <row r="5" spans="1:3">
      <c r="A5" s="129" t="s">
        <v>427</v>
      </c>
      <c r="B5" s="115" t="e">
        <v>#N/A</v>
      </c>
      <c r="C5" s="119" t="e">
        <v>#N/A</v>
      </c>
    </row>
  </sheetData>
  <pageMargins left="0.7" right="0.7" top="0.75" bottom="0.75" header="0.3" footer="0.3"/>
  <pageSetup orientation="portrait" horizontalDpi="4294967293" verticalDpi="4294967293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2030B-C3EE-4207-88D9-35F6C9D32D70}">
  <sheetPr codeName="Sheet18"/>
  <dimension ref="A1:C5"/>
  <sheetViews>
    <sheetView showGridLines="0" workbookViewId="0">
      <selection activeCell="A2" sqref="A2"/>
    </sheetView>
  </sheetViews>
  <sheetFormatPr defaultRowHeight="15"/>
  <cols>
    <col min="1" max="1" width="13.140625" bestFit="1" customWidth="1"/>
    <col min="2" max="2" width="13.42578125" bestFit="1" customWidth="1"/>
    <col min="3" max="3" width="18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336</v>
      </c>
      <c r="C2" s="15" t="s">
        <v>337</v>
      </c>
    </row>
    <row r="3" spans="1:3">
      <c r="A3" s="14" t="s">
        <v>732</v>
      </c>
      <c r="B3" s="18"/>
      <c r="C3" s="16"/>
    </row>
    <row r="4" spans="1:3">
      <c r="A4" s="124" t="s">
        <v>732</v>
      </c>
      <c r="B4" s="19"/>
      <c r="C4" s="17"/>
    </row>
    <row r="5" spans="1:3">
      <c r="A5" s="129" t="s">
        <v>427</v>
      </c>
      <c r="B5" s="115"/>
      <c r="C5" s="119"/>
    </row>
  </sheetData>
  <pageMargins left="0.7" right="0.7" top="0.75" bottom="0.75" header="0.3" footer="0.3"/>
  <pageSetup orientation="portrait" horizontalDpi="4294967293" verticalDpi="4294967293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0D1978DB-C2D3-4F7D-BC85-A2AE1489F626}">
  <ds:schemaRefs>
    <ds:schemaRef ds:uri="http://gemini/pivotcustomization/FormulaBarState"/>
  </ds:schemaRefs>
</ds:datastoreItem>
</file>

<file path=customXml/itemProps2.xml><?xml version="1.0" encoding="utf-8"?>
<ds:datastoreItem xmlns:ds="http://schemas.openxmlformats.org/officeDocument/2006/customXml" ds:itemID="{C09731F6-600F-4554-A47A-0AA84C692DCA}">
  <ds:schemaRefs>
    <ds:schemaRef ds:uri="http://microsoft.data.visualization.engine.tours/1.0"/>
    <ds:schemaRef ds:uri="http://www.w3.org/2000/xmlns/"/>
    <ds:schemaRef ds:uri="http://www.w3.org/2001/XMLSchema"/>
  </ds:schemaRefs>
</ds:datastoreItem>
</file>

<file path=customXml/itemProps3.xml><?xml version="1.0" encoding="utf-8"?>
<ds:datastoreItem xmlns:ds="http://schemas.openxmlformats.org/officeDocument/2006/customXml" ds:itemID="{B196212C-87F6-444D-88B2-E4271F619971}">
  <ds:schemaRefs>
    <ds:schemaRef ds:uri="http://gemini/pivotcustomization/TableXML_Events_e03c4f38-62ca-46b8-b987-be796c395293"/>
  </ds:schemaRefs>
</ds:datastoreItem>
</file>

<file path=customXml/itemProps4.xml><?xml version="1.0" encoding="utf-8"?>
<ds:datastoreItem xmlns:ds="http://schemas.openxmlformats.org/officeDocument/2006/customXml" ds:itemID="{EDC0818B-BB55-4E24-BEF6-E8BB102C8D2C}">
  <ds:schemaRefs>
    <ds:schemaRef ds:uri="http://gemini/pivotcustomization/MeasureGridState"/>
  </ds:schemaRefs>
</ds:datastoreItem>
</file>

<file path=customXml/itemProps5.xml><?xml version="1.0" encoding="utf-8"?>
<ds:datastoreItem xmlns:ds="http://schemas.openxmlformats.org/officeDocument/2006/customXml" ds:itemID="{9ADCB92C-9CEB-4570-AAA4-1C697F48440D}">
  <ds:schemaRefs>
    <ds:schemaRef ds:uri="http://microsoft.data.visualization.Client.Excel.PState/1.0"/>
    <ds:schemaRef ds:uri="http://www.w3.org/2000/xmlns/"/>
    <ds:schemaRef ds:uri="http://www.w3.org/2001/XMLSchema"/>
  </ds:schemaRefs>
</ds:datastoreItem>
</file>

<file path=customXml/itemProps6.xml><?xml version="1.0" encoding="utf-8"?>
<ds:datastoreItem xmlns:ds="http://schemas.openxmlformats.org/officeDocument/2006/customXml" ds:itemID="{18159AF0-5FB4-4C05-8758-3F87F81D2B29}">
  <ds:schemaRefs>
    <ds:schemaRef ds:uri="http://gemini/pivotcustomization/TableWidget"/>
  </ds:schemaRefs>
</ds:datastoreItem>
</file>

<file path=customXml/itemProps7.xml><?xml version="1.0" encoding="utf-8"?>
<ds:datastoreItem xmlns:ds="http://schemas.openxmlformats.org/officeDocument/2006/customXml" ds:itemID="{0E308580-7540-479A-99F8-CCEADE1E6B21}">
  <ds:schemaRefs>
    <ds:schemaRef ds:uri="http://gemini/pivotcustomization/PowerPivotVersion"/>
  </ds:schemaRefs>
</ds:datastoreItem>
</file>

<file path=customXml/itemProps8.xml><?xml version="1.0" encoding="utf-8"?>
<ds:datastoreItem xmlns:ds="http://schemas.openxmlformats.org/officeDocument/2006/customXml" ds:itemID="{9C4170DE-82FD-4660-97FF-B7E554691CF5}">
  <ds:schemaRefs>
    <ds:schemaRef ds:uri="http://microsoft.data.visualization.Client.Excel/1.0"/>
    <ds:schemaRef ds:uri="http://www.w3.org/2000/xmlns/"/>
    <ds:schemaRef ds:uri="http://www.w3.org/2001/XMLSchema"/>
  </ds:schemaRefs>
</ds:datastoreItem>
</file>

<file path=customXml/itemProps9.xml><?xml version="1.0" encoding="utf-8"?>
<ds:datastoreItem xmlns:ds="http://schemas.openxmlformats.org/officeDocument/2006/customXml" ds:itemID="{CCDB24AF-BA14-4853-ABF8-54F68DC80D3D}">
  <ds:schemaRefs>
    <ds:schemaRef ds:uri="http://gemini/pivotcustomization/LinkedTableUpdateMode"/>
  </ds:schemaRefs>
</ds:datastoreItem>
</file>

<file path=customXml/itemProps10.xml><?xml version="1.0" encoding="utf-8"?>
<ds:datastoreItem xmlns:ds="http://schemas.openxmlformats.org/officeDocument/2006/customXml" ds:itemID="{39303E75-256A-49E6-B072-4ADB542BD617}">
  <ds:schemaRefs>
    <ds:schemaRef ds:uri="http://gemini/pivotcustomization/ShowHidden"/>
  </ds:schemaRefs>
</ds:datastoreItem>
</file>

<file path=customXml/itemProps11.xml><?xml version="1.0" encoding="utf-8"?>
<ds:datastoreItem xmlns:ds="http://schemas.openxmlformats.org/officeDocument/2006/customXml" ds:itemID="{CA03BF5E-9554-4513-902B-7DC355D6FE54}">
  <ds:schemaRefs>
    <ds:schemaRef ds:uri="http://microsoft.data.visualization.Client.Excel.LState/1.0"/>
    <ds:schemaRef ds:uri="http://www.w3.org/2000/xmlns/"/>
    <ds:schemaRef ds:uri="http://www.w3.org/2001/XMLSchema"/>
  </ds:schemaRefs>
</ds:datastoreItem>
</file>

<file path=customXml/itemProps12.xml><?xml version="1.0" encoding="utf-8"?>
<ds:datastoreItem xmlns:ds="http://schemas.openxmlformats.org/officeDocument/2006/customXml" ds:itemID="{D1D51DD0-78B4-45ED-895F-0771036C4BE5}">
  <ds:schemaRefs>
    <ds:schemaRef ds:uri="http://gemini/pivotcustomization/SandboxNonEmpty"/>
  </ds:schemaRefs>
</ds:datastoreItem>
</file>

<file path=customXml/itemProps13.xml><?xml version="1.0" encoding="utf-8"?>
<ds:datastoreItem xmlns:ds="http://schemas.openxmlformats.org/officeDocument/2006/customXml" ds:itemID="{DFAC5037-CD97-4EFF-B9E0-031CCFF12FC6}">
  <ds:schemaRefs>
    <ds:schemaRef ds:uri="http://gemini/pivotcustomization/RelationshipAutoDetectionEnabled"/>
  </ds:schemaRefs>
</ds:datastoreItem>
</file>

<file path=customXml/itemProps14.xml><?xml version="1.0" encoding="utf-8"?>
<ds:datastoreItem xmlns:ds="http://schemas.openxmlformats.org/officeDocument/2006/customXml" ds:itemID="{A5BB64A0-0DE3-4C42-8B02-1F6BB0DB398A}">
  <ds:schemaRefs>
    <ds:schemaRef ds:uri="http://gemini/pivotcustomization/ManualCalcMode"/>
  </ds:schemaRefs>
</ds:datastoreItem>
</file>

<file path=customXml/itemProps15.xml><?xml version="1.0" encoding="utf-8"?>
<ds:datastoreItem xmlns:ds="http://schemas.openxmlformats.org/officeDocument/2006/customXml" ds:itemID="{4EC66F17-54D0-41AC-BEFB-35B67985500D}">
  <ds:schemaRefs>
    <ds:schemaRef ds:uri="http://gemini/pivotcustomization/TableOrder"/>
  </ds:schemaRefs>
</ds:datastoreItem>
</file>

<file path=customXml/itemProps16.xml><?xml version="1.0" encoding="utf-8"?>
<ds:datastoreItem xmlns:ds="http://schemas.openxmlformats.org/officeDocument/2006/customXml" ds:itemID="{557A4F9E-4238-40F7-9462-7E79B6446553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F15AC547-D1C1-4205-AA5F-A8BA013F4CF9}">
  <ds:schemaRefs>
    <ds:schemaRef ds:uri="http://gemini/pivotcustomization/ShowImplicitMeasures"/>
  </ds:schemaRefs>
</ds:datastoreItem>
</file>

<file path=customXml/itemProps18.xml><?xml version="1.0" encoding="utf-8"?>
<ds:datastoreItem xmlns:ds="http://schemas.openxmlformats.org/officeDocument/2006/customXml" ds:itemID="{64401356-08E0-49C3-8BF6-28C972F55038}">
  <ds:schemaRefs>
    <ds:schemaRef ds:uri="http://gemini/pivotcustomization/Diagrams"/>
  </ds:schemaRefs>
</ds:datastoreItem>
</file>

<file path=customXml/itemProps19.xml><?xml version="1.0" encoding="utf-8"?>
<ds:datastoreItem xmlns:ds="http://schemas.openxmlformats.org/officeDocument/2006/customXml" ds:itemID="{2A5A1E1D-372B-4EC7-A981-B47AAAC48BAA}">
  <ds:schemaRefs>
    <ds:schemaRef ds:uri="http://gemini/pivotcustomization/ClientWindowXML"/>
  </ds:schemaRefs>
</ds:datastoreItem>
</file>

<file path=customXml/itemProps20.xml><?xml version="1.0" encoding="utf-8"?>
<ds:datastoreItem xmlns:ds="http://schemas.openxmlformats.org/officeDocument/2006/customXml" ds:itemID="{18137E43-BF00-426B-913A-365A2DDB6BB5}">
  <ds:schemaRefs>
    <ds:schemaRef ds:uri="http://gemini/pivotcustomization/ErrorCache"/>
  </ds:schemaRefs>
</ds:datastoreItem>
</file>

<file path=customXml/itemProps21.xml><?xml version="1.0" encoding="utf-8"?>
<ds:datastoreItem xmlns:ds="http://schemas.openxmlformats.org/officeDocument/2006/customXml" ds:itemID="{325FFDE6-1C04-4DB4-BCE1-D5EAC3E7C3B1}">
  <ds:schemaRefs>
    <ds:schemaRef ds:uri="http://gemini/pivotcustomization/IsSandboxEmbedde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103</vt:i4>
      </vt:variant>
    </vt:vector>
  </HeadingPairs>
  <TitlesOfParts>
    <vt:vector size="111" baseType="lpstr">
      <vt:lpstr>Events</vt:lpstr>
      <vt:lpstr>Setup</vt:lpstr>
      <vt:lpstr>Calendar</vt:lpstr>
      <vt:lpstr>Targets</vt:lpstr>
      <vt:lpstr>Weight</vt:lpstr>
      <vt:lpstr>Load</vt:lpstr>
      <vt:lpstr>Dashboard</vt:lpstr>
      <vt:lpstr>Analytics</vt:lpstr>
      <vt:lpstr>Actual_BMI</vt:lpstr>
      <vt:lpstr>Actual_Week</vt:lpstr>
      <vt:lpstr>Actual_Weight</vt:lpstr>
      <vt:lpstr>ActualBMILimit</vt:lpstr>
      <vt:lpstr>ActualHeight</vt:lpstr>
      <vt:lpstr>AddDate</vt:lpstr>
      <vt:lpstr>Advanced_Setup</vt:lpstr>
      <vt:lpstr>Advanced_Setup_Range_End</vt:lpstr>
      <vt:lpstr>Advanced_Setup_Range_Start</vt:lpstr>
      <vt:lpstr>Analytics1Field1</vt:lpstr>
      <vt:lpstr>Analytics1Field2</vt:lpstr>
      <vt:lpstr>Analytics2Field1</vt:lpstr>
      <vt:lpstr>Analytics2Field2</vt:lpstr>
      <vt:lpstr>Analytics3Field1</vt:lpstr>
      <vt:lpstr>Analytics3Field2</vt:lpstr>
      <vt:lpstr>Analytics4Field1</vt:lpstr>
      <vt:lpstr>Analytics4Field2</vt:lpstr>
      <vt:lpstr>APIList</vt:lpstr>
      <vt:lpstr>APISearch</vt:lpstr>
      <vt:lpstr>Available_Annual_Hours</vt:lpstr>
      <vt:lpstr>BMI_max</vt:lpstr>
      <vt:lpstr>BMI_min</vt:lpstr>
      <vt:lpstr>Bottom10Icon</vt:lpstr>
      <vt:lpstr>CalChartAnchor</vt:lpstr>
      <vt:lpstr>CalChartCell</vt:lpstr>
      <vt:lpstr>CalendarChartNeedReset</vt:lpstr>
      <vt:lpstr>CalendarFirstRow</vt:lpstr>
      <vt:lpstr>CalendarTime</vt:lpstr>
      <vt:lpstr>ChartPlanTime</vt:lpstr>
      <vt:lpstr>ConditionalRulesTime</vt:lpstr>
      <vt:lpstr>CountdownTxt</vt:lpstr>
      <vt:lpstr>DashboardChartNeedReset</vt:lpstr>
      <vt:lpstr>DashboardNeedRefresh</vt:lpstr>
      <vt:lpstr>DaysPerWeek</vt:lpstr>
      <vt:lpstr>Dst_Label</vt:lpstr>
      <vt:lpstr>EventsDashboardQueryNeedRefresh</vt:lpstr>
      <vt:lpstr>EventsTableBottom</vt:lpstr>
      <vt:lpstr>EventsTableTop</vt:lpstr>
      <vt:lpstr>EventsTime</vt:lpstr>
      <vt:lpstr>EventType</vt:lpstr>
      <vt:lpstr>EventTypeList</vt:lpstr>
      <vt:lpstr>FavEventsQueryNeedRefresh</vt:lpstr>
      <vt:lpstr>FirstWeek</vt:lpstr>
      <vt:lpstr>FolderIcon</vt:lpstr>
      <vt:lpstr>HeightPrimary</vt:lpstr>
      <vt:lpstr>HeightSecondary</vt:lpstr>
      <vt:lpstr>HeightUnit</vt:lpstr>
      <vt:lpstr>HoursPerDay</vt:lpstr>
      <vt:lpstr>Last_Weight_Update</vt:lpstr>
      <vt:lpstr>Last_Weight_Week</vt:lpstr>
      <vt:lpstr>LastWeek</vt:lpstr>
      <vt:lpstr>MinPerDay</vt:lpstr>
      <vt:lpstr>NewWeight</vt:lpstr>
      <vt:lpstr>NewWeightUnit</vt:lpstr>
      <vt:lpstr>Period_Weight</vt:lpstr>
      <vt:lpstr>PivotAnalyticsNeedRefresh</vt:lpstr>
      <vt:lpstr>PivotPlanNeedRefresh</vt:lpstr>
      <vt:lpstr>PivotPlanTime</vt:lpstr>
      <vt:lpstr>PivotTablesTime</vt:lpstr>
      <vt:lpstr>RaceDay</vt:lpstr>
      <vt:lpstr>RaceMonth</vt:lpstr>
      <vt:lpstr>RaceYear</vt:lpstr>
      <vt:lpstr>radius</vt:lpstr>
      <vt:lpstr>Season</vt:lpstr>
      <vt:lpstr>SeasonList</vt:lpstr>
      <vt:lpstr>SeasonSearch</vt:lpstr>
      <vt:lpstr>Tables!SeasonTable</vt:lpstr>
      <vt:lpstr>Tables!SetupIcon</vt:lpstr>
      <vt:lpstr>SolverTarget</vt:lpstr>
      <vt:lpstr>SolverTime</vt:lpstr>
      <vt:lpstr>SpeedChartAnchor</vt:lpstr>
      <vt:lpstr>StartDay</vt:lpstr>
      <vt:lpstr>StartMonth</vt:lpstr>
      <vt:lpstr>StartYear</vt:lpstr>
      <vt:lpstr>Tables!StateAbbreviation</vt:lpstr>
      <vt:lpstr>StateNames</vt:lpstr>
      <vt:lpstr>StateSearch</vt:lpstr>
      <vt:lpstr>TableCheckTime</vt:lpstr>
      <vt:lpstr>TargetsChartNeedReset</vt:lpstr>
      <vt:lpstr>TargetsNeedRefresh</vt:lpstr>
      <vt:lpstr>TargetsTableFirstRow</vt:lpstr>
      <vt:lpstr>Time_Label</vt:lpstr>
      <vt:lpstr>TodayDate</vt:lpstr>
      <vt:lpstr>Top10Icon</vt:lpstr>
      <vt:lpstr>Total_Weeks_Max</vt:lpstr>
      <vt:lpstr>Total_Weeks_Min</vt:lpstr>
      <vt:lpstr>Total_Weeks_Planned</vt:lpstr>
      <vt:lpstr>TotalTime</vt:lpstr>
      <vt:lpstr>Tables!UCIPATHFILE</vt:lpstr>
      <vt:lpstr>UploadFolder</vt:lpstr>
      <vt:lpstr>UploadQueryFields</vt:lpstr>
      <vt:lpstr>Weeks_Available</vt:lpstr>
      <vt:lpstr>Weeks_Max</vt:lpstr>
      <vt:lpstr>Weeks_Min</vt:lpstr>
      <vt:lpstr>Weeks_To_Race</vt:lpstr>
      <vt:lpstr>WeeksGaugeAnchor</vt:lpstr>
      <vt:lpstr>WeeksToRaceTxt</vt:lpstr>
      <vt:lpstr>WeightChartAnchor</vt:lpstr>
      <vt:lpstr>WeightDashboardChartNeedReset</vt:lpstr>
      <vt:lpstr>WeightTargetChartNeedReset</vt:lpstr>
      <vt:lpstr>WeightUnit</vt:lpstr>
      <vt:lpstr>WeightUnitList</vt:lpstr>
      <vt:lpstr>WeightUnitSetup</vt:lpstr>
    </vt:vector>
  </TitlesOfParts>
  <Company>STATrider</Company>
  <LinksUpToDate>false</LinksUpToDate>
  <SharedDoc>false</SharedDoc>
  <HyperlinkBase>https://statrider.com/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STATrider</dc:title>
  <dc:creator>STATrider</dc:creator>
  <cp:keywords>Cycling Training</cp:keywords>
  <dc:description>STATrider helps you find events, set a goal, track your progress and analyze your data</dc:description>
  <dcterms:created xsi:type="dcterms:W3CDTF">2020-03-07T16:15:18Z</dcterms:created>
  <dcterms:modified xsi:type="dcterms:W3CDTF">2022-05-24T03:27:06Z</dcterms:modified>
  <cp:category>Sports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wner">
    <vt:lpwstr>STATrider</vt:lpwstr>
  </property>
  <property fmtid="{D5CDD505-2E9C-101B-9397-08002B2CF9AE}" pid="3" name="Project">
    <vt:lpwstr>STATrider2020</vt:lpwstr>
  </property>
  <property fmtid="{D5CDD505-2E9C-101B-9397-08002B2CF9AE}" pid="4" name="Publisher">
    <vt:lpwstr>STATrider</vt:lpwstr>
  </property>
  <property fmtid="{D5CDD505-2E9C-101B-9397-08002B2CF9AE}" pid="5" name="Source">
    <vt:lpwstr>http://www.statrider.com</vt:lpwstr>
  </property>
</Properties>
</file>