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queryTables/queryTable3.xml" ContentType="application/vnd.openxmlformats-officedocument.spreadsheetml.queryTable+xml"/>
  <Override PartName="/xl/drawings/drawing7.xml" ContentType="application/vnd.openxmlformats-officedocument.drawing+xml"/>
  <Override PartName="/xl/tables/table9.xml" ContentType="application/vnd.openxmlformats-officedocument.spreadsheetml.table+xml"/>
  <Override PartName="/xl/queryTables/queryTable4.xml" ContentType="application/vnd.openxmlformats-officedocument.spreadsheetml.queryTab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imelines/timeline1.xml" ContentType="application/vnd.ms-excel.timelin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mc:AlternateContent xmlns:mc="http://schemas.openxmlformats.org/markup-compatibility/2006">
    <mc:Choice Requires="x15">
      <x15ac:absPath xmlns:x15ac="http://schemas.microsoft.com/office/spreadsheetml/2010/11/ac" url="C:\Users\jorge\Documents\GitHub\statrider.github.io\download\"/>
    </mc:Choice>
  </mc:AlternateContent>
  <xr:revisionPtr revIDLastSave="0" documentId="13_ncr:1_{CDA11627-EEF5-434C-BE9A-855BC6B24111}" xr6:coauthVersionLast="46" xr6:coauthVersionMax="46" xr10:uidLastSave="{00000000-0000-0000-0000-000000000000}"/>
  <bookViews>
    <workbookView showHorizontalScroll="0" showVerticalScroll="0" xWindow="810" yWindow="-120" windowWidth="28110" windowHeight="16440" tabRatio="718" xr2:uid="{176E5CDE-11CE-4816-90C4-A70810F0F0B8}"/>
  </bookViews>
  <sheets>
    <sheet name="Events" sheetId="20" r:id="rId1"/>
    <sheet name="Setup" sheetId="6" r:id="rId2"/>
    <sheet name="Calendar" sheetId="4" r:id="rId3"/>
    <sheet name="Targets" sheetId="27" r:id="rId4"/>
    <sheet name="Weight" sheetId="22" r:id="rId5"/>
    <sheet name="Load" sheetId="21" r:id="rId6"/>
    <sheet name="Dashboard" sheetId="3" r:id="rId7"/>
    <sheet name="Analytics" sheetId="37" r:id="rId8"/>
    <sheet name="PivotAnalytics4" sheetId="44" state="veryHidden" r:id="rId9"/>
    <sheet name="Log" sheetId="29" state="veryHidden" r:id="rId10"/>
    <sheet name="Gauges" sheetId="14" state="veryHidden" r:id="rId11"/>
    <sheet name="Tables" sheetId="36" state="veryHidden" r:id="rId12"/>
    <sheet name="PivotAnalytics" sheetId="43" state="veryHidden" r:id="rId13"/>
    <sheet name="PivotAnalytics1" sheetId="39" state="veryHidden" r:id="rId14"/>
    <sheet name="PivotAnalytics2" sheetId="40" state="veryHidden" r:id="rId15"/>
    <sheet name="PivotAnalytics3" sheetId="41" state="veryHidden" r:id="rId16"/>
    <sheet name="PivotPlan" sheetId="25" state="veryHidden" r:id="rId17"/>
    <sheet name="PivotCal" sheetId="19" state="veryHidden" r:id="rId18"/>
    <sheet name="PivotSpeed" sheetId="24" state="veryHidden" r:id="rId19"/>
    <sheet name="PivotWeight" sheetId="28" state="veryHidden" r:id="rId20"/>
    <sheet name="PivotAddWeight" sheetId="35" state="veryHidden" r:id="rId21"/>
    <sheet name="PivotWeightTarget" sheetId="31" state="veryHidden" r:id="rId22"/>
    <sheet name="PivotCalTarget" sheetId="30" state="veryHidden" r:id="rId23"/>
    <sheet name="PivotHRTarget" sheetId="32" state="veryHidden" r:id="rId24"/>
    <sheet name="PivotPowerTarget" sheetId="33" state="veryHidden" r:id="rId25"/>
  </sheets>
  <functionGroups builtInGroupCount="19"/>
  <definedNames>
    <definedName name="Actual_BMI">Gauges!$B$9</definedName>
    <definedName name="Actual_Week">Gauges!$B$4</definedName>
    <definedName name="Actual_Weight">Gauges!$B$8</definedName>
    <definedName name="ActualBMILimit">Gauges!$F$26</definedName>
    <definedName name="ActualHeight">Gauges!$G$4</definedName>
    <definedName name="AddDate">Weight!$B$9</definedName>
    <definedName name="Advanced_Setup">Setup!$B$11</definedName>
    <definedName name="Advanced_Setup_Range_End">Setup!$H$28</definedName>
    <definedName name="Advanced_Setup_Range_Start">Setup!$B$12</definedName>
    <definedName name="Analytics1Field1">Tables!$CT$4</definedName>
    <definedName name="Analytics1Field2">Tables!$CT$5</definedName>
    <definedName name="Analytics2Field1">Tables!$CT$6</definedName>
    <definedName name="Analytics2Field2">Tables!$CT$7</definedName>
    <definedName name="Analytics3Field1">Tables!$CT$8</definedName>
    <definedName name="Analytics3Field2">Tables!$CT$9</definedName>
    <definedName name="Analytics4Field1">Tables!$CT$10</definedName>
    <definedName name="Analytics4Field2">Tables!$CT$11</definedName>
    <definedName name="APIList">APITable[Database]</definedName>
    <definedName name="APISearch">Tables!$CG$4</definedName>
    <definedName name="Available_Annual_Hours">Setup!$C$13</definedName>
    <definedName name="BMI_max">Setup!$C$28</definedName>
    <definedName name="BMI_min">Setup!$C$27</definedName>
    <definedName name="Bottom10Icon">Tables!$CZ$5</definedName>
    <definedName name="CalChartAnchor">Dashboard!$E$4</definedName>
    <definedName name="CalChartCell">'Calendar'!$B$4</definedName>
    <definedName name="CalendarChartNeedReset">Tables!$DG$7</definedName>
    <definedName name="CalendarFirstRow">'Calendar'!$B$15</definedName>
    <definedName name="CalendarTime">Log!$B$5</definedName>
    <definedName name="ChartPlanTime">Log!$B$8</definedName>
    <definedName name="ConditionalRulesTime">Log!$B$7</definedName>
    <definedName name="CountdownTxt">Gauges!$C$5</definedName>
    <definedName name="DashboardChartNeedReset">Tables!$DG$9</definedName>
    <definedName name="DashboardNeedRefresh">Tables!$DG$6</definedName>
    <definedName name="DaysPerWeek">Setup!$C$5</definedName>
    <definedName name="Dst_Label">Load!$IT$2</definedName>
    <definedName name="EventsDashboardQueryNeedRefresh">Tables!$DG$15</definedName>
    <definedName name="EventsTableBottom">Dashboard!$C$28</definedName>
    <definedName name="EventsTableTop">Dashboard!$B$16</definedName>
    <definedName name="EventsTime">Log!$B$10</definedName>
    <definedName name="EventType">Tables!$CG$5</definedName>
    <definedName name="EventTypeList">Tables!$BT$4:$BT$7</definedName>
    <definedName name="ExternalData_1" localSheetId="6" hidden="1">Dashboard!$B$16:$C$16</definedName>
    <definedName name="ExternalData_1" localSheetId="0" hidden="1">Events!$B$19:$I$36</definedName>
    <definedName name="ExternalData_1" localSheetId="5" hidden="1">Load!$B$5:$X$6</definedName>
    <definedName name="ExternalData_1" localSheetId="1" hidden="1">Setup!$J$4:$M$11</definedName>
    <definedName name="FavEventsQueryNeedRefresh">Tables!$DG$14</definedName>
    <definedName name="FirstWeek">Setup!$C$9</definedName>
    <definedName name="FolderIcon">Tables!$CZ$3</definedName>
    <definedName name="HeightPrimary">Setup!$C$8</definedName>
    <definedName name="HeightSecondary">Setup!$E$8</definedName>
    <definedName name="HeightUnit">Setup!$D$8</definedName>
    <definedName name="HoursPerDay">Setup!$C$4</definedName>
    <definedName name="Last_Weight_Update">Gauges!$B$13</definedName>
    <definedName name="Last_Weight_Week">Gauges!$B$12</definedName>
    <definedName name="LastWeek">Setup!$C$10</definedName>
    <definedName name="MinPerDay">Setup!$E$4</definedName>
    <definedName name="NewWeight">Weight!$B$5</definedName>
    <definedName name="NewWeightUnit">Weight!$C$5</definedName>
    <definedName name="Period_Weight">Setup!$H$16:$H$23</definedName>
    <definedName name="PivotAnalyticsNeedRefresh">Tables!$DG$10</definedName>
    <definedName name="PivotCalTime">Log!#REF!</definedName>
    <definedName name="PivotPlanNeedRefresh">Tables!$DG$11</definedName>
    <definedName name="PivotPlanTime">Log!$B$6</definedName>
    <definedName name="PivotSpeedTime">Log!#REF!</definedName>
    <definedName name="PivotTablesTime">Log!$B$14</definedName>
    <definedName name="PivotTargetTime">Log!#REF!</definedName>
    <definedName name="PivotWeightTime">Log!#REF!</definedName>
    <definedName name="RaceDay">Setup!$E$7</definedName>
    <definedName name="RaceMonth">Setup!$C$7</definedName>
    <definedName name="RaceYear">Setup!$G$7</definedName>
    <definedName name="radius">Gauges!$B$24</definedName>
    <definedName name="Season">'Calendar'!$B$2</definedName>
    <definedName name="SeasonList">Tables!$BY$4:$BY$6</definedName>
    <definedName name="SeasonSearch">Tables!$CG$8</definedName>
    <definedName name="SeasonTable" localSheetId="11">Tables!$BY$4:$BY$6</definedName>
    <definedName name="SetupIcon" localSheetId="11">Tables!$CM$3</definedName>
    <definedName name="solver_adj" localSheetId="2" hidden="1">'Calendar'!$G$11:$G$14</definedName>
    <definedName name="solver_adj" localSheetId="9" hidden="1">Log!$G$20:$G$27</definedName>
    <definedName name="solver_adj" localSheetId="1" hidden="1">Setup!$G$16:$G$23</definedName>
    <definedName name="solver_adj" localSheetId="4" hidden="1">Weight!#REF!</definedName>
    <definedName name="solver_cvg" localSheetId="2" hidden="1">0.0001</definedName>
    <definedName name="solver_cvg" localSheetId="9" hidden="1">0.0001</definedName>
    <definedName name="solver_cvg" localSheetId="1" hidden="1">0.0001</definedName>
    <definedName name="solver_cvg" localSheetId="4" hidden="1">0.0001</definedName>
    <definedName name="solver_drv" localSheetId="2" hidden="1">1</definedName>
    <definedName name="solver_drv" localSheetId="9" hidden="1">1</definedName>
    <definedName name="solver_drv" localSheetId="1" hidden="1">1</definedName>
    <definedName name="solver_drv" localSheetId="4" hidden="1">1</definedName>
    <definedName name="solver_eng" localSheetId="2" hidden="1">2</definedName>
    <definedName name="solver_eng" localSheetId="0" hidden="1">1</definedName>
    <definedName name="solver_eng" localSheetId="9" hidden="1">2</definedName>
    <definedName name="solver_eng" localSheetId="1" hidden="1">2</definedName>
    <definedName name="solver_eng" localSheetId="4" hidden="1">2</definedName>
    <definedName name="solver_est" localSheetId="1" hidden="1">1</definedName>
    <definedName name="solver_itr" localSheetId="1" hidden="1">2147483647</definedName>
    <definedName name="solver_lhs1" localSheetId="2" hidden="1">'Calendar'!#REF!</definedName>
    <definedName name="solver_lhs1" localSheetId="9" hidden="1">Log!$G$28</definedName>
    <definedName name="solver_lhs1" localSheetId="1" hidden="1">Setup!$G$16:$G$23</definedName>
    <definedName name="solver_lhs1" localSheetId="4" hidden="1">Weight!#REF!</definedName>
    <definedName name="solver_lhs2" localSheetId="2" hidden="1">'Calendar'!$G$11:$G$14</definedName>
    <definedName name="solver_lhs2" localSheetId="9" hidden="1">Log!$G$20:$G$27</definedName>
    <definedName name="solver_lhs2" localSheetId="1" hidden="1">Setup!$G$24</definedName>
    <definedName name="solver_lhs2" localSheetId="4" hidden="1">Weight!#REF!</definedName>
    <definedName name="solver_lhs3" localSheetId="2" hidden="1">'Calendar'!$G$11:$G$14</definedName>
    <definedName name="solver_lhs3" localSheetId="9" hidden="1">Log!$G$20:$G$27</definedName>
    <definedName name="solver_lhs3" localSheetId="1" hidden="1">Setup!$G$16:$G$23</definedName>
    <definedName name="solver_lhs3" localSheetId="4" hidden="1">Weight!#REF!</definedName>
    <definedName name="solver_lhs4" localSheetId="1" hidden="1">Setup!$G$16:$G$23</definedName>
    <definedName name="solver_lin" localSheetId="9" hidden="1">1</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2" hidden="1">1</definedName>
    <definedName name="solver_neg" localSheetId="0" hidden="1">1</definedName>
    <definedName name="solver_neg" localSheetId="9" hidden="1">1</definedName>
    <definedName name="solver_neg" localSheetId="1" hidden="1">1</definedName>
    <definedName name="solver_neg" localSheetId="4" hidden="1">1</definedName>
    <definedName name="solver_nod" localSheetId="1" hidden="1">2147483647</definedName>
    <definedName name="solver_num" localSheetId="2" hidden="1">3</definedName>
    <definedName name="solver_num" localSheetId="0" hidden="1">0</definedName>
    <definedName name="solver_num" localSheetId="9" hidden="1">3</definedName>
    <definedName name="solver_num" localSheetId="1" hidden="1">4</definedName>
    <definedName name="solver_num" localSheetId="4" hidden="1">3</definedName>
    <definedName name="solver_nwt" localSheetId="9" hidden="1">2</definedName>
    <definedName name="solver_nwt" localSheetId="1" hidden="1">1</definedName>
    <definedName name="solver_opt" localSheetId="2" hidden="1">'Calendar'!#REF!</definedName>
    <definedName name="solver_opt" localSheetId="0" hidden="1">Events!$A$1</definedName>
    <definedName name="solver_opt" localSheetId="9" hidden="1">Log!$U$28</definedName>
    <definedName name="solver_opt" localSheetId="1" hidden="1">Setup!$H$24</definedName>
    <definedName name="solver_opt" localSheetId="4" hidden="1">Weight!#REF!</definedName>
    <definedName name="solver_pre" localSheetId="2" hidden="1">0.000001</definedName>
    <definedName name="solver_pre" localSheetId="9" hidden="1">0.000001</definedName>
    <definedName name="solver_pre" localSheetId="1" hidden="1">0.0001</definedName>
    <definedName name="solver_pre" localSheetId="4" hidden="1">0.000001</definedName>
    <definedName name="solver_rbv" localSheetId="1" hidden="1">1</definedName>
    <definedName name="solver_rel1" localSheetId="2" hidden="1">1</definedName>
    <definedName name="solver_rel1" localSheetId="9" hidden="1">1</definedName>
    <definedName name="solver_rel1" localSheetId="1" hidden="1">4</definedName>
    <definedName name="solver_rel1" localSheetId="4" hidden="1">1</definedName>
    <definedName name="solver_rel2" localSheetId="2" hidden="1">1</definedName>
    <definedName name="solver_rel2" localSheetId="9" hidden="1">1</definedName>
    <definedName name="solver_rel2" localSheetId="1" hidden="1">1</definedName>
    <definedName name="solver_rel2" localSheetId="4" hidden="1">1</definedName>
    <definedName name="solver_rel3" localSheetId="2" hidden="1">3</definedName>
    <definedName name="solver_rel3" localSheetId="9" hidden="1">3</definedName>
    <definedName name="solver_rel3" localSheetId="1" hidden="1">1</definedName>
    <definedName name="solver_rel3" localSheetId="4" hidden="1">3</definedName>
    <definedName name="solver_rel4" localSheetId="1" hidden="1">3</definedName>
    <definedName name="solver_rhs1" localSheetId="2" hidden="1">Weeks_Available</definedName>
    <definedName name="solver_rhs1" localSheetId="9" hidden="1">Weeks_Available</definedName>
    <definedName name="solver_rhs1" localSheetId="1" hidden="1">integer</definedName>
    <definedName name="solver_rhs1" localSheetId="4" hidden="1">Weeks_Available</definedName>
    <definedName name="solver_rhs2" localSheetId="2" hidden="1">Setup!$C$16:$C$23</definedName>
    <definedName name="solver_rhs2" localSheetId="9" hidden="1">Number_of_Weeks[Max]</definedName>
    <definedName name="solver_rhs2" localSheetId="1" hidden="1">Weeks_Available</definedName>
    <definedName name="solver_rhs2" localSheetId="4" hidden="1">Number_of_Weeks[Max]</definedName>
    <definedName name="solver_rhs3" localSheetId="2" hidden="1">Setup!$E$16:$E$23</definedName>
    <definedName name="solver_rhs3" localSheetId="9" hidden="1">Number_of_Weeks[Min]</definedName>
    <definedName name="solver_rhs3" localSheetId="1" hidden="1">Number_of_Weeks[Max]</definedName>
    <definedName name="solver_rhs3" localSheetId="4" hidden="1">Number_of_Weeks[Min]</definedName>
    <definedName name="solver_rhs4" localSheetId="1" hidden="1">Number_of_Weeks[Min]</definedName>
    <definedName name="solver_rlx" localSheetId="1" hidden="1">2</definedName>
    <definedName name="solver_rsd" localSheetId="1" hidden="1">0</definedName>
    <definedName name="solver_scl" localSheetId="2" hidden="1">1</definedName>
    <definedName name="solver_scl" localSheetId="9" hidden="1">1</definedName>
    <definedName name="solver_scl" localSheetId="1" hidden="1">1</definedName>
    <definedName name="solver_scl" localSheetId="4" hidden="1">1</definedName>
    <definedName name="solver_sho" localSheetId="2" hidden="1">2</definedName>
    <definedName name="solver_sho" localSheetId="9" hidden="1">2</definedName>
    <definedName name="solver_sho" localSheetId="1" hidden="1">2</definedName>
    <definedName name="solver_sho" localSheetId="4" hidden="1">2</definedName>
    <definedName name="solver_ssz" localSheetId="1" hidden="1">100</definedName>
    <definedName name="solver_tim" localSheetId="2" hidden="1">60</definedName>
    <definedName name="solver_tim" localSheetId="9" hidden="1">60</definedName>
    <definedName name="solver_tim" localSheetId="1" hidden="1">60</definedName>
    <definedName name="solver_tim" localSheetId="4" hidden="1">60</definedName>
    <definedName name="solver_tol" localSheetId="1" hidden="1">0.01</definedName>
    <definedName name="solver_typ" localSheetId="2" hidden="1">1</definedName>
    <definedName name="solver_typ" localSheetId="0" hidden="1">1</definedName>
    <definedName name="solver_typ" localSheetId="9" hidden="1">1</definedName>
    <definedName name="solver_typ" localSheetId="1" hidden="1">1</definedName>
    <definedName name="solver_typ" localSheetId="4" hidden="1">1</definedName>
    <definedName name="solver_val" localSheetId="2" hidden="1">0</definedName>
    <definedName name="solver_val" localSheetId="0" hidden="1">0</definedName>
    <definedName name="solver_val" localSheetId="9" hidden="1">0</definedName>
    <definedName name="solver_val" localSheetId="1" hidden="1">0</definedName>
    <definedName name="solver_val" localSheetId="4" hidden="1">0</definedName>
    <definedName name="solver_ver" localSheetId="2" hidden="1">3</definedName>
    <definedName name="solver_ver" localSheetId="0" hidden="1">3</definedName>
    <definedName name="solver_ver" localSheetId="9" hidden="1">3</definedName>
    <definedName name="solver_ver" localSheetId="1" hidden="1">3</definedName>
    <definedName name="solver_ver" localSheetId="4" hidden="1">3</definedName>
    <definedName name="SolverTarget">Setup!$H$24</definedName>
    <definedName name="SolverTime">Log!$B$4</definedName>
    <definedName name="SpeedChartAnchor">Dashboard!$E$15</definedName>
    <definedName name="StartDay">Setup!$E$6</definedName>
    <definedName name="StartMonth">Setup!$C$6</definedName>
    <definedName name="StartYear">Setup!$G$6</definedName>
    <definedName name="StateAbbreviation" localSheetId="11">Tables!$CG$7</definedName>
    <definedName name="StateNames">Tables!$AZ$4:$AZ$62</definedName>
    <definedName name="StateSearch">Tables!$CG$6</definedName>
    <definedName name="TableCheckTime">Log!$B$3</definedName>
    <definedName name="TargetsChartNeedReset">Tables!$DG$8</definedName>
    <definedName name="TargetsNeedRefresh">Tables!$DG$5</definedName>
    <definedName name="TargetsTableFirstRow">Targets!$B$3</definedName>
    <definedName name="Time_Label">Load!$IT$3</definedName>
    <definedName name="TimePeriodSlicerPivotAnalyticsCache">#N/A</definedName>
    <definedName name="TodayDate">Gauges!$G$3</definedName>
    <definedName name="Top10Icon">Tables!$CZ$4</definedName>
    <definedName name="Total_Weeks_Max">Setup!$C$24</definedName>
    <definedName name="Total_Weeks_Min">Setup!$E$24</definedName>
    <definedName name="Total_Weeks_Planned">Setup!$G$24</definedName>
    <definedName name="TotalTime">Log!$B$2</definedName>
    <definedName name="UCIPATHFILE" localSheetId="11">Tables!$CI$4</definedName>
    <definedName name="UploadFolder">Tables!$DB$4</definedName>
    <definedName name="UploadQueryFields">Tables!$CQ$4:$CQ$15</definedName>
    <definedName name="Weeks_Available">Setup!$C$12</definedName>
    <definedName name="Weeks_Max">Setup!$C$16:$C$23</definedName>
    <definedName name="Weeks_Min">Setup!$E$16:$E$23</definedName>
    <definedName name="Weeks_To_Race">Gauges!$B$5</definedName>
    <definedName name="WeeksGaugeAnchor">Dashboard!$B$4</definedName>
    <definedName name="WeeksToRaceTxt">Gauges!$A$5</definedName>
    <definedName name="WeightChartAnchor">Dashboard!$K$15</definedName>
    <definedName name="WeightDashboardChartNeedReset">Tables!$DG$12</definedName>
    <definedName name="WeightTargetChartNeedReset">Tables!$DG$13</definedName>
    <definedName name="WeightUnit">Tables!$CK$1</definedName>
    <definedName name="WeightUnitList">Tables!$CO$4:$CO$5</definedName>
    <definedName name="WeightUnitSetup">Setup!$B$25</definedName>
    <definedName name="YearsSlicerPivotAddWeightCache">#N/A</definedName>
  </definedNames>
  <calcPr calcId="191029" calcMode="manual"/>
  <pivotCaches>
    <pivotCache cacheId="0" r:id="rId26"/>
    <pivotCache cacheId="1" r:id="rId27"/>
    <pivotCache cacheId="2" r:id="rId28"/>
    <pivotCache cacheId="27" r:id="rId29"/>
    <pivotCache cacheId="66" r:id="rId30"/>
    <pivotCache cacheId="79"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16" i="4" l="1"/>
  <c r="AL16" i="4"/>
  <c r="Z16" i="4"/>
  <c r="T16" i="4"/>
  <c r="U16" i="4"/>
  <c r="V16" i="4"/>
  <c r="W16" i="4"/>
  <c r="X16" i="4"/>
  <c r="AE16" i="4"/>
  <c r="AF16" i="4"/>
  <c r="AG16" i="4"/>
  <c r="AH16" i="4"/>
  <c r="AI16" i="4"/>
  <c r="AK17" i="4"/>
  <c r="Y17" i="4" s="1"/>
  <c r="AL17" i="4"/>
  <c r="Z17" i="4"/>
  <c r="T17" i="4"/>
  <c r="U17" i="4"/>
  <c r="V17" i="4"/>
  <c r="W17" i="4"/>
  <c r="X17" i="4"/>
  <c r="AE17" i="4"/>
  <c r="AF17" i="4"/>
  <c r="AG17" i="4"/>
  <c r="AH17" i="4"/>
  <c r="AI17" i="4"/>
  <c r="AJ17" i="4"/>
  <c r="AK18" i="4"/>
  <c r="AL18" i="4"/>
  <c r="T18" i="4"/>
  <c r="U18" i="4"/>
  <c r="V18" i="4"/>
  <c r="W18" i="4"/>
  <c r="X18" i="4"/>
  <c r="Z18" i="4"/>
  <c r="AE18" i="4"/>
  <c r="AF18" i="4"/>
  <c r="AG18" i="4"/>
  <c r="AH18" i="4"/>
  <c r="AI18" i="4"/>
  <c r="AJ18" i="4"/>
  <c r="AK19" i="4"/>
  <c r="AL19" i="4"/>
  <c r="Z19" i="4"/>
  <c r="T19" i="4"/>
  <c r="U19" i="4"/>
  <c r="V19" i="4"/>
  <c r="W19" i="4"/>
  <c r="X19" i="4"/>
  <c r="AE19" i="4"/>
  <c r="AF19" i="4"/>
  <c r="AG19" i="4"/>
  <c r="AH19" i="4"/>
  <c r="AI19" i="4"/>
  <c r="AJ19" i="4"/>
  <c r="AK20" i="4"/>
  <c r="AL20" i="4"/>
  <c r="Z20" i="4"/>
  <c r="T20" i="4"/>
  <c r="U20" i="4"/>
  <c r="V20" i="4"/>
  <c r="W20" i="4"/>
  <c r="X20" i="4"/>
  <c r="Y20" i="4"/>
  <c r="AE20" i="4"/>
  <c r="AF20" i="4"/>
  <c r="AG20" i="4"/>
  <c r="AH20" i="4"/>
  <c r="AI20" i="4"/>
  <c r="AJ20" i="4"/>
  <c r="AK21" i="4"/>
  <c r="AL21" i="4"/>
  <c r="T21" i="4"/>
  <c r="U21" i="4"/>
  <c r="V21" i="4"/>
  <c r="W21" i="4"/>
  <c r="X21" i="4"/>
  <c r="Z21" i="4"/>
  <c r="AE21" i="4"/>
  <c r="AF21" i="4"/>
  <c r="AG21" i="4"/>
  <c r="AH21" i="4"/>
  <c r="AI21" i="4"/>
  <c r="AJ21" i="4"/>
  <c r="AK22" i="4"/>
  <c r="AL22" i="4"/>
  <c r="Z22" i="4"/>
  <c r="T22" i="4"/>
  <c r="U22" i="4"/>
  <c r="V22" i="4"/>
  <c r="W22" i="4"/>
  <c r="X22" i="4"/>
  <c r="Y22" i="4"/>
  <c r="AE22" i="4"/>
  <c r="AF22" i="4"/>
  <c r="AG22" i="4"/>
  <c r="AH22" i="4"/>
  <c r="AI22" i="4"/>
  <c r="AJ22" i="4"/>
  <c r="AK23" i="4"/>
  <c r="AL23" i="4"/>
  <c r="Z23" i="4"/>
  <c r="T23" i="4"/>
  <c r="U23" i="4"/>
  <c r="V23" i="4"/>
  <c r="W23" i="4"/>
  <c r="X23" i="4"/>
  <c r="Y23" i="4"/>
  <c r="AE23" i="4"/>
  <c r="AF23" i="4"/>
  <c r="AG23" i="4"/>
  <c r="AH23" i="4"/>
  <c r="AI23" i="4"/>
  <c r="AJ23" i="4"/>
  <c r="AK24" i="4"/>
  <c r="AL24" i="4"/>
  <c r="T24" i="4"/>
  <c r="U24" i="4"/>
  <c r="V24" i="4"/>
  <c r="W24" i="4"/>
  <c r="X24" i="4"/>
  <c r="Z24" i="4"/>
  <c r="AE24" i="4"/>
  <c r="AF24" i="4"/>
  <c r="AG24" i="4"/>
  <c r="AH24" i="4"/>
  <c r="AI24" i="4"/>
  <c r="AJ24" i="4"/>
  <c r="AK25" i="4"/>
  <c r="AL25" i="4"/>
  <c r="Z25" i="4"/>
  <c r="T25" i="4"/>
  <c r="U25" i="4"/>
  <c r="V25" i="4"/>
  <c r="W25" i="4"/>
  <c r="X25" i="4"/>
  <c r="Y25" i="4"/>
  <c r="AE25" i="4"/>
  <c r="AF25" i="4"/>
  <c r="AG25" i="4"/>
  <c r="AH25" i="4"/>
  <c r="AI25" i="4"/>
  <c r="AJ25" i="4"/>
  <c r="AK26" i="4"/>
  <c r="AL26" i="4"/>
  <c r="Z26" i="4"/>
  <c r="T26" i="4"/>
  <c r="U26" i="4"/>
  <c r="V26" i="4"/>
  <c r="W26" i="4"/>
  <c r="X26" i="4"/>
  <c r="Y26" i="4"/>
  <c r="AE26" i="4"/>
  <c r="AF26" i="4"/>
  <c r="AG26" i="4"/>
  <c r="AH26" i="4"/>
  <c r="AI26" i="4"/>
  <c r="AJ26" i="4"/>
  <c r="AK27" i="4"/>
  <c r="AL27" i="4"/>
  <c r="Y27" i="4"/>
  <c r="T27" i="4"/>
  <c r="U27" i="4"/>
  <c r="V27" i="4"/>
  <c r="W27" i="4"/>
  <c r="X27" i="4"/>
  <c r="Z27" i="4"/>
  <c r="AE27" i="4"/>
  <c r="AF27" i="4"/>
  <c r="AG27" i="4"/>
  <c r="AH27" i="4"/>
  <c r="AI27" i="4"/>
  <c r="AJ27" i="4"/>
  <c r="BE4" i="36"/>
  <c r="BI4" i="36"/>
  <c r="BN4" i="36"/>
  <c r="BO4" i="36"/>
  <c r="BI5" i="36"/>
  <c r="BN5" i="36"/>
  <c r="BO5" i="36"/>
  <c r="BI6" i="36"/>
  <c r="BN6" i="36"/>
  <c r="BO6" i="36"/>
  <c r="AD24" i="4"/>
  <c r="AD17" i="4"/>
  <c r="AD20" i="4"/>
  <c r="AD23" i="4"/>
  <c r="AD26" i="4"/>
  <c r="AD21" i="4"/>
  <c r="AD16" i="4"/>
  <c r="AD19" i="4"/>
  <c r="AD22" i="4"/>
  <c r="AD25" i="4"/>
  <c r="AD18" i="4"/>
  <c r="AD27" i="4"/>
  <c r="C9" i="6"/>
  <c r="C10" i="6"/>
  <c r="Y18" i="4" l="1"/>
  <c r="Y24" i="4"/>
  <c r="Y21" i="4"/>
  <c r="Y19" i="4"/>
  <c r="Y16" i="4"/>
  <c r="AJ16" i="4"/>
  <c r="C12" i="6"/>
  <c r="CC20" i="36" a="1"/>
  <c r="CB12" i="36" a="1"/>
  <c r="CC15" i="36" a="1"/>
  <c r="CC9" i="36" a="1"/>
  <c r="CB15" i="36" a="1"/>
  <c r="CB16" i="36" a="1"/>
  <c r="CC18" i="36" a="1"/>
  <c r="CC17" i="36" a="1"/>
  <c r="CC19" i="36" a="1"/>
  <c r="CC27" i="36" a="1"/>
  <c r="CB19" i="36" a="1"/>
  <c r="CB8" i="36" a="1"/>
  <c r="CB27" i="36" a="1"/>
  <c r="CB17" i="36" a="1"/>
  <c r="CB5" i="36" a="1"/>
  <c r="CB18" i="36" a="1"/>
  <c r="CB20" i="36" a="1"/>
  <c r="CC8" i="36" a="1"/>
  <c r="CB9" i="36" a="1"/>
  <c r="CB11" i="36" a="1"/>
  <c r="CB10" i="36" a="1"/>
  <c r="D4" i="14"/>
  <c r="CC16" i="36" a="1"/>
  <c r="CB12" i="36" l="1"/>
  <c r="CB5" i="36"/>
  <c r="CB16" i="36"/>
  <c r="CB18" i="36"/>
  <c r="CB8" i="36"/>
  <c r="CC16" i="36"/>
  <c r="CC18" i="36"/>
  <c r="CB10" i="36"/>
  <c r="CB20" i="36"/>
  <c r="CC9" i="36"/>
  <c r="CC20" i="36"/>
  <c r="CB11" i="36"/>
  <c r="CB19" i="36"/>
  <c r="CC17" i="36"/>
  <c r="CC19" i="36"/>
  <c r="CB9" i="36"/>
  <c r="CB15" i="36"/>
  <c r="CB17" i="36"/>
  <c r="CB27" i="36"/>
  <c r="CC8" i="36"/>
  <c r="CC15" i="36"/>
  <c r="CC27" i="36"/>
  <c r="CB13" i="36"/>
  <c r="CC13" i="36"/>
  <c r="CB14" i="36"/>
  <c r="CC14" i="36"/>
  <c r="CA22" i="36"/>
  <c r="CB22" i="36" s="1"/>
  <c r="CC22" i="36" s="1"/>
  <c r="CD22" i="36"/>
  <c r="CD27" i="36"/>
  <c r="CB29" i="36"/>
  <c r="CC29" i="36"/>
  <c r="CD29" i="36"/>
  <c r="CB30" i="36"/>
  <c r="CC30" i="36"/>
  <c r="CD30" i="36"/>
  <c r="CB25" i="36"/>
  <c r="CB26" i="36"/>
  <c r="CZ5" i="36" l="1"/>
  <c r="CZ4" i="36"/>
  <c r="DB4" i="36" l="1"/>
  <c r="CZ3" i="36"/>
  <c r="G4" i="14"/>
  <c r="AQ11" i="36" l="1"/>
  <c r="AQ10" i="36"/>
  <c r="AQ9" i="36"/>
  <c r="AQ8" i="36"/>
  <c r="CG7" i="36"/>
  <c r="AQ7" i="36"/>
  <c r="BY6" i="36"/>
  <c r="AQ6" i="36"/>
  <c r="BY5" i="36"/>
  <c r="AQ5" i="36"/>
  <c r="BY4" i="36"/>
  <c r="AQ4" i="36"/>
  <c r="CM3" i="36"/>
  <c r="BP6" i="36" l="1"/>
  <c r="BQ6" i="36" s="1"/>
  <c r="BP5" i="36"/>
  <c r="BQ5" i="36" s="1"/>
  <c r="BP4" i="36"/>
  <c r="BQ4" i="36" s="1"/>
  <c r="H24" i="6"/>
  <c r="C13" i="6" l="1"/>
  <c r="C21" i="14" l="1"/>
  <c r="D20" i="14"/>
  <c r="E20" i="14" s="1"/>
  <c r="G18" i="14"/>
  <c r="C18" i="14" s="1"/>
  <c r="F18" i="14"/>
  <c r="B18" i="14" s="1"/>
  <c r="E17" i="14" s="1"/>
  <c r="D17" i="14"/>
  <c r="D19" i="14" s="1"/>
  <c r="D16" i="14"/>
  <c r="E16" i="14" s="1"/>
  <c r="B11" i="14"/>
  <c r="B10" i="14"/>
  <c r="C8" i="14"/>
  <c r="B3" i="3"/>
  <c r="D28" i="6"/>
  <c r="D27" i="6"/>
  <c r="G24" i="6"/>
  <c r="E24" i="6"/>
  <c r="F23" i="6"/>
  <c r="D23" i="6"/>
  <c r="F21" i="6"/>
  <c r="D21" i="6"/>
  <c r="F20" i="6"/>
  <c r="D20" i="6"/>
  <c r="F19" i="6"/>
  <c r="D19" i="6"/>
  <c r="F18" i="6"/>
  <c r="D18" i="6"/>
  <c r="F17" i="6"/>
  <c r="D17" i="6"/>
  <c r="F16" i="6"/>
  <c r="D16" i="6"/>
  <c r="F8" i="6"/>
  <c r="H5" i="6"/>
  <c r="D8" i="29"/>
  <c r="D7" i="29"/>
  <c r="D6" i="29"/>
  <c r="D5" i="29"/>
  <c r="D4" i="29"/>
  <c r="D3" i="29"/>
  <c r="B12" i="14"/>
  <c r="C4" i="14"/>
  <c r="B4" i="14" l="1"/>
  <c r="B5" i="14" s="1"/>
  <c r="C5" i="14" s="1"/>
  <c r="C3" i="14"/>
  <c r="B3" i="14"/>
  <c r="D2" i="29"/>
  <c r="H4" i="6"/>
  <c r="D21" i="14"/>
  <c r="E21" i="14" s="1"/>
  <c r="H7" i="6"/>
  <c r="C24" i="6"/>
  <c r="D22" i="6"/>
  <c r="F22" i="6"/>
  <c r="E19" i="14"/>
  <c r="E18" i="14"/>
  <c r="F29" i="14"/>
  <c r="B13" i="14"/>
  <c r="H6" i="6" l="1"/>
  <c r="D22" i="14"/>
  <c r="E22" i="14"/>
  <c r="F28" i="14" l="1"/>
  <c r="G29" i="14" s="1"/>
  <c r="F25" i="14"/>
  <c r="A5" i="14" l="1"/>
  <c r="R22" i="3"/>
  <c r="R24" i="3"/>
  <c r="R20" i="3"/>
  <c r="R28" i="3"/>
  <c r="R18" i="3"/>
  <c r="R16" i="3"/>
  <c r="R26" i="3"/>
  <c r="D8" i="14"/>
  <c r="B8" i="14" l="1"/>
  <c r="S28" i="3"/>
  <c r="S18" i="3"/>
  <c r="S22" i="3"/>
  <c r="S20" i="3"/>
  <c r="S24" i="3"/>
  <c r="S16" i="3"/>
  <c r="S26" i="3"/>
  <c r="B9" i="14"/>
  <c r="F26" i="14" l="1"/>
  <c r="G30" i="14" s="1"/>
  <c r="D9" i="14"/>
  <c r="G26" i="14" l="1"/>
  <c r="C25" i="14" s="1"/>
  <c r="B25" i="14" s="1"/>
  <c r="B26" i="14" s="1"/>
  <c r="B28" i="14" s="1"/>
  <c r="B32" i="14" s="1"/>
  <c r="B27" i="14" l="1"/>
  <c r="B29" i="14" s="1"/>
  <c r="C32"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ECD8F1-4630-4E35-A2B1-10190223FFF1}" keepAlive="1" name="Query - APIQuery" description="Connection to the 'APIQuery' query in the workbook." type="5" refreshedVersion="6" background="1" saveData="1">
    <dbPr connection="Provider=Microsoft.Mashup.OleDb.1;Data Source=$Workbook$;Location=APIQuery;Extended Properties=&quot;&quot;" command="SELECT * FROM [APIQuery]"/>
  </connection>
  <connection id="2" xr16:uid="{8C7D0B9B-DA7F-420D-AC6A-041A114C5F21}" keepAlive="1" name="Query - BikeRegQuery" description="Connection to the 'BikeRegQuery' query in the workbook." type="5" refreshedVersion="6" background="1" saveData="1">
    <dbPr connection="Provider=Microsoft.Mashup.OleDb.1;Data Source=$Workbook$;Location=BikeRegQuery;Extended Properties=&quot;&quot;" command="SELECT * FROM [BikeRegQuery]"/>
  </connection>
  <connection id="3" xr16:uid="{DD14DC88-6115-49C0-89C8-4DB0B60D27B4}" keepAlive="1" name="Query - BikeRegQuery(1)" description="Connection to the 'BikeRegQuery' query in the workbook." type="5" refreshedVersion="6" background="1" saveData="1">
    <dbPr connection="Provider=Microsoft.Mashup.OleDb.1;Data Source=$Workbook$;Location=BikeRegQuery;Extended Properties=&quot;&quot;" command="SELECT * FROM [BikeRegQuery]"/>
  </connection>
  <connection id="4" xr16:uid="{080F9F45-6DF8-4D2D-B3E6-5114AF99D8B5}" keepAlive="1" name="Query - Events" description="Connection to the 'Events' query in the workbook." type="5" refreshedVersion="6" background="1" saveData="1">
    <dbPr connection="Provider=Microsoft.Mashup.OleDb.1;Data Source=$Workbook$;Location=Events;Extended Properties=&quot;&quot;" command="SELECT * FROM [Events]"/>
  </connection>
  <connection id="5" xr16:uid="{EDB840CA-8794-48BF-89B8-B4F66FCF53B2}" keepAlive="1" name="Query - FavEventsQuery" description="Connection to the 'FavEventsQuery' query in the workbook." type="5" refreshedVersion="6" background="1" saveData="1">
    <dbPr connection="Provider=Microsoft.Mashup.OleDb.1;Data Source=$Workbook$;Location=FavEventsQuery;Extended Properties=&quot;&quot;" command="SELECT * FROM [FavEventsQuery]"/>
  </connection>
  <connection id="6" xr16:uid="{CD9D693C-A5FC-4EBD-860E-121D605F2741}" keepAlive="1" name="Query - GetData" description="Connection to the 'GetData' query in the workbook." type="5" refreshedVersion="0" background="1">
    <dbPr connection="Provider=Microsoft.Mashup.OleDb.1;Data Source=$Workbook$;Location=GetData;Extended Properties=&quot;&quot;" command="SELECT * FROM [GetData]"/>
  </connection>
  <connection id="7" xr16:uid="{EDF9BC80-EDF5-43A6-AEAA-51CBB23B7E90}" keepAlive="1" name="Query - StateTable" description="Connection to the 'StateTable' query in the workbook." type="5" refreshedVersion="6" background="1" saveData="1">
    <dbPr connection="Provider=Microsoft.Mashup.OleDb.1;Data Source=$Workbook$;Location=StateTable;Extended Properties=&quot;&quot;" command="SELECT * FROM [StateTable]"/>
  </connection>
  <connection id="8" xr16:uid="{6570133E-E3AB-4A4E-88C5-CEDBEB3EA71D}" keepAlive="1" name="Query - UCIQuery" description="Connection to the 'UCIQuery' query in the workbook." type="5" refreshedVersion="0">
    <dbPr connection="Provider=Microsoft.Mashup.OleDb.1;Data Source=$Workbook$;Location=UCIQuery;Extended Properties=&quot;&quot;" command="SELECT * FROM [UCIQuery]"/>
  </connection>
  <connection id="9" xr16:uid="{2D00B732-A3B4-4A79-B3A2-75DD76BA0624}" keepAlive="1" name="Query - UploadQuery" description="Connection to the 'UploadQuery' query in the workbook." type="5" refreshedVersion="6" saveData="1">
    <dbPr connection="Provider=Microsoft.Mashup.OleDb.1;Data Source=$Workbook$;Location=UploadQuery;Extended Properties=&quot;&quot;" command="SELECT * FROM [UploadQuery]"/>
  </connection>
  <connection id="10" xr16:uid="{2EDF0670-48BC-44BC-8835-63BD52B76601}" keepAlive="1" name="Query - UploadQuery(1)" description="Connection to the 'UploadQuery' query in the workbook." type="5" refreshedVersion="6" background="1">
    <dbPr connection="Provider=Microsoft.Mashup.OleDb.1;Data Source=$Workbook$;Location=UploadQuery;Extended Properties=&quot;&quot;" command="SELECT * FROM [UploadQuery]"/>
  </connection>
  <connection id="11" xr16:uid="{1AA62B2A-76EF-480C-85DA-931BC6EA0D0C}" keepAlive="1" name="Query - USACyclingQuery" description="Connection to the 'USACyclingQuery' query in the workbook." type="5" refreshedVersion="0" background="1">
    <dbPr connection="Provider=Microsoft.Mashup.OleDb.1;Data Source=$Workbook$;Location=USACyclingQuery;Extended Properties=&quot;&quot;" command="SELECT * FROM [USACyclingQuery]"/>
  </connection>
  <connection id="12" xr16:uid="{EA2089ED-0DB7-4D59-9574-7445CB90BCFE}" keepAlive="1" name="Query - WeightTable" description="Connection to the 'WeightTable' query in the workbook." type="5" refreshedVersion="6" background="1" saveData="1">
    <dbPr connection="Provider=Microsoft.Mashup.OleDb.1;Data Source=$Workbook$;Location=WeightTable;Extended Properties=&quot;&quot;" command="SELECT * FROM [Weight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<sst xmlns="http://schemas.openxmlformats.org/spreadsheetml/2006/main" count="1969" uniqueCount="578">
  <si>
    <t>Period</t>
  </si>
  <si>
    <t>Peak</t>
  </si>
  <si>
    <t>Race</t>
  </si>
  <si>
    <t>Mon</t>
  </si>
  <si>
    <t>Tue</t>
  </si>
  <si>
    <t>Wed</t>
  </si>
  <si>
    <t>Thu</t>
  </si>
  <si>
    <t>Fri</t>
  </si>
  <si>
    <t>Sat</t>
  </si>
  <si>
    <t>Sun</t>
  </si>
  <si>
    <t>Event</t>
  </si>
  <si>
    <t>Build II</t>
  </si>
  <si>
    <t>Build I</t>
  </si>
  <si>
    <t>Total</t>
  </si>
  <si>
    <t>Max</t>
  </si>
  <si>
    <t>Min</t>
  </si>
  <si>
    <t>Plan</t>
  </si>
  <si>
    <t>Weight</t>
  </si>
  <si>
    <t>Date</t>
  </si>
  <si>
    <t>Weight Goal</t>
  </si>
  <si>
    <t>Period2</t>
  </si>
  <si>
    <t>Base I</t>
  </si>
  <si>
    <t>Base II</t>
  </si>
  <si>
    <t>Base III</t>
  </si>
  <si>
    <t>Column Labels</t>
  </si>
  <si>
    <t>Cal.</t>
  </si>
  <si>
    <t>Cal. Goal</t>
  </si>
  <si>
    <t>Wk</t>
  </si>
  <si>
    <t>Actual Week</t>
  </si>
  <si>
    <t>Plan. Hrs</t>
  </si>
  <si>
    <t>Rcode</t>
  </si>
  <si>
    <t>Gcode</t>
  </si>
  <si>
    <t>Bcode</t>
  </si>
  <si>
    <t>Colors for chart series</t>
  </si>
  <si>
    <t>Today Week</t>
  </si>
  <si>
    <t>Actual Hrs</t>
  </si>
  <si>
    <t>Sum of Actual Hrs</t>
  </si>
  <si>
    <t>Weeks to Race Gap</t>
  </si>
  <si>
    <t>Events</t>
  </si>
  <si>
    <t>HR</t>
  </si>
  <si>
    <t>Activities</t>
  </si>
  <si>
    <t>Time Period</t>
  </si>
  <si>
    <t>Goal</t>
  </si>
  <si>
    <t>BMI</t>
  </si>
  <si>
    <t>Sum of PlanH Chart</t>
  </si>
  <si>
    <t>HR Goal</t>
  </si>
  <si>
    <t>Speed</t>
  </si>
  <si>
    <t>Power</t>
  </si>
  <si>
    <t>Weeks To Race Chart</t>
  </si>
  <si>
    <t>BMI Chart</t>
  </si>
  <si>
    <t>Actual Weight</t>
  </si>
  <si>
    <t>Actual BMI</t>
  </si>
  <si>
    <t>h</t>
  </si>
  <si>
    <t>min</t>
  </si>
  <si>
    <t>Available Time For Training</t>
  </si>
  <si>
    <t>/</t>
  </si>
  <si>
    <t>Race goal date:</t>
  </si>
  <si>
    <t>Rider height:</t>
  </si>
  <si>
    <t>Days per week:</t>
  </si>
  <si>
    <t>Avg. time per day:</t>
  </si>
  <si>
    <t>Weight unit</t>
  </si>
  <si>
    <t>Max BMI</t>
  </si>
  <si>
    <t>Min BMI</t>
  </si>
  <si>
    <t>lb</t>
  </si>
  <si>
    <t>Training start date:</t>
  </si>
  <si>
    <t>Advanced Setup (Optional)</t>
  </si>
  <si>
    <t>Number of Weeks / Period</t>
  </si>
  <si>
    <t>Weeks available for training:</t>
  </si>
  <si>
    <t>BMI Max</t>
  </si>
  <si>
    <t>BMI Min</t>
  </si>
  <si>
    <t>Overweight</t>
  </si>
  <si>
    <t>Obese</t>
  </si>
  <si>
    <t>Blank</t>
  </si>
  <si>
    <t>B1</t>
  </si>
  <si>
    <t>B2</t>
  </si>
  <si>
    <t>Lower Limit</t>
  </si>
  <si>
    <t>Upper Limit</t>
  </si>
  <si>
    <t>Underweight</t>
  </si>
  <si>
    <t>Healthy weight</t>
  </si>
  <si>
    <t>Activity Calories</t>
  </si>
  <si>
    <t>Distance Unit</t>
  </si>
  <si>
    <t>Time Unit</t>
  </si>
  <si>
    <t>Calories Unit</t>
  </si>
  <si>
    <t>Elevation Unit</t>
  </si>
  <si>
    <t>Speed Unit</t>
  </si>
  <si>
    <t>Heart Rate Unit</t>
  </si>
  <si>
    <t>Cadence Unit</t>
  </si>
  <si>
    <t>Power Unit</t>
  </si>
  <si>
    <t>Row Labels</t>
  </si>
  <si>
    <t>Values</t>
  </si>
  <si>
    <t>Sum of Cal.</t>
  </si>
  <si>
    <t>Sum of Weight</t>
  </si>
  <si>
    <t>Sum of Weight Goal</t>
  </si>
  <si>
    <t>Sum of Speed</t>
  </si>
  <si>
    <t>Sum of HR</t>
  </si>
  <si>
    <t>Elevation</t>
  </si>
  <si>
    <t>Event Date</t>
  </si>
  <si>
    <t>.</t>
  </si>
  <si>
    <t>Prep.</t>
  </si>
  <si>
    <t>Sum of Today Week</t>
  </si>
  <si>
    <t>Distance</t>
  </si>
  <si>
    <t>Climber Index</t>
  </si>
  <si>
    <t>Sum of Climber Index</t>
  </si>
  <si>
    <t>Overall Time</t>
  </si>
  <si>
    <t>hh:mm:ss</t>
  </si>
  <si>
    <t>Solver</t>
  </si>
  <si>
    <t>Calendar</t>
  </si>
  <si>
    <t>Step</t>
  </si>
  <si>
    <t>Description</t>
  </si>
  <si>
    <t>PivotPlan</t>
  </si>
  <si>
    <t>Chart types</t>
  </si>
  <si>
    <t>Name</t>
  </si>
  <si>
    <t>Value</t>
  </si>
  <si>
    <t>xl3DArea</t>
  </si>
  <si>
    <t>xl3DAreaStacked</t>
  </si>
  <si>
    <t>xl3DAreaStacked100</t>
  </si>
  <si>
    <t>xl3DBarClustered</t>
  </si>
  <si>
    <t>xl3DBarStacked</t>
  </si>
  <si>
    <t>xl3DBarStacked100</t>
  </si>
  <si>
    <t>xl3DColumn</t>
  </si>
  <si>
    <t>xl3DColumnClustered</t>
  </si>
  <si>
    <t>xl3DColumnStacked</t>
  </si>
  <si>
    <t>xl3DColumnStacked100</t>
  </si>
  <si>
    <t>xl3DLine</t>
  </si>
  <si>
    <t>xl3DPie</t>
  </si>
  <si>
    <t>xl3DPieExploded</t>
  </si>
  <si>
    <t>xlArea</t>
  </si>
  <si>
    <t>Area</t>
  </si>
  <si>
    <t>xlAreaStacked</t>
  </si>
  <si>
    <t>xlAreaStacked100</t>
  </si>
  <si>
    <t>xlBarClustered</t>
  </si>
  <si>
    <t>xlBarOfPie</t>
  </si>
  <si>
    <t>xlBarStacked</t>
  </si>
  <si>
    <t>xlBarStacked100</t>
  </si>
  <si>
    <t>xlBubble</t>
  </si>
  <si>
    <t>xlBubble3DEffect</t>
  </si>
  <si>
    <t>xlColumnClustered</t>
  </si>
  <si>
    <t>xlColumnStacked</t>
  </si>
  <si>
    <t>xlColumnStacked100</t>
  </si>
  <si>
    <t>xlConeBarClustered</t>
  </si>
  <si>
    <t>xlConeBarStacked</t>
  </si>
  <si>
    <t>xlConeBarStacked100</t>
  </si>
  <si>
    <t>xlConeCol</t>
  </si>
  <si>
    <t>xlConeColClustered</t>
  </si>
  <si>
    <t>xlConeColStacked</t>
  </si>
  <si>
    <t>xlConeColStacked100</t>
  </si>
  <si>
    <t>xlCylinderBarClustered</t>
  </si>
  <si>
    <t>xlCylinderBarStacked</t>
  </si>
  <si>
    <t>xlCylinderBarStacked100</t>
  </si>
  <si>
    <t>xlCylinderCol</t>
  </si>
  <si>
    <t>xlCylinderColClustered</t>
  </si>
  <si>
    <t>xlCylinderColStacked</t>
  </si>
  <si>
    <t>xlCylinderColStacked100</t>
  </si>
  <si>
    <t>xlDoughnut</t>
  </si>
  <si>
    <t>xlDoughnutExploded</t>
  </si>
  <si>
    <t>xlLine</t>
  </si>
  <si>
    <t>xlLineMarkers</t>
  </si>
  <si>
    <t>xlLineMarkersStacked</t>
  </si>
  <si>
    <t>xlLineMarkersStacked100</t>
  </si>
  <si>
    <t>xlLineStacked</t>
  </si>
  <si>
    <t>xlLineStacked100</t>
  </si>
  <si>
    <t>xlPie</t>
  </si>
  <si>
    <t>xlPieExploded</t>
  </si>
  <si>
    <t>xlPieOfPie</t>
  </si>
  <si>
    <t>xlPyramidBarClustered</t>
  </si>
  <si>
    <t>xlPyramidBarStacked</t>
  </si>
  <si>
    <t>xlPyramidBarStacked100</t>
  </si>
  <si>
    <t>xlPyramidCol</t>
  </si>
  <si>
    <t>xlPyramidColClustered</t>
  </si>
  <si>
    <t>xlPyramidColStacked</t>
  </si>
  <si>
    <t>xlPyramidColStacked100</t>
  </si>
  <si>
    <t>xlRadar</t>
  </si>
  <si>
    <t>xlRadarFilled</t>
  </si>
  <si>
    <t>xlRadarMarkers</t>
  </si>
  <si>
    <t>xlStockHLC</t>
  </si>
  <si>
    <t>xlStockOHLC</t>
  </si>
  <si>
    <t>xlStockVHLC</t>
  </si>
  <si>
    <t>xlStockVOHLC</t>
  </si>
  <si>
    <t>xlSurface</t>
  </si>
  <si>
    <t>xlSurfaceTopView</t>
  </si>
  <si>
    <t>xlSurfaceTopViewWireframe</t>
  </si>
  <si>
    <t>xlSurfaceWireframe</t>
  </si>
  <si>
    <t>xlXYScatter</t>
  </si>
  <si>
    <t>xlXYScatterLines</t>
  </si>
  <si>
    <t>xlXYScatterLinesNoMarkers</t>
  </si>
  <si>
    <t>xlXYScatterSmooth</t>
  </si>
  <si>
    <t>xlXYScatterSmoothNoMarkers</t>
  </si>
  <si>
    <t>X</t>
  </si>
  <si>
    <t>Y</t>
  </si>
  <si>
    <t>Center of circle</t>
  </si>
  <si>
    <t>Radius</t>
  </si>
  <si>
    <t>Circle point</t>
  </si>
  <si>
    <t>dy</t>
  </si>
  <si>
    <t>dx</t>
  </si>
  <si>
    <t>Angle</t>
  </si>
  <si>
    <t>Cos</t>
  </si>
  <si>
    <t>Angle (degrees)</t>
  </si>
  <si>
    <t>Sen</t>
  </si>
  <si>
    <t>\</t>
  </si>
  <si>
    <t>Current Week Plan (hrs)</t>
  </si>
  <si>
    <t>BMI Gauge</t>
  </si>
  <si>
    <t>Weight on Last Week</t>
  </si>
  <si>
    <t>Last Week Update</t>
  </si>
  <si>
    <t>BMI Doughnut</t>
  </si>
  <si>
    <t>Charts Legends</t>
  </si>
  <si>
    <t>Doughnut Start</t>
  </si>
  <si>
    <t>BMI goal*</t>
  </si>
  <si>
    <t>*For adults 20 years old and older - CDC.GOV</t>
  </si>
  <si>
    <t>Website</t>
  </si>
  <si>
    <t>State</t>
  </si>
  <si>
    <t>Abbreviation</t>
  </si>
  <si>
    <t>ALABAMA</t>
  </si>
  <si>
    <t>AL</t>
  </si>
  <si>
    <t>ALASKA</t>
  </si>
  <si>
    <t>AK</t>
  </si>
  <si>
    <t>ARIZONA</t>
  </si>
  <si>
    <t>AZ</t>
  </si>
  <si>
    <t>ARKANSAS</t>
  </si>
  <si>
    <t>AR</t>
  </si>
  <si>
    <t>CALIFORNIA</t>
  </si>
  <si>
    <t>CA</t>
  </si>
  <si>
    <t>COLORADO</t>
  </si>
  <si>
    <t>CO</t>
  </si>
  <si>
    <t>CONNECTICUT</t>
  </si>
  <si>
    <t>CT</t>
  </si>
  <si>
    <t>DELAWARE</t>
  </si>
  <si>
    <t>DE</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</si>
  <si>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</si>
  <si>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</si>
  <si>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</si>
  <si>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</si>
  <si>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</si>
  <si>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</si>
  <si>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</si>
  <si>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</si>
  <si>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</si>
  <si>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</si>
  <si>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</si>
  <si>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</si>
  <si>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</si>
  <si>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</si>
  <si>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</si>
  <si>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</si>
  <si>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</si>
  <si>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</si>
  <si>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</si>
  <si>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</si>
  <si>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</si>
  <si>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</si>
  <si>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</si>
  <si>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</si>
  <si>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</si>
  <si>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</si>
  <si>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</si>
  <si>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</si>
  <si>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</si>
  <si>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</si>
  <si>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</si>
  <si>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</si>
  <si>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</si>
  <si>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</si>
  <si>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</si>
  <si>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</si>
  <si>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</si>
  <si>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</si>
  <si>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</si>
  <si>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</si>
  <si>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</si>
  <si>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</si>
  <si>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</si>
  <si>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</si>
  <si>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</si>
  <si>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</si>
  <si>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</si>
  <si>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</si>
  <si>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</si>
  <si>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</si>
  <si>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</si>
  <si>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</si>
  <si>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</si>
  <si>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</si>
  <si>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</si>
  <si>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</si>
  <si>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</si>
  <si>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</si>
  <si>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</si>
  <si>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</si>
  <si>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RHODE ISLAND</t>
  </si>
  <si>
    <t>RI</t>
  </si>
  <si>
    <t>SOUTH CAROLINA</t>
  </si>
  <si>
    <t>SC</t>
  </si>
  <si>
    <t>SOUTH DAKOTA</t>
  </si>
  <si>
    <t>SD</t>
  </si>
  <si>
    <t>TENNESSEE</t>
  </si>
  <si>
    <t>TN</t>
  </si>
  <si>
    <t>TEXAS</t>
  </si>
  <si>
    <t>TX</t>
  </si>
  <si>
    <t>UTAH</t>
  </si>
  <si>
    <t>UT</t>
  </si>
  <si>
    <t>VERMONT</t>
  </si>
  <si>
    <t>VT</t>
  </si>
  <si>
    <t>VIRGINIA</t>
  </si>
  <si>
    <t>VA</t>
  </si>
  <si>
    <t>WASHINGTON</t>
  </si>
  <si>
    <t>WA</t>
  </si>
  <si>
    <t>WEST VIRGINIA</t>
  </si>
  <si>
    <t>WV</t>
  </si>
  <si>
    <t>WISCONSIN</t>
  </si>
  <si>
    <t>WI</t>
  </si>
  <si>
    <t>WYOMING</t>
  </si>
  <si>
    <t>WY</t>
  </si>
  <si>
    <t>AMERICAN SAMOA</t>
  </si>
  <si>
    <t>AS</t>
  </si>
  <si>
    <t>DISTRICT OF COLUMBIA</t>
  </si>
  <si>
    <t>DC</t>
  </si>
  <si>
    <t>FEDERATED STATES OF MICRONESIA</t>
  </si>
  <si>
    <t>FM</t>
  </si>
  <si>
    <t>GUAM</t>
  </si>
  <si>
    <t>GU</t>
  </si>
  <si>
    <t>MARSHALL ISLANDS</t>
  </si>
  <si>
    <t>MH</t>
  </si>
  <si>
    <t>NORTHERN MARIANA ISLANDS</t>
  </si>
  <si>
    <t>MP</t>
  </si>
  <si>
    <t>PALAU</t>
  </si>
  <si>
    <t>PW</t>
  </si>
  <si>
    <t>PUERTO RICO</t>
  </si>
  <si>
    <t>PR</t>
  </si>
  <si>
    <t>VIRGIN ISLANDS</t>
  </si>
  <si>
    <t>VI</t>
  </si>
  <si>
    <t>Database</t>
  </si>
  <si>
    <t>BikeReg</t>
  </si>
  <si>
    <t xml:space="preserve"> </t>
  </si>
  <si>
    <t>Cal. Goal Chart</t>
  </si>
  <si>
    <t>Sum of Cal. Goal Chart</t>
  </si>
  <si>
    <t>Power Goal</t>
  </si>
  <si>
    <t>Sum of HR Goal</t>
  </si>
  <si>
    <t>Sum of Power</t>
  </si>
  <si>
    <t>Sum of Power Goal</t>
  </si>
  <si>
    <t>BMIGaugeGroup</t>
  </si>
  <si>
    <t>BMILegGroup</t>
  </si>
  <si>
    <t>Reset Charts / Targets</t>
  </si>
  <si>
    <t>Plan. Hrs Chart</t>
  </si>
  <si>
    <t>Field</t>
  </si>
  <si>
    <t>Unit</t>
  </si>
  <si>
    <t>Hrs</t>
  </si>
  <si>
    <t>Cadence</t>
  </si>
  <si>
    <t>Legend</t>
  </si>
  <si>
    <t>Calories</t>
  </si>
  <si>
    <t>Watts</t>
  </si>
  <si>
    <t>Weight Goal Chart</t>
  </si>
  <si>
    <t>HR Goal Chart</t>
  </si>
  <si>
    <t>Power Goal Chart</t>
  </si>
  <si>
    <t>UCI</t>
  </si>
  <si>
    <t>Country</t>
  </si>
  <si>
    <t>City / Venue</t>
  </si>
  <si>
    <t>Category</t>
  </si>
  <si>
    <t>Class</t>
  </si>
  <si>
    <t>Type</t>
  </si>
  <si>
    <t>Road</t>
  </si>
  <si>
    <t>Cyclo-cross</t>
  </si>
  <si>
    <t>Mountain bike</t>
  </si>
  <si>
    <t>ROA</t>
  </si>
  <si>
    <t>MTB</t>
  </si>
  <si>
    <t>CRO</t>
  </si>
  <si>
    <t>Road Race</t>
  </si>
  <si>
    <t>Off Road</t>
  </si>
  <si>
    <t>Cyclocross</t>
  </si>
  <si>
    <t>Track</t>
  </si>
  <si>
    <t>PIS</t>
  </si>
  <si>
    <t>Events Combobox Values</t>
  </si>
  <si>
    <t>Box Name</t>
  </si>
  <si>
    <t>APIBox</t>
  </si>
  <si>
    <t>EventTypeBox</t>
  </si>
  <si>
    <t>StateBox</t>
  </si>
  <si>
    <t>StateAbbreviation</t>
  </si>
  <si>
    <t>Season</t>
  </si>
  <si>
    <t>SeasonBox</t>
  </si>
  <si>
    <t>Method</t>
  </si>
  <si>
    <t>URL</t>
  </si>
  <si>
    <t>Header Type</t>
  </si>
  <si>
    <t>Header Value</t>
  </si>
  <si>
    <t>Post</t>
  </si>
  <si>
    <t>https://www.uci.org/web-interface/Base/ExportExcelCalendar</t>
  </si>
  <si>
    <t>Content-Type</t>
  </si>
  <si>
    <t>application/x-www-form-urlencoded</t>
  </si>
  <si>
    <t>Source</t>
  </si>
  <si>
    <t>UNITED STATES OF AMERICA</t>
  </si>
  <si>
    <t>UCI calendar temp path file</t>
  </si>
  <si>
    <t>API Table</t>
  </si>
  <si>
    <t>State Table</t>
  </si>
  <si>
    <t>Event Type Table</t>
  </si>
  <si>
    <t>List</t>
  </si>
  <si>
    <t>Path</t>
  </si>
  <si>
    <t>USA Cycling</t>
  </si>
  <si>
    <t>Get</t>
  </si>
  <si>
    <t>Query</t>
  </si>
  <si>
    <t>Event Type</t>
  </si>
  <si>
    <t>search?</t>
  </si>
  <si>
    <t>Paramater1</t>
  </si>
  <si>
    <t>Paramater2</t>
  </si>
  <si>
    <t>states</t>
  </si>
  <si>
    <t>Paramater3</t>
  </si>
  <si>
    <t>eventtype</t>
  </si>
  <si>
    <t>Paramater4</t>
  </si>
  <si>
    <t>year</t>
  </si>
  <si>
    <t>QueryName</t>
  </si>
  <si>
    <t>BikeRegQuery</t>
  </si>
  <si>
    <t>USACyclingQuery</t>
  </si>
  <si>
    <t>UCIQuery</t>
  </si>
  <si>
    <t>TableCheck</t>
  </si>
  <si>
    <t>Check if  Target and Calendar table are correct</t>
  </si>
  <si>
    <t>Create Calendar</t>
  </si>
  <si>
    <t>Conditional rules</t>
  </si>
  <si>
    <t>ConditionalRulesTime - Period Colors</t>
  </si>
  <si>
    <t>Today Date</t>
  </si>
  <si>
    <t>Format</t>
  </si>
  <si>
    <t>[hh]:mm</t>
  </si>
  <si>
    <t>Plan. Hrs2</t>
  </si>
  <si>
    <t>Actual Hrs2</t>
  </si>
  <si>
    <t>#,###</t>
  </si>
  <si>
    <t>Units Table</t>
  </si>
  <si>
    <t>Field units</t>
  </si>
  <si>
    <t>Hours / Week</t>
  </si>
  <si>
    <t>Weight Units</t>
  </si>
  <si>
    <t>Actual Height</t>
  </si>
  <si>
    <t>kg</t>
  </si>
  <si>
    <t>Estimated annual hours:</t>
  </si>
  <si>
    <t>First week:</t>
  </si>
  <si>
    <t>Last week:</t>
  </si>
  <si>
    <t>W.</t>
  </si>
  <si>
    <t>WeightTable.lb</t>
  </si>
  <si>
    <t>WeightTable.kg</t>
  </si>
  <si>
    <t>Grand Total</t>
  </si>
  <si>
    <t>Count of Activities</t>
  </si>
  <si>
    <t>Sum of Activities</t>
  </si>
  <si>
    <t>Sum of Activity Calories</t>
  </si>
  <si>
    <t>UploadQueryFields</t>
  </si>
  <si>
    <t>Scatter with Smoothed Lines and No Data Markers</t>
  </si>
  <si>
    <t>3D Area</t>
  </si>
  <si>
    <t>3D Stacked Area</t>
  </si>
  <si>
    <t>100% Stacked Area</t>
  </si>
  <si>
    <t>3D Clustered Bar</t>
  </si>
  <si>
    <t>3D Stacked Bar</t>
  </si>
  <si>
    <t>3D 100% Stacked Bar</t>
  </si>
  <si>
    <t>3D Column</t>
  </si>
  <si>
    <t>3D Clustered Column</t>
  </si>
  <si>
    <t>3D Stacked Column</t>
  </si>
  <si>
    <t>3D 100% Stacked Column</t>
  </si>
  <si>
    <t>3D Line</t>
  </si>
  <si>
    <t>3D Pie</t>
  </si>
  <si>
    <t>Exploded 3D Pie</t>
  </si>
  <si>
    <t>Stacked Area</t>
  </si>
  <si>
    <t>Clustered Bar</t>
  </si>
  <si>
    <t>Bar of Pie</t>
  </si>
  <si>
    <t>Stacked Bar</t>
  </si>
  <si>
    <t>100% Stacked Bar</t>
  </si>
  <si>
    <t>Bubble</t>
  </si>
  <si>
    <t>Bubble with 3D effects</t>
  </si>
  <si>
    <t>Clustered Column</t>
  </si>
  <si>
    <t>Stacked Column</t>
  </si>
  <si>
    <t>100% Stacked Column</t>
  </si>
  <si>
    <t>Clustered Cone Bar</t>
  </si>
  <si>
    <t>Stacked Cone Bar</t>
  </si>
  <si>
    <t>100% Stacked Cone Bar</t>
  </si>
  <si>
    <t>3D Cone Column</t>
  </si>
  <si>
    <t>Clustered Cone Column</t>
  </si>
  <si>
    <t>Stacked Cone Column</t>
  </si>
  <si>
    <t>100% Stacked Cone Column</t>
  </si>
  <si>
    <t>Clustered Cylinder Bar</t>
  </si>
  <si>
    <t>Stacked Cylinder Bar</t>
  </si>
  <si>
    <t>100% Stacked Cylinder Bar</t>
  </si>
  <si>
    <t>3D Cylinder Column</t>
  </si>
  <si>
    <t>100% Stacked Cylinder Column</t>
  </si>
  <si>
    <t>Doughnut</t>
  </si>
  <si>
    <t>Exploded Doughnut</t>
  </si>
  <si>
    <t>Line</t>
  </si>
  <si>
    <t>Line with Markers</t>
  </si>
  <si>
    <t>Stacked Line with Markers</t>
  </si>
  <si>
    <t>100% Stacked Line with Markers</t>
  </si>
  <si>
    <t>Stacked Line</t>
  </si>
  <si>
    <t>100% Stacked Line</t>
  </si>
  <si>
    <t>Pie</t>
  </si>
  <si>
    <t>Exploded Pie</t>
  </si>
  <si>
    <t>Pie of Pie</t>
  </si>
  <si>
    <t>Clustered Pyramid Bar</t>
  </si>
  <si>
    <t>Stacked Pyramid Bar</t>
  </si>
  <si>
    <t>100% Stacked Pyramid Bar</t>
  </si>
  <si>
    <t>3D Pyramid Column</t>
  </si>
  <si>
    <t>Clustered Pyramid Column</t>
  </si>
  <si>
    <t>Stacked Pyramid Column</t>
  </si>
  <si>
    <t>100% Stacked Pyramid Column</t>
  </si>
  <si>
    <t>Radar</t>
  </si>
  <si>
    <t>Filled Radar</t>
  </si>
  <si>
    <t>Radar with Data Markers</t>
  </si>
  <si>
    <t>High-Low-Close</t>
  </si>
  <si>
    <t>Open-High-Low-Close</t>
  </si>
  <si>
    <t>Volume-High-Low-Close</t>
  </si>
  <si>
    <t>Volume-Open-High-Low-Close</t>
  </si>
  <si>
    <t>3D Surface</t>
  </si>
  <si>
    <t>Surface (Top View)</t>
  </si>
  <si>
    <t>Surface (Top View wireframe)</t>
  </si>
  <si>
    <t>3D Surface (wireframe)</t>
  </si>
  <si>
    <t>Scatter</t>
  </si>
  <si>
    <t>Scatter with Lines</t>
  </si>
  <si>
    <t>Scatter with Lines and No Data Markers</t>
  </si>
  <si>
    <t>Scatter with Smoothed Lines</t>
  </si>
  <si>
    <t>Hours / Activity</t>
  </si>
  <si>
    <t>ft</t>
  </si>
  <si>
    <t>Activities / Week</t>
  </si>
  <si>
    <t>Calculation</t>
  </si>
  <si>
    <t>ChartType</t>
  </si>
  <si>
    <t>Activity Time</t>
  </si>
  <si>
    <t>Elev Gain</t>
  </si>
  <si>
    <t>Heart Rate</t>
  </si>
  <si>
    <t>Bike Cadence</t>
  </si>
  <si>
    <t>Hrs/Activity</t>
  </si>
  <si>
    <t>Sum of Activity Time</t>
  </si>
  <si>
    <t>Sum of Distance</t>
  </si>
  <si>
    <t>Average of Hrs/Activity</t>
  </si>
  <si>
    <t>Sum of Elev Gain</t>
  </si>
  <si>
    <t>List for Analytics ComboBoxes</t>
  </si>
  <si>
    <t>Analytics Fields ComboBoxes Values</t>
  </si>
  <si>
    <t>Pivot1ComboBox1</t>
  </si>
  <si>
    <t>Pivot2ComboBox1</t>
  </si>
  <si>
    <t>Pivot1ComboBox2</t>
  </si>
  <si>
    <t>Pivot2ComboBox2</t>
  </si>
  <si>
    <t>Analytics Chart and Calculation per field</t>
  </si>
  <si>
    <t>Pivot3ComboBox1</t>
  </si>
  <si>
    <t>Pivot3ComboBox2</t>
  </si>
  <si>
    <t>Pivot4ComboBox1</t>
  </si>
  <si>
    <t>Pivot4ComboBox2</t>
  </si>
  <si>
    <t>Favorite Events</t>
  </si>
  <si>
    <t>% of Overal Time</t>
  </si>
  <si>
    <t>Cal/hour</t>
  </si>
  <si>
    <t>Sum of Cal/hour</t>
  </si>
  <si>
    <t>TargetsNeedRefresh</t>
  </si>
  <si>
    <t>DashboardNeedRefresh</t>
  </si>
  <si>
    <t>CalendarChartNeedReset</t>
  </si>
  <si>
    <t>TargetsChartNeedReset</t>
  </si>
  <si>
    <t>DashboardChartNeedReset</t>
  </si>
  <si>
    <t>PivotAnalyticsNeedRefresh</t>
  </si>
  <si>
    <t>PivotPlanNeedRefresh</t>
  </si>
  <si>
    <t>WeightDashboardChartNeedReset</t>
  </si>
  <si>
    <t>WeightTargetChartNeedReset</t>
  </si>
  <si>
    <t>AppVariable</t>
  </si>
  <si>
    <t>Status</t>
  </si>
  <si>
    <t>FavEventsQueryNeedRefresh</t>
  </si>
  <si>
    <t>Average of Cal/hour</t>
  </si>
  <si>
    <t>ChartPlan</t>
  </si>
  <si>
    <t>EventsDashboardQueryNeedRefresh</t>
  </si>
  <si>
    <t>App status Saved Before Close</t>
  </si>
  <si>
    <t>For Text Box use</t>
  </si>
  <si>
    <t>For Queries - M code use</t>
  </si>
  <si>
    <t>PlanH Chart</t>
  </si>
  <si>
    <t>STATrider / Events</t>
  </si>
  <si>
    <t>STATrider / Setup</t>
  </si>
  <si>
    <t>STATrider / Calendar</t>
  </si>
  <si>
    <t>STATrider / Targets</t>
  </si>
  <si>
    <t>STATrider / Weight</t>
  </si>
  <si>
    <t>STATrider / Load Data</t>
  </si>
  <si>
    <t>STATrider / Dashboard</t>
  </si>
  <si>
    <t>STATrider / Analytics</t>
  </si>
  <si>
    <t>Average of lb</t>
  </si>
  <si>
    <t>Mar</t>
  </si>
  <si>
    <t>2021</t>
  </si>
  <si>
    <t>Season 2021 / 2021</t>
  </si>
  <si>
    <t>Average of Bike Cadence</t>
  </si>
  <si>
    <t>C:\Users\jorge\AppData\Local\Temp\UCIROA.xlsx</t>
  </si>
  <si>
    <t>date_end=</t>
  </si>
  <si>
    <t>EndDate</t>
  </si>
  <si>
    <t>https://www.usacycling.org/API/events-search</t>
  </si>
  <si>
    <t>?name=&amp;discipline=</t>
  </si>
  <si>
    <t>sub_disciplines=&amp;event_types=&amp;special_calendars=&amp;date_start=</t>
  </si>
  <si>
    <t>location=&amp;state=</t>
  </si>
  <si>
    <t>Average of Heart Rate</t>
  </si>
  <si>
    <t>(blank)</t>
  </si>
  <si>
    <t>Sum of Actual Hrs2</t>
  </si>
  <si>
    <t>Sum of Plan. Hrs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</si>
</sst>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164" formatCode="[hh]:mm"/>
    <numFmt numFmtId="165" formatCode="ddd\ mmm/dd/yyyy"/>
    <numFmt numFmtId="166" formatCode="0.0"/>
    <numFmt numFmtId="167" formatCode="[$-409]General"/>
    <numFmt numFmtId="168" formatCode="mmm/dd/yy"/>
    <numFmt numFmtId="169" formatCode="mmm/d/yy"/>
    <numFmt numFmtId="170" formatCode="ddd\ mm/dd/yy"/>
    <numFmt numFmtId="171" formatCode="ddd\ mmm/d/yyyy"/>
    <numFmt numFmtId="172" formatCode="#,##0.0"/>
    <numFmt numFmtId="173" formatCode="#,##0.00&quot; &quot;;&quot; (&quot;#,##0.00&quot;)&quot;;&quot; -&quot;#&quot; &quot;;@&quot; &quot;"/>
    <numFmt numFmtId="174" formatCode="[$$-409]#,##0.00;[Red]&quot;-&quot;[$$-409]#,##0.00"/>
    <numFmt numFmtId="175" formatCode="mmm\ ddd\ dd/yy"/>
    <numFmt numFmtId="176" formatCode="mmm\ ddd/dd/yy"/>
    <numFmt numFmtId="177" formatCode="#,###"/>
    <numFmt numFmtId="178" formatCode="[hh]:mm:ss"/>
    <numFmt numFmtId="179" formatCode="ddd\ mmm/dd/yy"/>
    <numFmt numFmtId="180" formatCode="mmm\ dd"/>
    <numFmt numFmtId="181" formatCode="[hh]:mm;;;@"/>
    <numFmt numFmtId="182" formatCode=".0"/>
    <numFmt numFmtId="183" formatCode="000.0"/>
    <numFmt numFmtId="184" formatCode="0;;;@"/>
    <numFmt numFmtId="185" formatCode="mm/dd/yy"/>
    <numFmt numFmtId="186" formatCode="#,###.0"/>
    <numFmt numFmtId="187" formatCode="0.000"/>
    <numFmt numFmtId="188" formatCode="mmm/dd"/>
    <numFmt numFmtId="189" formatCode="0.0000"/>
    <numFmt numFmtId="190" formatCode="d\.hh:mm:ss"/>
    <numFmt numFmtId="191" formatCode="000.000"/>
    <numFmt numFmtId="192" formatCode="m/d/yy"/>
  </numFmts>
  <fonts count="6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0"/>
      <color rgb="FF000000"/>
      <name val="Arial"/>
      <family val="2"/>
    </font>
    <font>
      <sz val="11"/>
      <color rgb="FF000000"/>
      <name val="Calibri"/>
      <family val="2"/>
    </font>
    <font>
      <u/>
      <sz val="10"/>
      <color rgb="FF0563C1"/>
      <name val="Arial"/>
      <family val="2"/>
    </font>
    <font>
      <u/>
      <sz val="11"/>
      <color theme="10"/>
      <name val="Calibri"/>
      <family val="2"/>
      <scheme val="minor"/>
    </font>
    <font>
      <b/>
      <sz val="12"/>
      <color theme="1"/>
      <name val="Calibri"/>
      <family val="2"/>
      <scheme val="minor"/>
    </font>
    <font>
      <sz val="11"/>
      <color theme="1"/>
      <name val="Arial Nova"/>
      <family val="2"/>
    </font>
    <font>
      <b/>
      <sz val="14"/>
      <color theme="1"/>
      <name val="Arial Nova"/>
      <family val="2"/>
    </font>
    <font>
      <sz val="14"/>
      <color theme="1"/>
      <name val="Arial Nova"/>
      <family val="2"/>
    </font>
    <font>
      <sz val="12"/>
      <color theme="1"/>
      <name val="Arial Nova"/>
      <family val="2"/>
    </font>
    <font>
      <b/>
      <sz val="14"/>
      <color theme="0" tint="-0.499984740745262"/>
      <name val="Arial Nova"/>
      <family val="2"/>
    </font>
    <font>
      <sz val="12"/>
      <color theme="0" tint="-0.249977111117893"/>
      <name val="Arial Nova"/>
      <family val="2"/>
    </font>
    <font>
      <b/>
      <sz val="12"/>
      <color theme="0"/>
      <name val="Arial Nova"/>
      <family val="2"/>
    </font>
    <font>
      <sz val="10"/>
      <color theme="1"/>
      <name val="Arial Nova"/>
      <family val="2"/>
    </font>
    <font>
      <b/>
      <sz val="14"/>
      <name val="Arial Nova"/>
      <family val="2"/>
    </font>
    <font>
      <sz val="20"/>
      <color theme="1"/>
      <name val="Arial Nova"/>
      <family val="2"/>
    </font>
    <font>
      <b/>
      <sz val="12"/>
      <color theme="1"/>
      <name val="Arial Nova"/>
      <family val="2"/>
    </font>
    <font>
      <b/>
      <sz val="12"/>
      <color rgb="FF0078C8"/>
      <name val="Arial Nova"/>
      <family val="2"/>
    </font>
    <font>
      <sz val="12"/>
      <color rgb="FF000000"/>
      <name val="Arial Nova"/>
      <family val="2"/>
    </font>
    <font>
      <b/>
      <sz val="10"/>
      <color rgb="FFBFBFBF"/>
      <name val="Arial Nova"/>
      <family val="2"/>
    </font>
    <font>
      <b/>
      <sz val="12"/>
      <color rgb="FF0070C0"/>
      <name val="Arial Nova"/>
      <family val="2"/>
    </font>
    <font>
      <b/>
      <i/>
      <sz val="16"/>
      <color rgb="FF000000"/>
      <name val="Calibri"/>
      <family val="2"/>
    </font>
    <font>
      <b/>
      <i/>
      <u/>
      <sz val="11"/>
      <color rgb="FF000000"/>
      <name val="Calibri"/>
      <family val="2"/>
    </font>
    <font>
      <b/>
      <sz val="12"/>
      <color rgb="FFBFBFBF"/>
      <name val="Arial Nova"/>
      <family val="2"/>
    </font>
    <font>
      <b/>
      <sz val="12"/>
      <color theme="0" tint="-0.499984740745262"/>
      <name val="Arial Nova"/>
      <family val="2"/>
    </font>
    <font>
      <b/>
      <sz val="14"/>
      <color rgb="FFA6A6A6"/>
      <name val="Arial Nova"/>
      <family val="2"/>
    </font>
    <font>
      <b/>
      <sz val="16"/>
      <color theme="0"/>
      <name val="Arial Nova"/>
      <family val="2"/>
    </font>
    <font>
      <sz val="16"/>
      <color theme="0"/>
      <name val="Arial Nova"/>
      <family val="2"/>
    </font>
    <font>
      <sz val="16"/>
      <color theme="1"/>
      <name val="Arial Nova"/>
      <family val="2"/>
    </font>
    <font>
      <sz val="10"/>
      <name val="Arial Nova"/>
      <family val="2"/>
    </font>
    <font>
      <sz val="12"/>
      <color theme="0"/>
      <name val="Arial Nova"/>
      <family val="2"/>
    </font>
    <font>
      <b/>
      <sz val="12"/>
      <color rgb="FF0064FF"/>
      <name val="Arial Nova"/>
      <family val="2"/>
    </font>
    <font>
      <b/>
      <i/>
      <sz val="12"/>
      <color rgb="FF0D0D0D"/>
      <name val="Arial Nova"/>
      <family val="2"/>
    </font>
    <font>
      <b/>
      <sz val="12"/>
      <name val="Arial Nova"/>
      <family val="2"/>
    </font>
    <font>
      <sz val="16"/>
      <color theme="1"/>
      <name val="Calibri"/>
      <family val="2"/>
      <scheme val="minor"/>
    </font>
    <font>
      <sz val="12"/>
      <color theme="0" tint="-0.499984740745262"/>
      <name val="Arial Nova"/>
      <family val="2"/>
    </font>
    <font>
      <b/>
      <sz val="11"/>
      <color theme="0" tint="-0.499984740745262"/>
      <name val="Arial Nova"/>
      <family val="2"/>
    </font>
    <font>
      <u/>
      <sz val="8"/>
      <color theme="10"/>
      <name val="Arial Nova"/>
      <family val="2"/>
    </font>
    <font>
      <sz val="8"/>
      <name val="Calibri"/>
      <family val="2"/>
      <scheme val="minor"/>
    </font>
    <font>
      <b/>
      <sz val="10"/>
      <color rgb="FF000000"/>
      <name val="Arial Nova"/>
      <family val="2"/>
    </font>
    <font>
      <u/>
      <sz val="12"/>
      <color theme="10"/>
      <name val="Calibri"/>
      <family val="2"/>
      <scheme val="minor"/>
    </font>
    <font>
      <sz val="11"/>
      <color theme="1"/>
      <name val="Calibri"/>
      <family val="2"/>
      <scheme val="minor"/>
    </font>
    <font>
      <sz val="8"/>
      <color theme="1"/>
      <name val="Arial Nova"/>
      <family val="2"/>
    </font>
    <font>
      <sz val="12"/>
      <color rgb="FFFFFFFF"/>
      <name val="Arial Nova"/>
      <family val="2"/>
    </font>
    <font>
      <b/>
      <sz val="16"/>
      <color rgb="FFFFFFFF"/>
      <name val="Arial Nova"/>
      <family val="2"/>
    </font>
    <font>
      <b/>
      <sz val="10"/>
      <color rgb="FFFFFFFF"/>
      <name val="Arial Nova"/>
      <family val="2"/>
    </font>
    <font>
      <b/>
      <sz val="12"/>
      <color rgb="FF131313"/>
      <name val="Arial Nova"/>
      <family val="2"/>
    </font>
    <font>
      <b/>
      <sz val="8"/>
      <color rgb="FF000000"/>
      <name val="Arial Nova"/>
      <family val="2"/>
    </font>
    <font>
      <sz val="12"/>
      <color theme="1"/>
      <name val="Aria nova"/>
    </font>
    <font>
      <sz val="12"/>
      <color rgb="FF000000"/>
      <name val="Aria nova"/>
    </font>
    <font>
      <b/>
      <sz val="12"/>
      <color rgb="FFFFFFFF"/>
      <name val="Arial Nova"/>
      <family val="2"/>
    </font>
    <font>
      <b/>
      <u/>
      <sz val="12"/>
      <color rgb="FF0064FF"/>
      <name val="Arial Nova"/>
      <family val="2"/>
    </font>
    <font>
      <sz val="12"/>
      <color rgb="FF0064FF"/>
      <name val="Arial Nova"/>
      <family val="2"/>
    </font>
    <font>
      <b/>
      <sz val="14"/>
      <color rgb="FF000000"/>
      <name val="Proxima Nova"/>
      <family val="3"/>
    </font>
    <font>
      <u/>
      <sz val="11"/>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rgb="FF0078C8"/>
        <bgColor indexed="64"/>
      </patternFill>
    </fill>
    <fill>
      <patternFill patternType="solid">
        <fgColor theme="1"/>
        <bgColor indexed="64"/>
      </patternFill>
    </fill>
    <fill>
      <patternFill patternType="solid">
        <fgColor rgb="FF0D0D0D"/>
        <bgColor indexed="64"/>
      </patternFill>
    </fill>
    <fill>
      <patternFill patternType="solid">
        <fgColor theme="4"/>
        <bgColor theme="4"/>
      </patternFill>
    </fill>
    <fill>
      <patternFill patternType="solid">
        <fgColor rgb="FFFFFFFF"/>
        <bgColor indexed="64"/>
      </patternFill>
    </fill>
    <fill>
      <patternFill patternType="solid">
        <fgColor theme="6"/>
        <bgColor theme="6"/>
      </patternFill>
    </fill>
    <fill>
      <patternFill patternType="solid">
        <fgColor rgb="FFB2B2B2"/>
        <bgColor rgb="FFB2B2B2"/>
      </patternFill>
    </fill>
    <fill>
      <patternFill patternType="solid">
        <fgColor rgb="FF00CC00"/>
        <bgColor rgb="FF00CC00"/>
      </patternFill>
    </fill>
    <fill>
      <patternFill patternType="solid">
        <fgColor rgb="FFDDDDDD"/>
        <bgColor rgb="FFDDDDDD"/>
      </patternFill>
    </fill>
    <fill>
      <patternFill patternType="solid">
        <fgColor rgb="FFFF0000"/>
        <bgColor rgb="FFFF0000"/>
      </patternFill>
    </fill>
    <fill>
      <patternFill patternType="solid">
        <fgColor rgb="FF66FF66"/>
        <bgColor rgb="FF66FF66"/>
      </patternFill>
    </fill>
    <fill>
      <patternFill patternType="solid">
        <fgColor rgb="FFFF6600"/>
        <bgColor rgb="FFFF6600"/>
      </patternFill>
    </fill>
    <fill>
      <patternFill patternType="solid">
        <fgColor rgb="FFFF3300"/>
        <bgColor rgb="FFFF33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0070C0"/>
        <bgColor indexed="64"/>
      </patternFill>
    </fill>
    <fill>
      <patternFill patternType="solid">
        <fgColor theme="0"/>
        <bgColor theme="8"/>
      </patternFill>
    </fill>
    <fill>
      <patternFill patternType="solid">
        <fgColor theme="0"/>
        <bgColor theme="8" tint="0.79998168889431442"/>
      </patternFill>
    </fill>
    <fill>
      <patternFill patternType="solid">
        <fgColor rgb="FF009C3B"/>
        <bgColor indexed="64"/>
      </patternFill>
    </fill>
    <fill>
      <patternFill patternType="solid">
        <fgColor rgb="FFFFDF00"/>
        <bgColor indexed="64"/>
      </patternFill>
    </fill>
    <fill>
      <patternFill patternType="solid">
        <fgColor rgb="FFB31942"/>
        <bgColor indexed="64"/>
      </patternFill>
    </fill>
    <fill>
      <gradientFill degree="90">
        <stop position="0">
          <color rgb="FF0A3161"/>
        </stop>
        <stop position="1">
          <color rgb="FF002776"/>
        </stop>
      </gradientFill>
    </fill>
    <fill>
      <patternFill patternType="solid">
        <fgColor rgb="FFF0F0F0"/>
        <bgColor indexed="64"/>
      </patternFill>
    </fill>
  </fills>
  <borders count="78">
    <border>
      <left/>
      <right/>
      <top/>
      <bottom/>
      <diagonal/>
    </border>
    <border>
      <left/>
      <right/>
      <top style="thin">
        <color theme="0" tint="-0.499984740745262"/>
      </top>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theme="1" tint="0.34998626667073579"/>
      </left>
      <right/>
      <top/>
      <bottom/>
      <diagonal/>
    </border>
    <border>
      <left/>
      <right style="thin">
        <color theme="1" tint="0.34998626667073579"/>
      </right>
      <top/>
      <bottom/>
      <diagonal/>
    </border>
    <border>
      <left/>
      <right style="thin">
        <color theme="4" tint="0.39997558519241921"/>
      </right>
      <top style="thin">
        <color theme="4" tint="0.39997558519241921"/>
      </top>
      <bottom style="thin">
        <color theme="4" tint="0.3999755851924192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0" tint="-0.14990691854609822"/>
      </top>
      <bottom style="thin">
        <color theme="0" tint="-0.14990691854609822"/>
      </bottom>
      <diagonal/>
    </border>
    <border>
      <left/>
      <right/>
      <top style="thin">
        <color theme="0" tint="-0.14990691854609822"/>
      </top>
      <bottom style="thin">
        <color theme="0" tint="-0.1499374370555742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right/>
      <top style="thin">
        <color rgb="FF999999"/>
      </top>
      <bottom/>
      <diagonal/>
    </border>
    <border>
      <left/>
      <right/>
      <top style="thin">
        <color indexed="65"/>
      </top>
      <bottom/>
      <diagonal/>
    </border>
    <border>
      <left/>
      <right style="thin">
        <color rgb="FF999999"/>
      </right>
      <top style="thin">
        <color rgb="FF999999"/>
      </top>
      <bottom/>
      <diagonal/>
    </border>
    <border>
      <left/>
      <right style="thin">
        <color rgb="FF999999"/>
      </right>
      <top style="thin">
        <color indexed="65"/>
      </top>
      <bottom/>
      <diagonal/>
    </border>
    <border>
      <left/>
      <right/>
      <top/>
      <bottom style="thin">
        <color indexed="64"/>
      </bottom>
      <diagonal/>
    </border>
    <border>
      <left style="thin">
        <color rgb="FF595959"/>
      </left>
      <right/>
      <top style="thin">
        <color rgb="FF595959"/>
      </top>
      <bottom/>
      <diagonal/>
    </border>
    <border>
      <left style="thin">
        <color rgb="FF595959"/>
      </left>
      <right/>
      <top/>
      <bottom/>
      <diagonal/>
    </border>
    <border>
      <left/>
      <right style="thin">
        <color rgb="FF595959"/>
      </right>
      <top/>
      <bottom/>
      <diagonal/>
    </border>
    <border>
      <left/>
      <right style="thin">
        <color rgb="FF595959"/>
      </right>
      <top style="thin">
        <color rgb="FF595959"/>
      </top>
      <bottom style="thin">
        <color rgb="FF59595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4" tint="0.39997558519241921"/>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rgb="FFC7C7C7"/>
      </right>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theme="0" tint="-0.14990691854609822"/>
      </top>
      <bottom style="thin">
        <color theme="0" tint="-0.14990691854609822"/>
      </bottom>
      <diagonal/>
    </border>
    <border>
      <left/>
      <right style="thin">
        <color indexed="64"/>
      </right>
      <top style="thin">
        <color theme="0" tint="-0.14990691854609822"/>
      </top>
      <bottom style="thin">
        <color theme="0" tint="-0.14990691854609822"/>
      </bottom>
      <diagonal/>
    </border>
    <border>
      <left style="thin">
        <color indexed="64"/>
      </left>
      <right/>
      <top style="thin">
        <color theme="0" tint="-0.14990691854609822"/>
      </top>
      <bottom style="thin">
        <color theme="0" tint="-0.14993743705557422"/>
      </bottom>
      <diagonal/>
    </border>
    <border>
      <left/>
      <right style="thin">
        <color indexed="64"/>
      </right>
      <top style="thin">
        <color theme="0" tint="-0.14990691854609822"/>
      </top>
      <bottom style="thin">
        <color theme="0" tint="-0.14993743705557422"/>
      </bottom>
      <diagonal/>
    </border>
    <border>
      <left style="thin">
        <color indexed="64"/>
      </left>
      <right/>
      <top style="thin">
        <color theme="0" tint="-0.14993743705557422"/>
      </top>
      <bottom style="thin">
        <color indexed="64"/>
      </bottom>
      <diagonal/>
    </border>
    <border>
      <left/>
      <right/>
      <top style="thin">
        <color theme="0" tint="-0.14993743705557422"/>
      </top>
      <bottom style="thin">
        <color indexed="64"/>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
      <left style="thin">
        <color rgb="FFBEE296"/>
      </left>
      <right style="thin">
        <color rgb="FFBEE296"/>
      </right>
      <top style="thin">
        <color rgb="FFBEE296"/>
      </top>
      <bottom/>
      <diagonal/>
    </border>
    <border>
      <left style="thin">
        <color theme="4"/>
      </left>
      <right style="thin">
        <color theme="4"/>
      </right>
      <top style="thin">
        <color theme="4"/>
      </top>
      <bottom/>
      <diagonal/>
    </border>
    <border>
      <left style="thin">
        <color rgb="FFBEE296"/>
      </left>
      <right style="thin">
        <color rgb="FFBEE296"/>
      </right>
      <top style="thin">
        <color theme="4" tint="0.39997558519241921"/>
      </top>
      <bottom/>
      <diagonal/>
    </border>
    <border>
      <left style="thin">
        <color theme="4"/>
      </left>
      <right style="thin">
        <color theme="4"/>
      </right>
      <top style="thin">
        <color rgb="FFBEE296"/>
      </top>
      <bottom/>
      <diagonal/>
    </border>
    <border>
      <left/>
      <right/>
      <top style="thin">
        <color theme="4"/>
      </top>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thin">
        <color rgb="FF000000"/>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indexed="64"/>
      </right>
      <top style="thin">
        <color indexed="64"/>
      </top>
      <bottom style="thin">
        <color rgb="FF000000"/>
      </bottom>
      <diagonal/>
    </border>
    <border>
      <left/>
      <right style="thin">
        <color rgb="FF000000"/>
      </right>
      <top style="thin">
        <color rgb="FF000000"/>
      </top>
      <bottom style="thin">
        <color indexed="64"/>
      </bottom>
      <diagonal/>
    </border>
    <border>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theme="1" tint="0.34998626667073579"/>
      </top>
      <bottom style="thin">
        <color rgb="FF0078C8"/>
      </bottom>
      <diagonal/>
    </border>
    <border>
      <left/>
      <right/>
      <top/>
      <bottom style="thin">
        <color rgb="FF0078C8"/>
      </bottom>
      <diagonal/>
    </border>
    <border>
      <left/>
      <right/>
      <top style="thin">
        <color rgb="FF0078C8"/>
      </top>
      <bottom style="thin">
        <color rgb="FF0078C8"/>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s>
  <cellStyleXfs count="24">
    <xf numFmtId="0" fontId="0" fillId="0" borderId="0"/>
    <xf numFmtId="167" fontId="12" fillId="0" borderId="0"/>
    <xf numFmtId="0" fontId="13" fillId="0" borderId="0"/>
    <xf numFmtId="167" fontId="12" fillId="0" borderId="0"/>
    <xf numFmtId="167" fontId="14" fillId="0" borderId="0"/>
    <xf numFmtId="0" fontId="15" fillId="0" borderId="0" applyNumberFormat="0" applyFill="0" applyBorder="0" applyAlignment="0" applyProtection="0"/>
    <xf numFmtId="0" fontId="10" fillId="0" borderId="0"/>
    <xf numFmtId="0" fontId="13" fillId="9" borderId="0"/>
    <xf numFmtId="173" fontId="12" fillId="0" borderId="0"/>
    <xf numFmtId="167" fontId="12" fillId="0" borderId="0"/>
    <xf numFmtId="167" fontId="12" fillId="0" borderId="0"/>
    <xf numFmtId="0" fontId="32" fillId="0" borderId="0">
      <alignment horizontal="center"/>
    </xf>
    <xf numFmtId="0" fontId="32" fillId="0" borderId="0">
      <alignment horizontal="center" textRotation="90"/>
    </xf>
    <xf numFmtId="0" fontId="33" fillId="0" borderId="0"/>
    <xf numFmtId="174" fontId="33" fillId="0" borderId="0"/>
    <xf numFmtId="167" fontId="12" fillId="10" borderId="0"/>
    <xf numFmtId="167" fontId="12" fillId="9" borderId="0"/>
    <xf numFmtId="167" fontId="12" fillId="10" borderId="0"/>
    <xf numFmtId="167" fontId="12" fillId="11" borderId="0"/>
    <xf numFmtId="0" fontId="13" fillId="12" borderId="0"/>
    <xf numFmtId="0" fontId="13" fillId="13" borderId="0"/>
    <xf numFmtId="0" fontId="13" fillId="14" borderId="0"/>
    <xf numFmtId="0" fontId="13" fillId="15" borderId="0"/>
    <xf numFmtId="9" fontId="52" fillId="0" borderId="0" applyFont="0" applyFill="0" applyBorder="0" applyAlignment="0" applyProtection="0"/>
  </cellStyleXfs>
  <cellXfs count="426">
    <xf numFmtId="0" fontId="0" fillId="0" borderId="0" xfId="0"/>
    <xf numFmtId="0" fontId="11" fillId="0" borderId="0" xfId="0" applyFont="1"/>
    <xf numFmtId="2" fontId="0" fillId="0" borderId="0" xfId="0" applyNumberFormat="1"/>
    <xf numFmtId="1" fontId="0" fillId="0" borderId="0" xfId="0" applyNumberFormat="1"/>
    <xf numFmtId="0" fontId="20" fillId="0" borderId="0" xfId="0" applyFont="1"/>
    <xf numFmtId="0" fontId="26" fillId="0" borderId="0" xfId="0" applyFont="1"/>
    <xf numFmtId="0" fontId="27" fillId="0" borderId="0" xfId="0" applyFont="1"/>
    <xf numFmtId="0" fontId="9" fillId="0" borderId="0" xfId="0" applyFont="1"/>
    <xf numFmtId="166" fontId="20" fillId="0" borderId="0" xfId="0" applyNumberFormat="1" applyFont="1"/>
    <xf numFmtId="0" fontId="0" fillId="0" borderId="12" xfId="0" applyBorder="1"/>
    <xf numFmtId="0" fontId="0" fillId="0" borderId="12" xfId="0" pivotButton="1" applyBorder="1"/>
    <xf numFmtId="0" fontId="0" fillId="0" borderId="13" xfId="0" applyBorder="1"/>
    <xf numFmtId="0" fontId="0" fillId="0" borderId="14" xfId="0" applyBorder="1"/>
    <xf numFmtId="0" fontId="0" fillId="0" borderId="16" xfId="0" applyBorder="1"/>
    <xf numFmtId="0" fontId="0" fillId="0" borderId="12" xfId="0" applyBorder="1" applyAlignment="1">
      <alignment horizontal="left"/>
    </xf>
    <xf numFmtId="0" fontId="0" fillId="0" borderId="18" xfId="0" applyBorder="1"/>
    <xf numFmtId="177" fontId="0" fillId="0" borderId="18" xfId="0" applyNumberFormat="1" applyBorder="1"/>
    <xf numFmtId="177" fontId="0" fillId="0" borderId="19" xfId="0" applyNumberFormat="1" applyBorder="1"/>
    <xf numFmtId="177" fontId="0" fillId="0" borderId="12" xfId="0" applyNumberFormat="1" applyBorder="1"/>
    <xf numFmtId="177" fontId="0" fillId="0" borderId="15" xfId="0" applyNumberFormat="1" applyBorder="1"/>
    <xf numFmtId="177" fontId="0" fillId="0" borderId="16" xfId="0" applyNumberFormat="1" applyBorder="1"/>
    <xf numFmtId="177" fontId="0" fillId="0" borderId="17" xfId="0" applyNumberFormat="1" applyBorder="1"/>
    <xf numFmtId="14" fontId="20" fillId="0" borderId="0" xfId="0" applyNumberFormat="1" applyFont="1"/>
    <xf numFmtId="0" fontId="37" fillId="3" borderId="0" xfId="0" applyFont="1" applyFill="1" applyBorder="1" applyAlignment="1" applyProtection="1">
      <alignment horizontal="left" vertical="center"/>
      <protection locked="0"/>
    </xf>
    <xf numFmtId="0" fontId="17" fillId="3" borderId="0" xfId="0" applyFont="1" applyFill="1" applyProtection="1">
      <protection locked="0"/>
    </xf>
    <xf numFmtId="0" fontId="17" fillId="3" borderId="0" xfId="0" applyFont="1" applyFill="1" applyBorder="1" applyProtection="1">
      <protection locked="0"/>
    </xf>
    <xf numFmtId="0" fontId="17" fillId="4" borderId="0" xfId="0" applyFont="1" applyFill="1" applyProtection="1">
      <protection locked="0"/>
    </xf>
    <xf numFmtId="0" fontId="17" fillId="4" borderId="0" xfId="0" applyFont="1" applyFill="1" applyBorder="1" applyProtection="1">
      <protection locked="0"/>
    </xf>
    <xf numFmtId="14" fontId="46" fillId="5" borderId="3" xfId="0" applyNumberFormat="1" applyFont="1" applyFill="1" applyBorder="1" applyAlignment="1" applyProtection="1">
      <alignment horizontal="left"/>
      <protection locked="0"/>
    </xf>
    <xf numFmtId="0" fontId="35" fillId="5" borderId="0" xfId="0" applyFont="1" applyFill="1" applyAlignment="1" applyProtection="1">
      <alignment horizontal="left" vertical="center"/>
      <protection locked="0"/>
    </xf>
    <xf numFmtId="0" fontId="21" fillId="5" borderId="0" xfId="0" applyFont="1" applyFill="1" applyAlignment="1" applyProtection="1">
      <alignment horizontal="left" vertical="top"/>
      <protection locked="0"/>
    </xf>
    <xf numFmtId="14" fontId="46" fillId="5" borderId="22" xfId="0" applyNumberFormat="1" applyFont="1" applyFill="1" applyBorder="1" applyAlignment="1" applyProtection="1">
      <alignment horizontal="left"/>
      <protection locked="0"/>
    </xf>
    <xf numFmtId="14" fontId="46" fillId="5" borderId="23" xfId="0" applyNumberFormat="1" applyFont="1" applyFill="1" applyBorder="1" applyAlignment="1" applyProtection="1">
      <alignment horizontal="left"/>
      <protection locked="0"/>
    </xf>
    <xf numFmtId="169" fontId="22" fillId="5" borderId="0" xfId="0" applyNumberFormat="1" applyFont="1" applyFill="1" applyAlignment="1" applyProtection="1">
      <alignment horizontal="left"/>
      <protection locked="0"/>
    </xf>
    <xf numFmtId="0" fontId="30" fillId="5" borderId="0" xfId="0" applyFont="1" applyFill="1" applyAlignment="1" applyProtection="1">
      <alignment horizontal="left"/>
      <protection locked="0"/>
    </xf>
    <xf numFmtId="2" fontId="34" fillId="5" borderId="0" xfId="0" applyNumberFormat="1" applyFont="1" applyFill="1" applyProtection="1">
      <protection locked="0"/>
    </xf>
    <xf numFmtId="14" fontId="46" fillId="5" borderId="24" xfId="0" applyNumberFormat="1" applyFont="1" applyFill="1" applyBorder="1" applyAlignment="1" applyProtection="1">
      <alignment horizontal="left"/>
      <protection locked="0"/>
    </xf>
    <xf numFmtId="0" fontId="17" fillId="4" borderId="20" xfId="0" applyFont="1" applyFill="1" applyBorder="1" applyProtection="1">
      <protection locked="0"/>
    </xf>
    <xf numFmtId="0" fontId="39" fillId="0" borderId="0" xfId="0" applyFont="1" applyProtection="1">
      <protection locked="0"/>
    </xf>
    <xf numFmtId="0" fontId="17" fillId="0" borderId="0" xfId="0" applyFont="1" applyProtection="1">
      <protection locked="0"/>
    </xf>
    <xf numFmtId="0" fontId="19" fillId="0" borderId="0" xfId="0" applyFont="1" applyProtection="1">
      <protection locked="0"/>
    </xf>
    <xf numFmtId="0" fontId="27" fillId="0" borderId="0" xfId="0" applyFont="1" applyProtection="1">
      <protection locked="0"/>
    </xf>
    <xf numFmtId="0" fontId="16" fillId="0" borderId="0" xfId="0" applyFont="1"/>
    <xf numFmtId="166" fontId="0" fillId="0" borderId="0" xfId="0" applyNumberFormat="1"/>
    <xf numFmtId="0" fontId="47" fillId="5" borderId="0" xfId="0" applyFont="1" applyFill="1" applyAlignment="1" applyProtection="1">
      <alignment horizontal="left" vertical="center"/>
      <protection locked="0"/>
    </xf>
    <xf numFmtId="14" fontId="35" fillId="5" borderId="21" xfId="0" applyNumberFormat="1" applyFont="1" applyFill="1" applyBorder="1" applyAlignment="1" applyProtection="1">
      <alignment horizontal="left"/>
      <protection locked="0"/>
    </xf>
    <xf numFmtId="0" fontId="16" fillId="0" borderId="26" xfId="0" applyFont="1" applyBorder="1"/>
    <xf numFmtId="166" fontId="27" fillId="0" borderId="0" xfId="0" applyNumberFormat="1" applyFont="1"/>
    <xf numFmtId="0" fontId="36" fillId="4" borderId="0" xfId="0" applyFont="1" applyFill="1" applyAlignment="1" applyProtection="1">
      <alignment vertical="center"/>
      <protection locked="0"/>
    </xf>
    <xf numFmtId="0" fontId="5" fillId="0" borderId="0" xfId="0" applyFont="1"/>
    <xf numFmtId="166" fontId="9" fillId="0" borderId="0" xfId="0" applyNumberFormat="1" applyFont="1"/>
    <xf numFmtId="2" fontId="5" fillId="0" borderId="0" xfId="0" applyNumberFormat="1" applyFont="1"/>
    <xf numFmtId="166" fontId="5" fillId="0" borderId="0" xfId="0" applyNumberFormat="1" applyFont="1"/>
    <xf numFmtId="1" fontId="5" fillId="0" borderId="0" xfId="0" applyNumberFormat="1" applyFont="1"/>
    <xf numFmtId="11" fontId="5" fillId="0" borderId="0" xfId="0" applyNumberFormat="1" applyFont="1"/>
    <xf numFmtId="0" fontId="16" fillId="0" borderId="25" xfId="0" applyFont="1" applyBorder="1"/>
    <xf numFmtId="0" fontId="16" fillId="0" borderId="27" xfId="0" applyFont="1" applyBorder="1"/>
    <xf numFmtId="0" fontId="16" fillId="0" borderId="28" xfId="0" applyFont="1" applyBorder="1"/>
    <xf numFmtId="0" fontId="5" fillId="0" borderId="0" xfId="0" applyFont="1" applyBorder="1"/>
    <xf numFmtId="0" fontId="5" fillId="0" borderId="29" xfId="0" applyFont="1" applyBorder="1"/>
    <xf numFmtId="0" fontId="16" fillId="0" borderId="30" xfId="0" applyFont="1" applyBorder="1"/>
    <xf numFmtId="1" fontId="5" fillId="0" borderId="32" xfId="0" applyNumberFormat="1" applyFont="1" applyBorder="1"/>
    <xf numFmtId="0" fontId="5" fillId="0" borderId="0" xfId="0" applyFont="1" applyAlignment="1">
      <alignment wrapText="1"/>
    </xf>
    <xf numFmtId="0" fontId="0" fillId="0" borderId="0" xfId="0" applyFont="1"/>
    <xf numFmtId="166" fontId="20" fillId="0" borderId="0" xfId="0" applyNumberFormat="1" applyFont="1" applyFill="1"/>
    <xf numFmtId="0" fontId="24" fillId="0" borderId="0" xfId="0" applyFont="1" applyProtection="1">
      <protection locked="0"/>
    </xf>
    <xf numFmtId="49" fontId="24" fillId="0" borderId="0" xfId="0" applyNumberFormat="1" applyFont="1" applyProtection="1">
      <protection locked="0"/>
    </xf>
    <xf numFmtId="170" fontId="24" fillId="0" borderId="0" xfId="0" applyNumberFormat="1" applyFont="1" applyAlignment="1" applyProtection="1">
      <alignment horizontal="left" vertical="center"/>
      <protection locked="0"/>
    </xf>
    <xf numFmtId="0" fontId="36" fillId="4" borderId="0" xfId="0" applyFont="1" applyFill="1" applyAlignment="1" applyProtection="1">
      <alignment horizontal="center" vertical="center"/>
      <protection locked="0"/>
    </xf>
    <xf numFmtId="169" fontId="22" fillId="5" borderId="0" xfId="0" applyNumberFormat="1" applyFont="1" applyFill="1" applyAlignment="1" applyProtection="1">
      <alignment horizontal="left" vertical="center"/>
      <protection locked="0"/>
    </xf>
    <xf numFmtId="0" fontId="30" fillId="5" borderId="0" xfId="0" applyFont="1" applyFill="1" applyAlignment="1" applyProtection="1">
      <alignment horizontal="left" vertical="center"/>
      <protection locked="0"/>
    </xf>
    <xf numFmtId="0" fontId="24" fillId="0" borderId="0" xfId="0" applyNumberFormat="1" applyFont="1" applyProtection="1">
      <protection locked="0"/>
    </xf>
    <xf numFmtId="0" fontId="15" fillId="0" borderId="0" xfId="5" applyProtection="1">
      <protection locked="0"/>
    </xf>
    <xf numFmtId="179" fontId="24" fillId="0" borderId="0" xfId="0" applyNumberFormat="1" applyFont="1" applyAlignment="1" applyProtection="1">
      <alignment horizontal="left"/>
      <protection locked="0"/>
    </xf>
    <xf numFmtId="179" fontId="20" fillId="0" borderId="0" xfId="0" applyNumberFormat="1" applyFont="1" applyAlignment="1" applyProtection="1">
      <alignment horizontal="left"/>
      <protection locked="0"/>
    </xf>
    <xf numFmtId="0" fontId="20" fillId="0" borderId="0" xfId="0" applyNumberFormat="1" applyFont="1" applyProtection="1">
      <protection locked="0"/>
    </xf>
    <xf numFmtId="0" fontId="51" fillId="0" borderId="0" xfId="5" applyFont="1" applyProtection="1">
      <protection locked="0"/>
    </xf>
    <xf numFmtId="0" fontId="15" fillId="0" borderId="0" xfId="5" applyNumberFormat="1" applyProtection="1">
      <protection locked="0"/>
    </xf>
    <xf numFmtId="14" fontId="24" fillId="0" borderId="0" xfId="0" applyNumberFormat="1" applyFont="1" applyAlignment="1" applyProtection="1">
      <alignment horizontal="left"/>
      <protection locked="0"/>
    </xf>
    <xf numFmtId="180" fontId="46" fillId="5" borderId="2" xfId="0" applyNumberFormat="1" applyFont="1" applyFill="1" applyBorder="1" applyAlignment="1" applyProtection="1">
      <alignment horizontal="left"/>
      <protection locked="0"/>
    </xf>
    <xf numFmtId="0" fontId="11" fillId="0" borderId="0" xfId="0" applyFont="1" applyProtection="1">
      <protection locked="0"/>
    </xf>
    <xf numFmtId="0" fontId="0" fillId="0" borderId="0" xfId="0" applyProtection="1">
      <protection locked="0"/>
    </xf>
    <xf numFmtId="0" fontId="6" fillId="0" borderId="0" xfId="0" applyNumberFormat="1" applyFont="1" applyAlignment="1" applyProtection="1">
      <alignment horizontal="center"/>
      <protection locked="0"/>
    </xf>
    <xf numFmtId="178" fontId="0" fillId="0" borderId="0" xfId="0" applyNumberFormat="1" applyProtection="1">
      <protection locked="0"/>
    </xf>
    <xf numFmtId="0" fontId="20" fillId="0" borderId="0" xfId="0" applyNumberFormat="1" applyFont="1" applyAlignment="1" applyProtection="1">
      <alignment horizontal="center"/>
      <protection locked="0"/>
    </xf>
    <xf numFmtId="9" fontId="0" fillId="0" borderId="0" xfId="23" applyFont="1" applyProtection="1">
      <protection locked="0"/>
    </xf>
    <xf numFmtId="1" fontId="20" fillId="0" borderId="0" xfId="0" applyNumberFormat="1" applyFont="1" applyAlignment="1" applyProtection="1">
      <alignment horizontal="left"/>
      <protection locked="0"/>
    </xf>
    <xf numFmtId="176" fontId="20" fillId="0" borderId="0" xfId="0" applyNumberFormat="1" applyFont="1" applyAlignment="1" applyProtection="1">
      <alignment horizontal="left"/>
      <protection locked="0"/>
    </xf>
    <xf numFmtId="0" fontId="20" fillId="0" borderId="0" xfId="0" applyFont="1" applyAlignment="1" applyProtection="1">
      <alignment horizontal="right"/>
      <protection locked="0"/>
    </xf>
    <xf numFmtId="171" fontId="24" fillId="0" borderId="0" xfId="0" applyNumberFormat="1" applyFont="1" applyAlignment="1" applyProtection="1">
      <alignment horizontal="left"/>
      <protection locked="0"/>
    </xf>
    <xf numFmtId="0" fontId="46" fillId="5" borderId="24" xfId="0" applyNumberFormat="1" applyFont="1" applyFill="1" applyBorder="1" applyAlignment="1" applyProtection="1">
      <alignment horizontal="left"/>
      <protection locked="0"/>
    </xf>
    <xf numFmtId="1" fontId="20" fillId="0" borderId="0" xfId="0" applyNumberFormat="1" applyFont="1" applyProtection="1">
      <protection locked="0"/>
    </xf>
    <xf numFmtId="0" fontId="27" fillId="18" borderId="0" xfId="0" applyFont="1" applyFill="1"/>
    <xf numFmtId="14" fontId="27" fillId="18" borderId="0" xfId="0" applyNumberFormat="1" applyFont="1" applyFill="1"/>
    <xf numFmtId="0" fontId="37" fillId="3" borderId="0" xfId="0" applyFont="1" applyFill="1" applyBorder="1" applyAlignment="1" applyProtection="1">
      <alignment vertical="center"/>
      <protection locked="0"/>
    </xf>
    <xf numFmtId="0" fontId="20" fillId="0" borderId="0" xfId="0" applyFont="1" applyFill="1" applyBorder="1" applyProtection="1">
      <protection locked="0"/>
    </xf>
    <xf numFmtId="166" fontId="42" fillId="0" borderId="0" xfId="0" applyNumberFormat="1" applyFont="1" applyBorder="1" applyProtection="1">
      <protection locked="0"/>
    </xf>
    <xf numFmtId="0" fontId="42" fillId="0" borderId="46" xfId="0" applyFont="1" applyBorder="1" applyProtection="1">
      <protection locked="0"/>
    </xf>
    <xf numFmtId="2" fontId="20" fillId="0" borderId="0" xfId="0" applyNumberFormat="1" applyFont="1"/>
    <xf numFmtId="3" fontId="29" fillId="0" borderId="0" xfId="0" applyNumberFormat="1" applyFont="1" applyAlignment="1" applyProtection="1">
      <alignment horizontal="left"/>
      <protection locked="0"/>
    </xf>
    <xf numFmtId="166" fontId="29" fillId="0" borderId="0" xfId="0" applyNumberFormat="1" applyFont="1" applyAlignment="1" applyProtection="1">
      <alignment horizontal="left"/>
      <protection locked="0"/>
    </xf>
    <xf numFmtId="184" fontId="29" fillId="0" borderId="0" xfId="0" applyNumberFormat="1" applyFont="1" applyAlignment="1" applyProtection="1">
      <alignment horizontal="left"/>
      <protection locked="0"/>
    </xf>
    <xf numFmtId="0" fontId="17" fillId="0" borderId="0" xfId="0" applyFont="1" applyFill="1" applyProtection="1">
      <protection locked="0"/>
    </xf>
    <xf numFmtId="0" fontId="18" fillId="0" borderId="0" xfId="0" applyFont="1" applyFill="1" applyBorder="1" applyAlignment="1" applyProtection="1">
      <alignment horizontal="left" vertical="center"/>
      <protection locked="0"/>
    </xf>
    <xf numFmtId="0" fontId="27" fillId="0" borderId="0" xfId="0" applyFont="1" applyFill="1" applyBorder="1" applyProtection="1">
      <protection locked="0"/>
    </xf>
    <xf numFmtId="0" fontId="27" fillId="0" borderId="0" xfId="0" applyFont="1" applyFill="1" applyBorder="1" applyAlignment="1" applyProtection="1">
      <alignment horizontal="left" vertical="center" indent="1"/>
      <protection locked="0"/>
    </xf>
    <xf numFmtId="0" fontId="27" fillId="0" borderId="0" xfId="0" applyFont="1" applyFill="1" applyBorder="1" applyAlignment="1" applyProtection="1">
      <alignment horizontal="center"/>
      <protection locked="0"/>
    </xf>
    <xf numFmtId="0" fontId="41" fillId="0" borderId="0" xfId="0" applyFont="1" applyFill="1" applyBorder="1" applyProtection="1">
      <protection locked="0"/>
    </xf>
    <xf numFmtId="0" fontId="48" fillId="0" borderId="0" xfId="5" applyFont="1" applyFill="1" applyBorder="1" applyAlignment="1" applyProtection="1">
      <alignment horizontal="left" vertical="center"/>
      <protection locked="0"/>
    </xf>
    <xf numFmtId="0" fontId="19" fillId="0" borderId="0" xfId="0" applyFont="1" applyFill="1" applyBorder="1" applyProtection="1">
      <protection locked="0"/>
    </xf>
    <xf numFmtId="0" fontId="17" fillId="0" borderId="0" xfId="0" applyFont="1" applyFill="1" applyBorder="1" applyProtection="1">
      <protection locked="0"/>
    </xf>
    <xf numFmtId="0" fontId="20" fillId="0" borderId="0" xfId="0" applyFont="1" applyProtection="1">
      <protection locked="0"/>
    </xf>
    <xf numFmtId="0" fontId="37" fillId="19" borderId="0" xfId="0" applyFont="1" applyFill="1" applyBorder="1" applyAlignment="1" applyProtection="1">
      <alignment vertical="center"/>
      <protection locked="0"/>
    </xf>
    <xf numFmtId="0" fontId="37" fillId="19" borderId="0" xfId="0" applyFont="1" applyFill="1" applyBorder="1" applyAlignment="1" applyProtection="1">
      <alignment horizontal="left" vertical="center" indent="1"/>
      <protection locked="0"/>
    </xf>
    <xf numFmtId="0" fontId="56" fillId="19" borderId="0" xfId="0" applyFont="1" applyFill="1" applyProtection="1">
      <protection locked="0"/>
    </xf>
    <xf numFmtId="0" fontId="55" fillId="19" borderId="0" xfId="0" applyFont="1" applyFill="1" applyAlignment="1" applyProtection="1">
      <alignment horizontal="left" indent="1"/>
      <protection locked="0"/>
    </xf>
    <xf numFmtId="171" fontId="15" fillId="0" borderId="0" xfId="5" applyNumberFormat="1" applyAlignment="1" applyProtection="1">
      <alignment horizontal="left"/>
      <protection locked="0"/>
    </xf>
    <xf numFmtId="0" fontId="17" fillId="0" borderId="0" xfId="0" applyFont="1" applyBorder="1" applyProtection="1">
      <protection locked="0"/>
    </xf>
    <xf numFmtId="164" fontId="34" fillId="5" borderId="0" xfId="0" applyNumberFormat="1" applyFont="1" applyFill="1" applyProtection="1">
      <protection locked="0"/>
    </xf>
    <xf numFmtId="0" fontId="37" fillId="3" borderId="0" xfId="0" applyFont="1" applyFill="1" applyBorder="1" applyAlignment="1" applyProtection="1">
      <alignment horizontal="left" vertical="center"/>
      <protection locked="0"/>
    </xf>
    <xf numFmtId="2" fontId="3" fillId="0" borderId="31" xfId="0" applyNumberFormat="1" applyFont="1" applyBorder="1"/>
    <xf numFmtId="177" fontId="0" fillId="0" borderId="57" xfId="0" applyNumberFormat="1" applyBorder="1"/>
    <xf numFmtId="177" fontId="0" fillId="0" borderId="59" xfId="0" applyNumberFormat="1" applyBorder="1"/>
    <xf numFmtId="168" fontId="0" fillId="0" borderId="57" xfId="0" applyNumberFormat="1" applyBorder="1" applyAlignment="1">
      <alignment horizontal="left"/>
    </xf>
    <xf numFmtId="164" fontId="0" fillId="0" borderId="59" xfId="0" applyNumberFormat="1" applyBorder="1"/>
    <xf numFmtId="177" fontId="0" fillId="0" borderId="58" xfId="0" applyNumberFormat="1" applyBorder="1"/>
    <xf numFmtId="186" fontId="0" fillId="0" borderId="18" xfId="0" applyNumberFormat="1" applyBorder="1"/>
    <xf numFmtId="186" fontId="0" fillId="0" borderId="19" xfId="0" applyNumberFormat="1" applyBorder="1"/>
    <xf numFmtId="186" fontId="0" fillId="0" borderId="58" xfId="0" applyNumberFormat="1" applyBorder="1"/>
    <xf numFmtId="0" fontId="0" fillId="0" borderId="15" xfId="0" applyBorder="1"/>
    <xf numFmtId="188" fontId="0" fillId="0" borderId="15" xfId="0" applyNumberFormat="1" applyBorder="1" applyAlignment="1">
      <alignment horizontal="left" indent="1"/>
    </xf>
    <xf numFmtId="166" fontId="0" fillId="0" borderId="12" xfId="0" applyNumberFormat="1" applyBorder="1"/>
    <xf numFmtId="166" fontId="0" fillId="0" borderId="15" xfId="0" applyNumberFormat="1" applyBorder="1"/>
    <xf numFmtId="0" fontId="0" fillId="0" borderId="57" xfId="0" applyBorder="1" applyAlignment="1">
      <alignment horizontal="left"/>
    </xf>
    <xf numFmtId="166" fontId="0" fillId="0" borderId="57" xfId="0" applyNumberFormat="1" applyBorder="1"/>
    <xf numFmtId="166" fontId="0" fillId="0" borderId="58" xfId="0" applyNumberFormat="1" applyBorder="1"/>
    <xf numFmtId="0" fontId="37" fillId="0" borderId="0" xfId="0" applyFont="1" applyFill="1" applyBorder="1" applyAlignment="1" applyProtection="1">
      <alignment horizontal="left" vertical="center"/>
      <protection locked="0"/>
    </xf>
    <xf numFmtId="0" fontId="20" fillId="0" borderId="0" xfId="0" applyFont="1" applyBorder="1" applyProtection="1">
      <protection locked="0"/>
    </xf>
    <xf numFmtId="164" fontId="0" fillId="0" borderId="57" xfId="0" applyNumberFormat="1" applyBorder="1"/>
    <xf numFmtId="1" fontId="0" fillId="0" borderId="58" xfId="0" applyNumberFormat="1" applyBorder="1"/>
    <xf numFmtId="170" fontId="24" fillId="0" borderId="0" xfId="0" applyNumberFormat="1" applyFont="1" applyProtection="1">
      <protection locked="0"/>
    </xf>
    <xf numFmtId="0" fontId="23" fillId="0" borderId="0" xfId="0" applyFont="1" applyFill="1" applyBorder="1" applyAlignment="1" applyProtection="1">
      <alignment horizontal="left" vertical="center"/>
      <protection locked="0"/>
    </xf>
    <xf numFmtId="14" fontId="20" fillId="0" borderId="0" xfId="0" applyNumberFormat="1" applyFont="1" applyFill="1" applyBorder="1" applyProtection="1">
      <protection locked="0"/>
    </xf>
    <xf numFmtId="0" fontId="20" fillId="0" borderId="0" xfId="0" applyNumberFormat="1" applyFont="1" applyFill="1" applyBorder="1" applyProtection="1">
      <protection locked="0"/>
    </xf>
    <xf numFmtId="0" fontId="18" fillId="0" borderId="42" xfId="0" applyFont="1" applyBorder="1" applyProtection="1">
      <protection locked="0"/>
    </xf>
    <xf numFmtId="0" fontId="0" fillId="0" borderId="48" xfId="0" applyBorder="1" applyProtection="1">
      <protection locked="0"/>
    </xf>
    <xf numFmtId="14" fontId="20" fillId="0" borderId="0" xfId="0" applyNumberFormat="1" applyFont="1" applyFill="1" applyProtection="1">
      <protection locked="0"/>
    </xf>
    <xf numFmtId="0" fontId="20" fillId="0" borderId="0" xfId="0" applyNumberFormat="1" applyFont="1" applyFill="1" applyProtection="1">
      <protection locked="0"/>
    </xf>
    <xf numFmtId="0" fontId="18" fillId="0" borderId="37" xfId="0" applyFont="1" applyFill="1" applyBorder="1" applyAlignment="1" applyProtection="1">
      <alignment horizontal="left" vertical="center"/>
      <protection locked="0"/>
    </xf>
    <xf numFmtId="0" fontId="20" fillId="0" borderId="0" xfId="0" applyNumberFormat="1" applyFont="1"/>
    <xf numFmtId="0" fontId="39" fillId="2" borderId="0" xfId="0" applyFont="1" applyFill="1" applyProtection="1">
      <protection locked="0"/>
    </xf>
    <xf numFmtId="0" fontId="19" fillId="2" borderId="0" xfId="0" applyFont="1" applyFill="1" applyProtection="1">
      <protection locked="0"/>
    </xf>
    <xf numFmtId="0" fontId="25" fillId="2" borderId="0" xfId="0" applyFont="1" applyFill="1" applyBorder="1" applyAlignment="1" applyProtection="1">
      <alignment vertical="center"/>
      <protection locked="0"/>
    </xf>
    <xf numFmtId="0" fontId="20" fillId="2" borderId="0" xfId="0" applyFont="1" applyFill="1" applyProtection="1">
      <protection locked="0"/>
    </xf>
    <xf numFmtId="0" fontId="24" fillId="2" borderId="0" xfId="0" applyFont="1" applyFill="1" applyBorder="1" applyProtection="1">
      <protection locked="0"/>
    </xf>
    <xf numFmtId="0" fontId="17" fillId="2" borderId="0" xfId="0" applyFont="1" applyFill="1" applyBorder="1" applyProtection="1">
      <protection locked="0"/>
    </xf>
    <xf numFmtId="0" fontId="17" fillId="2" borderId="0" xfId="0" applyFont="1" applyFill="1" applyProtection="1">
      <protection locked="0"/>
    </xf>
    <xf numFmtId="3" fontId="20" fillId="2" borderId="0" xfId="0" applyNumberFormat="1" applyFont="1" applyFill="1" applyProtection="1">
      <protection locked="0"/>
    </xf>
    <xf numFmtId="172" fontId="20" fillId="2" borderId="0" xfId="0" applyNumberFormat="1" applyFont="1" applyFill="1" applyProtection="1">
      <protection locked="0"/>
    </xf>
    <xf numFmtId="187" fontId="53" fillId="2" borderId="0" xfId="0" applyNumberFormat="1" applyFont="1" applyFill="1" applyProtection="1">
      <protection locked="0"/>
    </xf>
    <xf numFmtId="166" fontId="53" fillId="2" borderId="0" xfId="0" applyNumberFormat="1" applyFont="1" applyFill="1" applyProtection="1">
      <protection locked="0"/>
    </xf>
    <xf numFmtId="0" fontId="54" fillId="0" borderId="0" xfId="0" applyFont="1" applyFill="1" applyAlignment="1" applyProtection="1">
      <alignment horizontal="left" wrapText="1"/>
      <protection locked="0"/>
    </xf>
    <xf numFmtId="0" fontId="20" fillId="0" borderId="0" xfId="0" applyFont="1" applyFill="1" applyProtection="1">
      <protection locked="0"/>
    </xf>
    <xf numFmtId="168" fontId="20" fillId="0" borderId="0" xfId="0" applyNumberFormat="1" applyFont="1" applyFill="1" applyProtection="1">
      <protection locked="0"/>
    </xf>
    <xf numFmtId="0" fontId="39" fillId="3" borderId="0" xfId="0" applyFont="1" applyFill="1" applyAlignment="1" applyProtection="1">
      <alignment vertical="center"/>
      <protection locked="0"/>
    </xf>
    <xf numFmtId="0" fontId="37" fillId="3" borderId="0" xfId="0" applyFont="1" applyFill="1" applyBorder="1" applyAlignment="1" applyProtection="1">
      <protection locked="0"/>
    </xf>
    <xf numFmtId="0" fontId="54" fillId="0" borderId="0" xfId="0" applyFont="1" applyAlignment="1" applyProtection="1">
      <alignment horizontal="left" wrapText="1"/>
      <protection locked="0"/>
    </xf>
    <xf numFmtId="1" fontId="29" fillId="0" borderId="0" xfId="0" applyNumberFormat="1" applyFont="1" applyAlignment="1" applyProtection="1">
      <alignment horizontal="left"/>
      <protection locked="0"/>
    </xf>
    <xf numFmtId="168" fontId="29" fillId="0" borderId="0" xfId="0" applyNumberFormat="1" applyFont="1" applyAlignment="1" applyProtection="1">
      <alignment horizontal="left"/>
      <protection locked="0"/>
    </xf>
    <xf numFmtId="0" fontId="29" fillId="0" borderId="0" xfId="0" applyNumberFormat="1" applyFont="1" applyAlignment="1" applyProtection="1">
      <alignment horizontal="left"/>
      <protection locked="0"/>
    </xf>
    <xf numFmtId="3" fontId="31" fillId="0" borderId="0" xfId="0" applyNumberFormat="1" applyFont="1" applyAlignment="1" applyProtection="1">
      <alignment horizontal="left"/>
      <protection locked="0"/>
    </xf>
    <xf numFmtId="172" fontId="31" fillId="0" borderId="0" xfId="0" applyNumberFormat="1" applyFont="1" applyAlignment="1" applyProtection="1">
      <alignment horizontal="left"/>
      <protection locked="0"/>
    </xf>
    <xf numFmtId="3" fontId="31" fillId="0" borderId="0" xfId="0" applyNumberFormat="1" applyFont="1" applyAlignment="1" applyProtection="1">
      <alignment horizontal="right"/>
      <protection locked="0"/>
    </xf>
    <xf numFmtId="175" fontId="20" fillId="0" borderId="0" xfId="0" applyNumberFormat="1" applyFont="1" applyProtection="1">
      <protection locked="0"/>
    </xf>
    <xf numFmtId="0" fontId="37" fillId="3" borderId="1" xfId="0" applyFont="1" applyFill="1" applyBorder="1" applyAlignment="1" applyProtection="1">
      <alignment horizontal="left" vertical="center"/>
      <protection locked="0"/>
    </xf>
    <xf numFmtId="1" fontId="37" fillId="3" borderId="1" xfId="0" applyNumberFormat="1" applyFont="1" applyFill="1" applyBorder="1" applyAlignment="1" applyProtection="1">
      <alignment vertical="center"/>
      <protection locked="0"/>
    </xf>
    <xf numFmtId="0" fontId="27" fillId="0" borderId="0" xfId="0" applyFont="1" applyAlignment="1" applyProtection="1">
      <alignment horizontal="left"/>
      <protection locked="0"/>
    </xf>
    <xf numFmtId="185" fontId="20" fillId="0" borderId="0" xfId="0" applyNumberFormat="1" applyFont="1" applyAlignment="1" applyProtection="1">
      <alignment horizontal="left"/>
      <protection locked="0"/>
    </xf>
    <xf numFmtId="166" fontId="20" fillId="0" borderId="0" xfId="0" applyNumberFormat="1" applyFont="1" applyProtection="1">
      <protection locked="0"/>
    </xf>
    <xf numFmtId="166" fontId="20" fillId="0" borderId="0" xfId="0" applyNumberFormat="1" applyFont="1" applyBorder="1" applyProtection="1">
      <protection locked="0"/>
    </xf>
    <xf numFmtId="1" fontId="37" fillId="3" borderId="1" xfId="0" applyNumberFormat="1" applyFont="1" applyFill="1" applyBorder="1" applyAlignment="1" applyProtection="1">
      <alignment horizontal="left" vertical="center"/>
      <protection locked="0"/>
    </xf>
    <xf numFmtId="0" fontId="38" fillId="3" borderId="0" xfId="0" applyFont="1" applyFill="1" applyAlignment="1" applyProtection="1">
      <alignment vertical="center"/>
      <protection locked="0"/>
    </xf>
    <xf numFmtId="0" fontId="45" fillId="0" borderId="0" xfId="6" applyFont="1" applyProtection="1">
      <protection locked="0"/>
    </xf>
    <xf numFmtId="0" fontId="10" fillId="0" borderId="0" xfId="6" applyProtection="1">
      <protection locked="0"/>
    </xf>
    <xf numFmtId="0" fontId="2" fillId="0" borderId="0" xfId="6" applyFont="1" applyProtection="1">
      <protection locked="0"/>
    </xf>
    <xf numFmtId="164" fontId="10" fillId="0" borderId="0" xfId="6" applyNumberFormat="1" applyProtection="1">
      <protection locked="0"/>
    </xf>
    <xf numFmtId="0" fontId="4" fillId="0" borderId="0" xfId="6" applyFont="1" applyProtection="1">
      <protection locked="0"/>
    </xf>
    <xf numFmtId="0" fontId="16" fillId="0" borderId="0" xfId="6" applyFont="1" applyProtection="1">
      <protection locked="0"/>
    </xf>
    <xf numFmtId="0" fontId="27" fillId="0" borderId="0" xfId="6" applyFont="1" applyProtection="1">
      <protection locked="0"/>
    </xf>
    <xf numFmtId="0" fontId="7" fillId="0" borderId="0" xfId="6" applyFont="1" applyProtection="1">
      <protection locked="0"/>
    </xf>
    <xf numFmtId="0" fontId="8" fillId="0" borderId="0" xfId="6" applyFont="1" applyProtection="1">
      <protection locked="0"/>
    </xf>
    <xf numFmtId="0" fontId="10" fillId="0" borderId="0" xfId="6" applyNumberFormat="1" applyProtection="1">
      <protection locked="0"/>
    </xf>
    <xf numFmtId="0" fontId="24" fillId="0" borderId="0" xfId="0" applyFont="1" applyAlignment="1" applyProtection="1">
      <alignment horizontal="right"/>
      <protection locked="0"/>
    </xf>
    <xf numFmtId="0" fontId="24" fillId="0" borderId="0" xfId="0" applyNumberFormat="1" applyFont="1" applyAlignment="1" applyProtection="1">
      <alignment horizontal="right"/>
      <protection locked="0"/>
    </xf>
    <xf numFmtId="1" fontId="24" fillId="0" borderId="0" xfId="0" applyNumberFormat="1" applyFont="1" applyAlignment="1" applyProtection="1">
      <alignment horizontal="right"/>
      <protection locked="0"/>
    </xf>
    <xf numFmtId="0" fontId="5" fillId="0" borderId="0" xfId="6" applyFont="1" applyProtection="1">
      <protection locked="0"/>
    </xf>
    <xf numFmtId="0" fontId="23" fillId="3" borderId="1" xfId="0" applyFont="1" applyFill="1" applyBorder="1" applyAlignment="1" applyProtection="1">
      <alignment horizontal="left" vertical="center"/>
      <protection locked="0"/>
    </xf>
    <xf numFmtId="21" fontId="20" fillId="0" borderId="0" xfId="0" applyNumberFormat="1" applyFont="1" applyProtection="1">
      <protection locked="0"/>
    </xf>
    <xf numFmtId="178" fontId="11" fillId="0" borderId="0" xfId="0" applyNumberFormat="1" applyFont="1" applyProtection="1">
      <protection locked="0"/>
    </xf>
    <xf numFmtId="9" fontId="11" fillId="0" borderId="0" xfId="0" applyNumberFormat="1" applyFont="1" applyProtection="1">
      <protection locked="0"/>
    </xf>
    <xf numFmtId="0" fontId="27" fillId="2" borderId="4" xfId="0" applyFont="1" applyFill="1" applyBorder="1" applyProtection="1"/>
    <xf numFmtId="0" fontId="27" fillId="0" borderId="4" xfId="0" applyFont="1" applyBorder="1" applyProtection="1"/>
    <xf numFmtId="0" fontId="27" fillId="2" borderId="4" xfId="0" applyFont="1" applyFill="1" applyBorder="1" applyAlignment="1" applyProtection="1">
      <alignment horizontal="left" vertical="center"/>
    </xf>
    <xf numFmtId="0" fontId="24" fillId="0" borderId="0" xfId="0" applyFont="1" applyAlignment="1" applyProtection="1">
      <alignment vertical="center"/>
      <protection locked="0"/>
    </xf>
    <xf numFmtId="0" fontId="17" fillId="16" borderId="33" xfId="0" applyFont="1" applyFill="1" applyBorder="1" applyProtection="1">
      <protection locked="0"/>
    </xf>
    <xf numFmtId="0" fontId="17" fillId="16" borderId="0" xfId="0" applyFont="1" applyFill="1" applyBorder="1" applyProtection="1">
      <protection locked="0"/>
    </xf>
    <xf numFmtId="0" fontId="20" fillId="16" borderId="33" xfId="0" applyFont="1" applyFill="1" applyBorder="1" applyProtection="1">
      <protection locked="0"/>
    </xf>
    <xf numFmtId="0" fontId="20" fillId="16" borderId="6" xfId="0" applyFont="1" applyFill="1" applyBorder="1" applyProtection="1">
      <protection locked="0"/>
    </xf>
    <xf numFmtId="0" fontId="20" fillId="16" borderId="0" xfId="0" applyFont="1" applyFill="1" applyBorder="1" applyProtection="1">
      <protection locked="0"/>
    </xf>
    <xf numFmtId="0" fontId="20" fillId="16" borderId="0" xfId="0" applyNumberFormat="1" applyFont="1" applyFill="1" applyBorder="1" applyProtection="1">
      <protection locked="0"/>
    </xf>
    <xf numFmtId="0" fontId="20" fillId="16" borderId="36" xfId="0" applyNumberFormat="1" applyFont="1" applyFill="1" applyBorder="1" applyProtection="1">
      <protection locked="0"/>
    </xf>
    <xf numFmtId="0" fontId="20" fillId="17" borderId="37" xfId="0" applyFont="1" applyFill="1" applyBorder="1" applyProtection="1">
      <protection locked="0"/>
    </xf>
    <xf numFmtId="0" fontId="20" fillId="0" borderId="62" xfId="0" applyFont="1" applyBorder="1" applyProtection="1">
      <protection locked="0"/>
    </xf>
    <xf numFmtId="0" fontId="24" fillId="17" borderId="68" xfId="0" applyFont="1" applyFill="1" applyBorder="1" applyProtection="1">
      <protection locked="0"/>
    </xf>
    <xf numFmtId="0" fontId="24" fillId="17" borderId="71" xfId="0" applyFont="1" applyFill="1" applyBorder="1" applyProtection="1">
      <protection locked="0"/>
    </xf>
    <xf numFmtId="171" fontId="24" fillId="0" borderId="0" xfId="0" applyNumberFormat="1" applyFont="1" applyFill="1" applyBorder="1" applyAlignment="1" applyProtection="1">
      <alignment horizontal="left"/>
      <protection locked="0"/>
    </xf>
    <xf numFmtId="0" fontId="24" fillId="0" borderId="0" xfId="0" applyFont="1" applyFill="1" applyBorder="1" applyProtection="1">
      <protection locked="0"/>
    </xf>
    <xf numFmtId="0" fontId="17" fillId="0" borderId="33" xfId="0" applyFont="1" applyBorder="1" applyProtection="1">
      <protection locked="0"/>
    </xf>
    <xf numFmtId="0" fontId="20" fillId="0" borderId="36" xfId="0" applyNumberFormat="1" applyFont="1" applyBorder="1" applyProtection="1">
      <protection locked="0"/>
    </xf>
    <xf numFmtId="0" fontId="20" fillId="0" borderId="37" xfId="0" applyFont="1" applyBorder="1" applyProtection="1">
      <protection locked="0"/>
    </xf>
    <xf numFmtId="0" fontId="24" fillId="0" borderId="38" xfId="0" applyFont="1" applyBorder="1" applyProtection="1">
      <protection locked="0"/>
    </xf>
    <xf numFmtId="0" fontId="20" fillId="0" borderId="33" xfId="0" applyFont="1" applyBorder="1" applyProtection="1">
      <protection locked="0"/>
    </xf>
    <xf numFmtId="0" fontId="24" fillId="0" borderId="68" xfId="0" applyFont="1" applyBorder="1" applyProtection="1">
      <protection locked="0"/>
    </xf>
    <xf numFmtId="0" fontId="24" fillId="0" borderId="65" xfId="0" applyFont="1" applyBorder="1" applyProtection="1">
      <protection locked="0"/>
    </xf>
    <xf numFmtId="0" fontId="20" fillId="16" borderId="35" xfId="0" applyNumberFormat="1" applyFont="1" applyFill="1" applyBorder="1" applyProtection="1">
      <protection locked="0"/>
    </xf>
    <xf numFmtId="0" fontId="24" fillId="17" borderId="38" xfId="0" applyFont="1" applyFill="1" applyBorder="1" applyProtection="1">
      <protection locked="0"/>
    </xf>
    <xf numFmtId="0" fontId="20" fillId="0" borderId="63" xfId="0" applyFont="1" applyBorder="1" applyProtection="1">
      <protection locked="0"/>
    </xf>
    <xf numFmtId="0" fontId="24" fillId="17" borderId="65" xfId="0" applyFont="1" applyFill="1" applyBorder="1" applyProtection="1">
      <protection locked="0"/>
    </xf>
    <xf numFmtId="0" fontId="20" fillId="0" borderId="61" xfId="0" applyFont="1" applyBorder="1" applyProtection="1">
      <protection locked="0"/>
    </xf>
    <xf numFmtId="0" fontId="20" fillId="0" borderId="0" xfId="0" quotePrefix="1" applyNumberFormat="1" applyFont="1" applyProtection="1">
      <protection locked="0"/>
    </xf>
    <xf numFmtId="0" fontId="20" fillId="17" borderId="41" xfId="0" applyFont="1" applyFill="1" applyBorder="1" applyProtection="1">
      <protection locked="0"/>
    </xf>
    <xf numFmtId="0" fontId="20" fillId="17" borderId="42" xfId="0" applyFont="1" applyFill="1" applyBorder="1" applyProtection="1">
      <protection locked="0"/>
    </xf>
    <xf numFmtId="0" fontId="24" fillId="17" borderId="69" xfId="0" applyFont="1" applyFill="1" applyBorder="1" applyProtection="1">
      <protection locked="0"/>
    </xf>
    <xf numFmtId="0" fontId="24" fillId="17" borderId="66" xfId="0" applyFont="1" applyFill="1" applyBorder="1" applyProtection="1">
      <protection locked="0"/>
    </xf>
    <xf numFmtId="14" fontId="20" fillId="0" borderId="0" xfId="0" applyNumberFormat="1" applyFont="1" applyProtection="1">
      <protection locked="0"/>
    </xf>
    <xf numFmtId="0" fontId="20" fillId="0" borderId="64" xfId="0" applyFont="1" applyBorder="1" applyProtection="1">
      <protection locked="0"/>
    </xf>
    <xf numFmtId="190" fontId="24" fillId="0" borderId="0" xfId="0" applyNumberFormat="1" applyFont="1" applyProtection="1">
      <protection locked="0"/>
    </xf>
    <xf numFmtId="1" fontId="24" fillId="0" borderId="0" xfId="0" applyNumberFormat="1" applyFont="1"/>
    <xf numFmtId="2" fontId="24" fillId="0" borderId="0" xfId="0" applyNumberFormat="1" applyFont="1" applyProtection="1">
      <protection locked="0"/>
    </xf>
    <xf numFmtId="0" fontId="24" fillId="0" borderId="0" xfId="6" applyNumberFormat="1" applyFont="1" applyFill="1" applyProtection="1">
      <protection locked="0"/>
    </xf>
    <xf numFmtId="0" fontId="61" fillId="0" borderId="0" xfId="0" applyFont="1" applyFill="1" applyBorder="1" applyAlignment="1" applyProtection="1">
      <alignment horizontal="left" vertical="center"/>
      <protection locked="0"/>
    </xf>
    <xf numFmtId="0" fontId="61" fillId="0" borderId="0" xfId="0" applyFont="1" applyFill="1" applyBorder="1" applyProtection="1">
      <protection locked="0"/>
    </xf>
    <xf numFmtId="0" fontId="54" fillId="0" borderId="0" xfId="0" applyFont="1" applyFill="1" applyBorder="1" applyProtection="1">
      <protection locked="0"/>
    </xf>
    <xf numFmtId="0" fontId="61" fillId="0" borderId="0" xfId="0" applyFont="1" applyFill="1" applyBorder="1" applyAlignment="1" applyProtection="1">
      <alignment horizontal="left" vertical="center" indent="1"/>
      <protection locked="0"/>
    </xf>
    <xf numFmtId="0" fontId="24" fillId="0" borderId="0" xfId="0" applyNumberFormat="1" applyFont="1" applyAlignment="1" applyProtection="1">
      <alignment horizontal="left"/>
      <protection locked="0"/>
    </xf>
    <xf numFmtId="0" fontId="27" fillId="0" borderId="72" xfId="0" applyFont="1" applyBorder="1" applyProtection="1">
      <protection locked="0"/>
    </xf>
    <xf numFmtId="191" fontId="20" fillId="2" borderId="0" xfId="0" applyNumberFormat="1" applyFont="1" applyFill="1" applyProtection="1">
      <protection locked="0"/>
    </xf>
    <xf numFmtId="187" fontId="20" fillId="2" borderId="0" xfId="0" applyNumberFormat="1" applyFont="1" applyFill="1" applyProtection="1">
      <protection locked="0"/>
    </xf>
    <xf numFmtId="168" fontId="0" fillId="0" borderId="12" xfId="0" applyNumberFormat="1" applyBorder="1" applyAlignment="1">
      <alignment horizontal="left"/>
    </xf>
    <xf numFmtId="0" fontId="1" fillId="0" borderId="0" xfId="6" applyNumberFormat="1" applyFont="1" applyProtection="1">
      <protection locked="0"/>
    </xf>
    <xf numFmtId="0" fontId="59" fillId="0" borderId="72" xfId="6" applyFont="1" applyBorder="1" applyProtection="1">
      <protection locked="0"/>
    </xf>
    <xf numFmtId="0" fontId="24" fillId="0" borderId="72" xfId="0" applyFont="1" applyBorder="1" applyAlignment="1" applyProtection="1">
      <alignment vertical="center"/>
      <protection locked="0"/>
    </xf>
    <xf numFmtId="14" fontId="24" fillId="0" borderId="0" xfId="6" applyNumberFormat="1" applyFont="1" applyFill="1"/>
    <xf numFmtId="0" fontId="55" fillId="19" borderId="0" xfId="0" applyFont="1" applyFill="1" applyProtection="1">
      <protection locked="0"/>
    </xf>
    <xf numFmtId="14" fontId="24" fillId="0" borderId="0" xfId="0" applyNumberFormat="1" applyFont="1" applyAlignment="1">
      <alignment horizontal="left" wrapText="1"/>
    </xf>
    <xf numFmtId="0" fontId="24" fillId="0" borderId="0" xfId="0" applyFont="1" applyAlignment="1" applyProtection="1">
      <alignment horizontal="left" wrapText="1"/>
      <protection locked="0"/>
    </xf>
    <xf numFmtId="190" fontId="24" fillId="0" borderId="0" xfId="0" applyNumberFormat="1" applyFont="1" applyAlignment="1" applyProtection="1">
      <alignment horizontal="left" wrapText="1"/>
      <protection locked="0"/>
    </xf>
    <xf numFmtId="0" fontId="24" fillId="0" borderId="0" xfId="0" applyNumberFormat="1" applyFont="1" applyAlignment="1" applyProtection="1">
      <alignment horizontal="left" wrapText="1"/>
      <protection locked="0"/>
    </xf>
    <xf numFmtId="1" fontId="24" fillId="0" borderId="0" xfId="0" applyNumberFormat="1" applyFont="1" applyAlignment="1" applyProtection="1">
      <alignment horizontal="left" wrapText="1"/>
      <protection locked="0"/>
    </xf>
    <xf numFmtId="1" fontId="24" fillId="0" borderId="0" xfId="0" applyNumberFormat="1" applyFont="1" applyAlignment="1">
      <alignment horizontal="left" wrapText="1"/>
    </xf>
    <xf numFmtId="2" fontId="24" fillId="0" borderId="0" xfId="0" applyNumberFormat="1" applyFont="1" applyAlignment="1" applyProtection="1">
      <alignment horizontal="left" wrapText="1"/>
      <protection locked="0"/>
    </xf>
    <xf numFmtId="0" fontId="24" fillId="0" borderId="0" xfId="6" applyNumberFormat="1" applyFont="1" applyFill="1" applyAlignment="1" applyProtection="1">
      <alignment horizontal="left" wrapText="1"/>
      <protection locked="0"/>
    </xf>
    <xf numFmtId="192" fontId="10" fillId="0" borderId="0" xfId="6" applyNumberFormat="1" applyProtection="1">
      <protection locked="0"/>
    </xf>
    <xf numFmtId="14" fontId="17" fillId="0" borderId="0" xfId="0" applyNumberFormat="1" applyFont="1" applyFill="1" applyProtection="1">
      <protection locked="0"/>
    </xf>
    <xf numFmtId="168" fontId="17" fillId="2" borderId="0" xfId="0" applyNumberFormat="1" applyFont="1" applyFill="1" applyBorder="1" applyProtection="1">
      <protection locked="0"/>
    </xf>
    <xf numFmtId="168" fontId="20" fillId="2" borderId="0" xfId="0" applyNumberFormat="1" applyFont="1" applyFill="1" applyProtection="1">
      <protection locked="0"/>
    </xf>
    <xf numFmtId="14" fontId="17" fillId="0" borderId="0" xfId="0" applyNumberFormat="1" applyFont="1" applyProtection="1">
      <protection locked="0"/>
    </xf>
    <xf numFmtId="3" fontId="63" fillId="0" borderId="0" xfId="0" applyNumberFormat="1" applyFont="1" applyAlignment="1" applyProtection="1">
      <alignment horizontal="left"/>
      <protection locked="0"/>
    </xf>
    <xf numFmtId="166" fontId="63" fillId="0" borderId="0" xfId="0" applyNumberFormat="1" applyFont="1" applyAlignment="1" applyProtection="1">
      <alignment horizontal="left"/>
      <protection locked="0"/>
    </xf>
    <xf numFmtId="1" fontId="63" fillId="0" borderId="0" xfId="0" applyNumberFormat="1" applyFont="1" applyAlignment="1" applyProtection="1">
      <alignment horizontal="left"/>
      <protection locked="0"/>
    </xf>
    <xf numFmtId="185" fontId="62" fillId="0" borderId="44" xfId="0" applyNumberFormat="1" applyFont="1" applyBorder="1" applyAlignment="1" applyProtection="1">
      <alignment horizontal="left"/>
      <protection locked="0"/>
    </xf>
    <xf numFmtId="0" fontId="0" fillId="0" borderId="0" xfId="0" applyBorder="1" applyProtection="1">
      <protection locked="0"/>
    </xf>
    <xf numFmtId="0" fontId="20" fillId="2" borderId="0" xfId="0" applyFont="1" applyFill="1" applyBorder="1" applyProtection="1">
      <protection locked="0"/>
    </xf>
    <xf numFmtId="0" fontId="54" fillId="0" borderId="0" xfId="0" applyFont="1" applyFill="1" applyBorder="1" applyAlignment="1" applyProtection="1">
      <alignment horizontal="left" wrapText="1"/>
      <protection locked="0"/>
    </xf>
    <xf numFmtId="166" fontId="62" fillId="0" borderId="45" xfId="0" applyNumberFormat="1" applyFont="1" applyBorder="1" applyProtection="1">
      <protection locked="0"/>
    </xf>
    <xf numFmtId="0" fontId="23" fillId="2" borderId="5" xfId="0" applyFont="1" applyFill="1" applyBorder="1" applyAlignment="1" applyProtection="1">
      <alignment horizontal="left" vertical="center"/>
    </xf>
    <xf numFmtId="0" fontId="23" fillId="0" borderId="5" xfId="0" applyFont="1" applyFill="1" applyBorder="1" applyAlignment="1" applyProtection="1">
      <alignment horizontal="left" vertical="center"/>
    </xf>
    <xf numFmtId="0" fontId="42" fillId="0" borderId="75" xfId="0" applyFont="1" applyBorder="1" applyProtection="1"/>
    <xf numFmtId="1" fontId="42" fillId="2" borderId="73" xfId="0" applyNumberFormat="1" applyFont="1" applyFill="1" applyBorder="1" applyAlignment="1" applyProtection="1">
      <alignment horizontal="right"/>
    </xf>
    <xf numFmtId="0" fontId="27" fillId="2" borderId="0" xfId="0" applyFont="1" applyFill="1" applyAlignment="1" applyProtection="1">
      <alignment horizontal="right"/>
    </xf>
    <xf numFmtId="0" fontId="27" fillId="2" borderId="0" xfId="0" applyFont="1" applyFill="1" applyAlignment="1" applyProtection="1"/>
    <xf numFmtId="0" fontId="27" fillId="2" borderId="0" xfId="0" applyFont="1" applyFill="1" applyProtection="1"/>
    <xf numFmtId="1" fontId="42" fillId="2" borderId="75" xfId="0" applyNumberFormat="1" applyFont="1" applyFill="1" applyBorder="1" applyAlignment="1" applyProtection="1">
      <alignment horizontal="right"/>
    </xf>
    <xf numFmtId="0" fontId="28" fillId="2" borderId="0" xfId="0" applyFont="1" applyFill="1" applyAlignment="1" applyProtection="1">
      <alignment horizontal="left"/>
    </xf>
    <xf numFmtId="0" fontId="28" fillId="0" borderId="0" xfId="0" applyFont="1" applyAlignment="1" applyProtection="1">
      <alignment horizontal="left"/>
    </xf>
    <xf numFmtId="0" fontId="28" fillId="0" borderId="0" xfId="0" applyFont="1" applyProtection="1"/>
    <xf numFmtId="0" fontId="42" fillId="0" borderId="74" xfId="0" applyFont="1" applyBorder="1" applyProtection="1"/>
    <xf numFmtId="165" fontId="43" fillId="2" borderId="0" xfId="0" applyNumberFormat="1" applyFont="1" applyFill="1" applyAlignment="1" applyProtection="1">
      <alignment horizontal="center" vertical="center"/>
    </xf>
    <xf numFmtId="0" fontId="42" fillId="2" borderId="74" xfId="0" applyFont="1" applyFill="1" applyBorder="1" applyProtection="1"/>
    <xf numFmtId="0" fontId="42" fillId="2" borderId="75" xfId="0" applyFont="1" applyFill="1" applyBorder="1" applyProtection="1"/>
    <xf numFmtId="0" fontId="44" fillId="0" borderId="0" xfId="0" quotePrefix="1" applyFont="1" applyAlignment="1" applyProtection="1">
      <alignment horizontal="left"/>
    </xf>
    <xf numFmtId="0" fontId="27" fillId="0" borderId="0" xfId="0" applyFont="1" applyProtection="1"/>
    <xf numFmtId="0" fontId="27" fillId="0" borderId="5" xfId="0" applyFont="1" applyBorder="1" applyProtection="1"/>
    <xf numFmtId="0" fontId="20" fillId="0" borderId="5" xfId="0" applyFont="1" applyBorder="1" applyProtection="1"/>
    <xf numFmtId="0" fontId="27" fillId="0" borderId="42" xfId="0" applyFont="1" applyBorder="1" applyProtection="1"/>
    <xf numFmtId="0" fontId="20" fillId="0" borderId="48" xfId="0" applyFont="1" applyBorder="1" applyProtection="1"/>
    <xf numFmtId="0" fontId="27" fillId="0" borderId="48" xfId="0" applyFont="1" applyBorder="1" applyProtection="1"/>
    <xf numFmtId="0" fontId="20" fillId="0" borderId="41" xfId="0" applyFont="1" applyBorder="1" applyProtection="1"/>
    <xf numFmtId="0" fontId="27" fillId="0" borderId="40" xfId="0" applyFont="1" applyBorder="1" applyProtection="1"/>
    <xf numFmtId="0" fontId="20" fillId="0" borderId="20" xfId="0" applyFont="1" applyBorder="1" applyProtection="1"/>
    <xf numFmtId="0" fontId="27" fillId="0" borderId="20" xfId="0" applyFont="1" applyBorder="1" applyProtection="1"/>
    <xf numFmtId="0" fontId="20" fillId="0" borderId="39" xfId="0" applyFont="1" applyBorder="1" applyProtection="1"/>
    <xf numFmtId="0" fontId="27" fillId="0" borderId="49" xfId="0" applyFont="1" applyBorder="1" applyProtection="1"/>
    <xf numFmtId="0" fontId="27" fillId="2" borderId="0" xfId="0" applyFont="1" applyFill="1" applyBorder="1" applyProtection="1"/>
    <xf numFmtId="0" fontId="27" fillId="2" borderId="50" xfId="0" applyFont="1" applyFill="1" applyBorder="1" applyProtection="1"/>
    <xf numFmtId="0" fontId="27" fillId="2" borderId="51" xfId="0" applyFont="1" applyFill="1" applyBorder="1" applyAlignment="1" applyProtection="1">
      <alignment vertical="center"/>
    </xf>
    <xf numFmtId="0" fontId="27" fillId="2" borderId="10" xfId="0" applyFont="1" applyFill="1" applyBorder="1" applyAlignment="1" applyProtection="1">
      <alignment vertical="center"/>
    </xf>
    <xf numFmtId="0" fontId="23" fillId="2" borderId="10" xfId="0" applyFont="1" applyFill="1" applyBorder="1" applyAlignment="1" applyProtection="1">
      <alignment vertical="center"/>
    </xf>
    <xf numFmtId="0" fontId="57" fillId="0" borderId="52" xfId="0" applyFont="1" applyBorder="1" applyAlignment="1" applyProtection="1">
      <alignment horizontal="center"/>
    </xf>
    <xf numFmtId="0" fontId="27" fillId="2" borderId="51" xfId="0" applyFont="1" applyFill="1" applyBorder="1" applyAlignment="1" applyProtection="1">
      <alignment vertical="center" wrapText="1"/>
    </xf>
    <xf numFmtId="0" fontId="62" fillId="2" borderId="10" xfId="0" applyFont="1" applyFill="1" applyBorder="1" applyAlignment="1" applyProtection="1">
      <alignment horizontal="center"/>
    </xf>
    <xf numFmtId="0" fontId="23" fillId="2" borderId="10" xfId="0" applyFont="1" applyFill="1" applyBorder="1" applyAlignment="1" applyProtection="1">
      <alignment horizontal="left" vertical="center"/>
    </xf>
    <xf numFmtId="0" fontId="20" fillId="2" borderId="10" xfId="0" applyFont="1" applyFill="1" applyBorder="1" applyAlignment="1" applyProtection="1">
      <alignment horizontal="center"/>
    </xf>
    <xf numFmtId="0" fontId="20" fillId="0" borderId="52" xfId="0" applyFont="1" applyBorder="1" applyProtection="1"/>
    <xf numFmtId="0" fontId="27" fillId="2" borderId="53" xfId="0" applyFont="1" applyFill="1" applyBorder="1" applyAlignment="1" applyProtection="1">
      <alignment vertical="center"/>
    </xf>
    <xf numFmtId="0" fontId="62" fillId="2" borderId="11" xfId="0" applyFont="1" applyFill="1" applyBorder="1" applyAlignment="1" applyProtection="1">
      <alignment horizontal="center"/>
    </xf>
    <xf numFmtId="0" fontId="23" fillId="2" borderId="11" xfId="0" applyFont="1" applyFill="1" applyBorder="1" applyAlignment="1" applyProtection="1">
      <alignment horizontal="left" vertical="center"/>
    </xf>
    <xf numFmtId="0" fontId="20" fillId="2" borderId="11" xfId="0" applyFont="1" applyFill="1" applyBorder="1" applyAlignment="1" applyProtection="1">
      <alignment horizontal="center"/>
    </xf>
    <xf numFmtId="0" fontId="20" fillId="0" borderId="54" xfId="0" applyFont="1" applyBorder="1" applyProtection="1"/>
    <xf numFmtId="0" fontId="27" fillId="2" borderId="55" xfId="0" applyFont="1" applyFill="1" applyBorder="1" applyAlignment="1" applyProtection="1">
      <alignment vertical="center"/>
    </xf>
    <xf numFmtId="0" fontId="20" fillId="2" borderId="56" xfId="0" applyFont="1" applyFill="1" applyBorder="1" applyAlignment="1" applyProtection="1">
      <alignment horizontal="center"/>
    </xf>
    <xf numFmtId="0" fontId="27" fillId="0" borderId="56" xfId="0" applyFont="1" applyBorder="1" applyProtection="1"/>
    <xf numFmtId="0" fontId="20" fillId="0" borderId="56" xfId="0" applyFont="1" applyBorder="1" applyProtection="1"/>
    <xf numFmtId="0" fontId="40" fillId="0" borderId="39" xfId="0" applyFont="1" applyFill="1" applyBorder="1" applyProtection="1"/>
    <xf numFmtId="0" fontId="27" fillId="2" borderId="38" xfId="0" applyFont="1" applyFill="1" applyBorder="1" applyAlignment="1" applyProtection="1">
      <alignment vertical="center"/>
    </xf>
    <xf numFmtId="0" fontId="17" fillId="0" borderId="47" xfId="0" applyFont="1" applyBorder="1" applyProtection="1"/>
    <xf numFmtId="0" fontId="27" fillId="0" borderId="47" xfId="0" applyFont="1" applyBorder="1" applyProtection="1"/>
    <xf numFmtId="0" fontId="27" fillId="2" borderId="47" xfId="0" applyFont="1" applyFill="1" applyBorder="1" applyAlignment="1" applyProtection="1">
      <alignment horizontal="center"/>
    </xf>
    <xf numFmtId="0" fontId="20" fillId="0" borderId="47" xfId="0" applyFont="1" applyBorder="1" applyProtection="1"/>
    <xf numFmtId="0" fontId="27" fillId="2" borderId="37" xfId="0" applyFont="1" applyFill="1" applyBorder="1" applyAlignment="1" applyProtection="1">
      <alignment horizontal="center"/>
    </xf>
    <xf numFmtId="0" fontId="27" fillId="2" borderId="4" xfId="0" applyFont="1" applyFill="1" applyBorder="1" applyAlignment="1" applyProtection="1">
      <alignment vertical="center"/>
    </xf>
    <xf numFmtId="166" fontId="62" fillId="0" borderId="0" xfId="0" applyNumberFormat="1" applyFont="1" applyAlignment="1" applyProtection="1">
      <alignment horizontal="center" vertical="center"/>
    </xf>
    <xf numFmtId="0" fontId="23" fillId="2" borderId="0" xfId="0" applyFont="1" applyFill="1" applyAlignment="1" applyProtection="1">
      <alignment horizontal="right" vertical="center"/>
    </xf>
    <xf numFmtId="0" fontId="20" fillId="0" borderId="0" xfId="0" applyFont="1" applyProtection="1"/>
    <xf numFmtId="0" fontId="27" fillId="2" borderId="5" xfId="0" applyFont="1" applyFill="1" applyBorder="1" applyAlignment="1" applyProtection="1">
      <alignment horizontal="center"/>
    </xf>
    <xf numFmtId="0" fontId="27" fillId="2" borderId="0" xfId="0" applyFont="1" applyFill="1" applyAlignment="1" applyProtection="1">
      <alignment horizontal="center"/>
    </xf>
    <xf numFmtId="0" fontId="54" fillId="0" borderId="0" xfId="0" applyFont="1" applyFill="1" applyAlignment="1" applyProtection="1">
      <alignment horizontal="left" wrapText="1"/>
    </xf>
    <xf numFmtId="0" fontId="54" fillId="0" borderId="0" xfId="0" applyFont="1" applyFill="1" applyBorder="1" applyAlignment="1" applyProtection="1">
      <alignment horizontal="left" wrapText="1"/>
    </xf>
    <xf numFmtId="1" fontId="29" fillId="26" borderId="0" xfId="0" applyNumberFormat="1" applyFont="1" applyFill="1" applyBorder="1" applyAlignment="1" applyProtection="1">
      <alignment horizontal="left"/>
      <protection locked="0"/>
    </xf>
    <xf numFmtId="0" fontId="29" fillId="26" borderId="0" xfId="0" applyNumberFormat="1" applyFont="1" applyFill="1" applyBorder="1" applyAlignment="1" applyProtection="1">
      <alignment horizontal="left"/>
      <protection locked="0"/>
    </xf>
    <xf numFmtId="3" fontId="29" fillId="26" borderId="43" xfId="0" applyNumberFormat="1" applyFont="1" applyFill="1" applyBorder="1" applyAlignment="1" applyProtection="1">
      <alignment horizontal="left"/>
    </xf>
    <xf numFmtId="182" fontId="29" fillId="26" borderId="0" xfId="0" applyNumberFormat="1" applyFont="1" applyFill="1" applyBorder="1" applyAlignment="1" applyProtection="1">
      <alignment horizontal="left"/>
      <protection locked="0"/>
    </xf>
    <xf numFmtId="183" fontId="29" fillId="26" borderId="0" xfId="0" applyNumberFormat="1" applyFont="1" applyFill="1" applyBorder="1" applyAlignment="1" applyProtection="1">
      <alignment horizontal="left"/>
      <protection locked="0"/>
    </xf>
    <xf numFmtId="3" fontId="29" fillId="26" borderId="0" xfId="0" applyNumberFormat="1" applyFont="1" applyFill="1" applyBorder="1" applyAlignment="1" applyProtection="1">
      <alignment horizontal="left"/>
      <protection locked="0"/>
    </xf>
    <xf numFmtId="166" fontId="29" fillId="26" borderId="0" xfId="0" applyNumberFormat="1" applyFont="1" applyFill="1" applyBorder="1" applyAlignment="1" applyProtection="1">
      <alignment horizontal="left"/>
      <protection locked="0"/>
    </xf>
    <xf numFmtId="1" fontId="29" fillId="0" borderId="0" xfId="0" applyNumberFormat="1" applyFont="1" applyFill="1" applyBorder="1" applyAlignment="1" applyProtection="1">
      <alignment horizontal="left"/>
      <protection locked="0"/>
    </xf>
    <xf numFmtId="0" fontId="29" fillId="0" borderId="0" xfId="0" applyNumberFormat="1" applyFont="1" applyFill="1" applyBorder="1" applyAlignment="1" applyProtection="1">
      <alignment horizontal="left"/>
      <protection locked="0"/>
    </xf>
    <xf numFmtId="3" fontId="29" fillId="0" borderId="43" xfId="0" applyNumberFormat="1" applyFont="1" applyFill="1" applyBorder="1" applyAlignment="1" applyProtection="1">
      <alignment horizontal="left"/>
    </xf>
    <xf numFmtId="182" fontId="29" fillId="0" borderId="0" xfId="0" applyNumberFormat="1" applyFont="1" applyFill="1" applyBorder="1" applyAlignment="1" applyProtection="1">
      <alignment horizontal="left"/>
      <protection locked="0"/>
    </xf>
    <xf numFmtId="183" fontId="29" fillId="0" borderId="0" xfId="0" applyNumberFormat="1" applyFont="1" applyFill="1" applyBorder="1" applyAlignment="1" applyProtection="1">
      <alignment horizontal="left"/>
      <protection locked="0"/>
    </xf>
    <xf numFmtId="3" fontId="29" fillId="0" borderId="0" xfId="0" applyNumberFormat="1" applyFont="1" applyFill="1" applyBorder="1" applyAlignment="1" applyProtection="1">
      <alignment horizontal="left"/>
      <protection locked="0"/>
    </xf>
    <xf numFmtId="166" fontId="29" fillId="0" borderId="0" xfId="0" applyNumberFormat="1" applyFont="1" applyFill="1" applyBorder="1" applyAlignment="1" applyProtection="1">
      <alignment horizontal="left"/>
      <protection locked="0"/>
    </xf>
    <xf numFmtId="1" fontId="29" fillId="0" borderId="0" xfId="0" applyNumberFormat="1" applyFont="1" applyFill="1" applyAlignment="1" applyProtection="1">
      <alignment horizontal="left"/>
      <protection locked="0"/>
    </xf>
    <xf numFmtId="168" fontId="29" fillId="0" borderId="0" xfId="0" applyNumberFormat="1" applyFont="1" applyFill="1" applyAlignment="1" applyProtection="1">
      <alignment horizontal="left"/>
      <protection locked="0"/>
    </xf>
    <xf numFmtId="0" fontId="29" fillId="0" borderId="0" xfId="0" applyNumberFormat="1" applyFont="1" applyFill="1" applyAlignment="1" applyProtection="1">
      <alignment horizontal="left"/>
      <protection locked="0"/>
    </xf>
    <xf numFmtId="179" fontId="29" fillId="0" borderId="0" xfId="0" applyNumberFormat="1" applyFont="1" applyFill="1" applyAlignment="1" applyProtection="1">
      <alignment horizontal="left"/>
      <protection locked="0"/>
    </xf>
    <xf numFmtId="164" fontId="29" fillId="0" borderId="0" xfId="0" applyNumberFormat="1" applyFont="1" applyFill="1" applyAlignment="1" applyProtection="1">
      <alignment horizontal="left"/>
    </xf>
    <xf numFmtId="181" fontId="63" fillId="0" borderId="0" xfId="0" applyNumberFormat="1" applyFont="1" applyFill="1" applyAlignment="1" applyProtection="1">
      <alignment horizontal="left"/>
    </xf>
    <xf numFmtId="3" fontId="29" fillId="0" borderId="0" xfId="0" applyNumberFormat="1" applyFont="1" applyFill="1" applyAlignment="1" applyProtection="1">
      <alignment horizontal="left"/>
    </xf>
    <xf numFmtId="1" fontId="0" fillId="0" borderId="57" xfId="0" applyNumberFormat="1" applyBorder="1"/>
    <xf numFmtId="168" fontId="29" fillId="26" borderId="0" xfId="0" applyNumberFormat="1" applyFont="1" applyFill="1" applyBorder="1" applyAlignment="1" applyProtection="1">
      <alignment horizontal="left"/>
      <protection locked="0"/>
    </xf>
    <xf numFmtId="179" fontId="29" fillId="26" borderId="0" xfId="0" applyNumberFormat="1" applyFont="1" applyFill="1" applyBorder="1" applyAlignment="1" applyProtection="1">
      <alignment horizontal="left"/>
      <protection locked="0"/>
    </xf>
    <xf numFmtId="164" fontId="29" fillId="26" borderId="0" xfId="0" applyNumberFormat="1" applyFont="1" applyFill="1" applyBorder="1" applyAlignment="1" applyProtection="1">
      <alignment horizontal="left"/>
    </xf>
    <xf numFmtId="181" fontId="63" fillId="26" borderId="0" xfId="0" applyNumberFormat="1" applyFont="1" applyFill="1" applyBorder="1" applyAlignment="1" applyProtection="1">
      <alignment horizontal="left"/>
    </xf>
    <xf numFmtId="3" fontId="29" fillId="26" borderId="0" xfId="0" applyNumberFormat="1" applyFont="1" applyFill="1" applyBorder="1" applyAlignment="1" applyProtection="1">
      <alignment horizontal="left"/>
    </xf>
    <xf numFmtId="0" fontId="27" fillId="0" borderId="0" xfId="0" quotePrefix="1" applyFont="1" applyBorder="1" applyAlignment="1" applyProtection="1">
      <alignment horizontal="center"/>
      <protection locked="0"/>
    </xf>
    <xf numFmtId="0" fontId="27" fillId="2" borderId="0" xfId="0" applyFont="1" applyFill="1" applyBorder="1" applyProtection="1">
      <protection locked="0"/>
    </xf>
    <xf numFmtId="0" fontId="20" fillId="8" borderId="0" xfId="0" applyFont="1" applyFill="1" applyBorder="1" applyAlignment="1" applyProtection="1">
      <alignment horizontal="left" vertical="top" wrapText="1"/>
      <protection locked="0"/>
    </xf>
    <xf numFmtId="0" fontId="20" fillId="8" borderId="0" xfId="0" applyFont="1" applyFill="1" applyBorder="1" applyAlignment="1" applyProtection="1">
      <alignment horizontal="left" vertical="top"/>
      <protection locked="0"/>
    </xf>
    <xf numFmtId="0" fontId="27" fillId="6" borderId="0" xfId="0" applyFont="1" applyFill="1" applyBorder="1" applyProtection="1">
      <protection locked="0"/>
    </xf>
    <xf numFmtId="0" fontId="27" fillId="6" borderId="0" xfId="0" applyFont="1" applyFill="1" applyProtection="1">
      <protection locked="0"/>
    </xf>
    <xf numFmtId="0" fontId="27" fillId="6" borderId="36" xfId="0" applyFont="1" applyFill="1" applyBorder="1" applyProtection="1">
      <protection locked="0"/>
    </xf>
    <xf numFmtId="0" fontId="27" fillId="8" borderId="34" xfId="0" applyFont="1" applyFill="1" applyBorder="1" applyAlignment="1" applyProtection="1">
      <alignment horizontal="left" vertical="top" wrapText="1"/>
      <protection locked="0"/>
    </xf>
    <xf numFmtId="0" fontId="27" fillId="8" borderId="34" xfId="0" applyFont="1" applyFill="1" applyBorder="1" applyAlignment="1" applyProtection="1">
      <alignment horizontal="left" vertical="top"/>
      <protection locked="0"/>
    </xf>
    <xf numFmtId="0" fontId="27" fillId="8" borderId="39" xfId="0" applyFont="1" applyFill="1" applyBorder="1" applyAlignment="1" applyProtection="1">
      <alignment horizontal="left" vertical="top" wrapText="1"/>
      <protection locked="0"/>
    </xf>
    <xf numFmtId="0" fontId="27" fillId="6" borderId="60" xfId="0" applyFont="1" applyFill="1" applyBorder="1" applyProtection="1">
      <protection locked="0"/>
    </xf>
    <xf numFmtId="0" fontId="27" fillId="8" borderId="67" xfId="0" applyFont="1" applyFill="1" applyBorder="1" applyAlignment="1" applyProtection="1">
      <alignment horizontal="left" vertical="top" wrapText="1"/>
      <protection locked="0"/>
    </xf>
    <xf numFmtId="0" fontId="27" fillId="8" borderId="70" xfId="0" applyFont="1" applyFill="1" applyBorder="1" applyAlignment="1" applyProtection="1">
      <alignment horizontal="left" vertical="top" wrapText="1"/>
      <protection locked="0"/>
    </xf>
    <xf numFmtId="0" fontId="1" fillId="0" borderId="0" xfId="6" applyFont="1" applyProtection="1">
      <protection locked="0"/>
    </xf>
    <xf numFmtId="0" fontId="17" fillId="7" borderId="0" xfId="0" applyFont="1" applyFill="1" applyBorder="1" applyAlignment="1" applyProtection="1">
      <alignment horizontal="left" vertical="top" wrapText="1" indent="1"/>
      <protection locked="0"/>
    </xf>
    <xf numFmtId="0" fontId="17" fillId="7" borderId="0" xfId="0" applyFont="1" applyFill="1" applyBorder="1" applyAlignment="1" applyProtection="1">
      <alignment horizontal="left" vertical="top" indent="1"/>
      <protection locked="0"/>
    </xf>
    <xf numFmtId="0" fontId="17" fillId="7" borderId="33" xfId="0" applyFont="1" applyFill="1" applyBorder="1" applyAlignment="1" applyProtection="1">
      <alignment horizontal="left" vertical="center" wrapText="1"/>
      <protection locked="0"/>
    </xf>
    <xf numFmtId="0" fontId="17" fillId="7" borderId="33" xfId="0" applyFont="1" applyFill="1" applyBorder="1" applyAlignment="1" applyProtection="1">
      <alignment vertical="top"/>
      <protection locked="0"/>
    </xf>
    <xf numFmtId="0" fontId="20" fillId="7" borderId="33" xfId="0" applyNumberFormat="1" applyFont="1" applyFill="1" applyBorder="1" applyAlignment="1" applyProtection="1">
      <alignment vertical="top"/>
      <protection locked="0"/>
    </xf>
    <xf numFmtId="0" fontId="17" fillId="7" borderId="0" xfId="0" applyFont="1" applyFill="1" applyBorder="1" applyAlignment="1" applyProtection="1">
      <alignment vertical="top"/>
      <protection locked="0"/>
    </xf>
    <xf numFmtId="0" fontId="1" fillId="0" borderId="72" xfId="6" applyFont="1" applyBorder="1" applyProtection="1">
      <protection locked="0"/>
    </xf>
    <xf numFmtId="0" fontId="0" fillId="0" borderId="0" xfId="0" applyFont="1" applyFill="1" applyBorder="1" applyProtection="1">
      <protection locked="0"/>
    </xf>
    <xf numFmtId="0" fontId="20" fillId="20" borderId="72" xfId="0" applyFont="1" applyFill="1" applyBorder="1" applyProtection="1">
      <protection locked="0"/>
    </xf>
    <xf numFmtId="0" fontId="20" fillId="0" borderId="72" xfId="0" applyFont="1" applyBorder="1" applyProtection="1">
      <protection locked="0"/>
    </xf>
    <xf numFmtId="0" fontId="65" fillId="0" borderId="0" xfId="5" applyFont="1" applyFill="1" applyBorder="1" applyProtection="1">
      <protection locked="0"/>
    </xf>
    <xf numFmtId="0" fontId="20" fillId="21" borderId="72" xfId="0" applyFont="1" applyFill="1" applyBorder="1" applyProtection="1">
      <protection locked="0"/>
    </xf>
    <xf numFmtId="0" fontId="20" fillId="2" borderId="72" xfId="0" applyFont="1" applyFill="1" applyBorder="1" applyProtection="1">
      <protection locked="0"/>
    </xf>
    <xf numFmtId="0" fontId="17" fillId="7" borderId="0" xfId="0" applyFont="1" applyFill="1" applyBorder="1" applyAlignment="1" applyProtection="1">
      <alignment horizontal="left" vertical="center" wrapText="1"/>
      <protection locked="0"/>
    </xf>
    <xf numFmtId="0" fontId="20" fillId="7" borderId="0" xfId="0" applyNumberFormat="1" applyFont="1" applyFill="1" applyBorder="1" applyAlignment="1" applyProtection="1">
      <alignment vertical="top"/>
      <protection locked="0"/>
    </xf>
    <xf numFmtId="0" fontId="15" fillId="16" borderId="33" xfId="5" applyFill="1" applyBorder="1" applyProtection="1">
      <protection locked="0"/>
    </xf>
    <xf numFmtId="0" fontId="0" fillId="0" borderId="76" xfId="0" pivotButton="1" applyBorder="1"/>
    <xf numFmtId="0" fontId="0" fillId="0" borderId="76" xfId="0" applyBorder="1"/>
    <xf numFmtId="186" fontId="0" fillId="0" borderId="77" xfId="0" applyNumberFormat="1" applyBorder="1"/>
    <xf numFmtId="1" fontId="0" fillId="0" borderId="76" xfId="0" applyNumberFormat="1" applyBorder="1"/>
    <xf numFmtId="1" fontId="0" fillId="0" borderId="77" xfId="0" applyNumberFormat="1" applyBorder="1"/>
    <xf numFmtId="0" fontId="17" fillId="24" borderId="0" xfId="0" applyFont="1" applyFill="1" applyBorder="1" applyAlignment="1" applyProtection="1">
      <alignment horizontal="center"/>
      <protection locked="0"/>
    </xf>
    <xf numFmtId="0" fontId="17" fillId="25" borderId="0" xfId="0" applyFont="1" applyFill="1" applyBorder="1" applyAlignment="1" applyProtection="1">
      <alignment horizontal="center"/>
      <protection locked="0"/>
    </xf>
    <xf numFmtId="0" fontId="19" fillId="22" borderId="0" xfId="0" applyFont="1" applyFill="1" applyBorder="1" applyAlignment="1" applyProtection="1">
      <alignment horizontal="center"/>
      <protection locked="0"/>
    </xf>
    <xf numFmtId="0" fontId="17" fillId="23" borderId="0" xfId="0" applyFont="1" applyFill="1" applyBorder="1" applyAlignment="1" applyProtection="1">
      <alignment horizontal="center"/>
      <protection locked="0"/>
    </xf>
    <xf numFmtId="0" fontId="18" fillId="2" borderId="7" xfId="0" applyFont="1" applyFill="1" applyBorder="1" applyAlignment="1" applyProtection="1">
      <alignment horizontal="left" vertical="center"/>
    </xf>
    <xf numFmtId="0" fontId="18" fillId="2" borderId="8" xfId="0" applyFont="1" applyFill="1" applyBorder="1" applyAlignment="1" applyProtection="1">
      <alignment horizontal="left" vertical="center"/>
    </xf>
    <xf numFmtId="0" fontId="18" fillId="2" borderId="9" xfId="0" applyFont="1" applyFill="1" applyBorder="1" applyAlignment="1" applyProtection="1">
      <alignment horizontal="left" vertical="center"/>
    </xf>
    <xf numFmtId="0" fontId="48" fillId="2" borderId="0" xfId="5" applyFont="1" applyFill="1" applyBorder="1" applyAlignment="1" applyProtection="1">
      <alignment horizontal="left" vertical="center"/>
    </xf>
    <xf numFmtId="0" fontId="48" fillId="2" borderId="5" xfId="5" applyFont="1" applyFill="1" applyBorder="1" applyAlignment="1" applyProtection="1">
      <alignment horizontal="left" vertical="center"/>
    </xf>
    <xf numFmtId="0" fontId="27" fillId="2" borderId="0" xfId="0" applyFont="1" applyFill="1" applyBorder="1" applyAlignment="1" applyProtection="1">
      <alignment vertical="center"/>
    </xf>
    <xf numFmtId="0" fontId="27" fillId="2" borderId="5" xfId="0" applyFont="1" applyFill="1" applyBorder="1" applyAlignment="1" applyProtection="1">
      <alignment vertical="center"/>
    </xf>
    <xf numFmtId="165" fontId="20" fillId="0" borderId="0" xfId="0" applyNumberFormat="1" applyFont="1" applyAlignment="1" applyProtection="1">
      <alignment horizontal="left"/>
    </xf>
    <xf numFmtId="0" fontId="36" fillId="4" borderId="0" xfId="0" applyFont="1" applyFill="1" applyAlignment="1" applyProtection="1">
      <alignment horizontal="center" vertical="center"/>
      <protection locked="0"/>
    </xf>
    <xf numFmtId="0" fontId="27" fillId="0" borderId="0" xfId="0" applyFont="1" applyAlignment="1">
      <alignment horizontal="center"/>
    </xf>
    <xf numFmtId="189" fontId="0" fillId="0" borderId="12" xfId="0" applyNumberFormat="1" applyBorder="1"/>
    <xf numFmtId="189" fontId="0" fillId="0" borderId="16" xfId="0" applyNumberFormat="1" applyBorder="1"/>
    <xf numFmtId="189" fontId="0" fillId="0" borderId="18" xfId="0" applyNumberFormat="1" applyBorder="1"/>
    <xf numFmtId="189" fontId="0" fillId="0" borderId="15" xfId="0" applyNumberFormat="1" applyBorder="1"/>
    <xf numFmtId="189" fontId="0" fillId="0" borderId="17" xfId="0" applyNumberFormat="1" applyBorder="1"/>
    <xf numFmtId="189" fontId="0" fillId="0" borderId="19" xfId="0" applyNumberFormat="1" applyBorder="1"/>
    <xf numFmtId="0" fontId="0" fillId="0" borderId="15" xfId="0" applyBorder="1" applyAlignment="1">
      <alignment horizontal="left"/>
    </xf>
    <xf numFmtId="189" fontId="0" fillId="0" borderId="57" xfId="0" applyNumberFormat="1" applyBorder="1"/>
    <xf numFmtId="189" fontId="0" fillId="0" borderId="59" xfId="0" applyNumberFormat="1" applyBorder="1"/>
    <xf numFmtId="189" fontId="0" fillId="0" borderId="58" xfId="0" applyNumberFormat="1" applyBorder="1"/>
    <xf numFmtId="166" fontId="0" fillId="0" borderId="18" xfId="0" applyNumberFormat="1" applyBorder="1"/>
    <xf numFmtId="166" fontId="0" fillId="0" borderId="19" xfId="0" applyNumberFormat="1" applyBorder="1"/>
  </cellXfs>
  <cellStyles count="24">
    <cellStyle name="ConditionalStyle_1" xfId="7" xr:uid="{9FBB2D1D-5CD3-489E-A89B-A67E3E529830}"/>
    <cellStyle name="Excel Built-in Comma" xfId="8" xr:uid="{F8E48156-6AEA-428A-A396-3517070EC33C}"/>
    <cellStyle name="Excel Built-in Hyperlink" xfId="4" xr:uid="{9FE7CBB2-9EC7-4625-B2EB-3B7C8E1311CB}"/>
    <cellStyle name="Excel Built-in Normal" xfId="9" xr:uid="{8F2CFB5B-696C-492C-A3CC-8F1EFDF9B3B6}"/>
    <cellStyle name="Excel Built-in Normal 1" xfId="1" xr:uid="{16450BE7-A347-4CF4-9F69-8F6CA68D4DFA}"/>
    <cellStyle name="Excel Built-in Normal 2" xfId="3" xr:uid="{94D6963E-711E-4B07-B218-B91626489826}"/>
    <cellStyle name="Excel Built-in Normal 3" xfId="10" xr:uid="{9817F735-33C6-47E9-8887-2979286CCB71}"/>
    <cellStyle name="Heading" xfId="11" xr:uid="{B0A55805-AEA5-4A6E-939B-6C8260332990}"/>
    <cellStyle name="Heading1" xfId="12" xr:uid="{9A80C4B7-75ED-476D-AFE9-2B84E3BF304B}"/>
    <cellStyle name="Hyperlink" xfId="5" builtinId="8"/>
    <cellStyle name="Normal" xfId="0" builtinId="0"/>
    <cellStyle name="Normal 2" xfId="2" xr:uid="{6A688435-53D6-4E59-BE82-D74970FF23E8}"/>
    <cellStyle name="Normal 3" xfId="6" xr:uid="{923712FC-597A-4DD6-A2AB-1C000EC22DDF}"/>
    <cellStyle name="Percent" xfId="23" builtinId="5"/>
    <cellStyle name="Result" xfId="13" xr:uid="{55FB3895-1121-48B2-8EB3-151F35B28F22}"/>
    <cellStyle name="Result2" xfId="14" xr:uid="{134C03C9-791F-40AE-9F72-BA5CB1C87ED3}"/>
    <cellStyle name="Untitled1" xfId="15" xr:uid="{B1008C50-93DD-4DD4-BEB6-C9477CD758F5}"/>
    <cellStyle name="Untitled2" xfId="16" xr:uid="{52212A27-C48E-4890-AA04-0EF72DB8C8C4}"/>
    <cellStyle name="Untitled3" xfId="17" xr:uid="{E1B311A7-EBB7-4509-AFC8-4AE21F502319}"/>
    <cellStyle name="Untitled4" xfId="18" xr:uid="{A98AF483-EE99-486C-A3D8-44CBFBAE7F5C}"/>
    <cellStyle name="Untitled5" xfId="19" xr:uid="{600B6D14-2F18-49DD-AD8F-B9AA361DED88}"/>
    <cellStyle name="Untitled6" xfId="20" xr:uid="{62858307-6CA7-452B-980C-96E706AA66FE}"/>
    <cellStyle name="Untitled7" xfId="21" xr:uid="{CDF04BB0-05FB-45CB-8A75-4A0B82B8A3CF}"/>
    <cellStyle name="Untitled8" xfId="22" xr:uid="{FA01B70E-6157-4BC0-BBE2-0F4A687C1645}"/>
  </cellStyles>
  <dxfs count="237">
    <dxf>
      <font>
        <b val="0"/>
        <i val="0"/>
        <strike val="0"/>
        <condense val="0"/>
        <extend val="0"/>
        <outline val="0"/>
        <shadow val="0"/>
        <u val="none"/>
        <vertAlign val="baseline"/>
        <sz val="12"/>
        <color rgb="FF000000"/>
        <name val="Arial Nova"/>
        <family val="2"/>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fill>
        <patternFill patternType="none">
          <fgColor indexed="64"/>
          <bgColor indexed="65"/>
        </patternFill>
      </fill>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3" formatCode="00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border outline="0">
        <left style="thin">
          <color rgb="FFC7C7C7"/>
        </left>
        <right/>
      </border>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border diagonalUp="0" diagonalDown="0" outline="0">
        <left/>
        <right style="thin">
          <color rgb="FFC7C7C7"/>
        </right>
        <top/>
        <bottom/>
      </border>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79" formatCode="ddd\ 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66" formatCode="0.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i val="0"/>
        <strike val="0"/>
        <condense val="0"/>
        <extend val="0"/>
        <outline val="0"/>
        <shadow val="0"/>
        <u val="none"/>
        <vertAlign val="baseline"/>
        <sz val="12"/>
        <color theme="1"/>
        <name val="Arial Nova"/>
        <family val="2"/>
        <scheme val="none"/>
      </font>
      <protection locked="0" hidden="0"/>
    </dxf>
    <dxf>
      <font>
        <strike val="0"/>
        <outline val="0"/>
        <shadow val="0"/>
        <vertAlign val="baseline"/>
        <color theme="1"/>
      </font>
      <protection locked="0" hidden="0"/>
    </dxf>
    <dxf>
      <font>
        <strike val="0"/>
        <outline val="0"/>
        <shadow val="0"/>
        <vertAlign val="baseline"/>
        <color theme="1"/>
      </font>
      <protection locked="0" hidden="0"/>
    </dxf>
    <dxf>
      <font>
        <strike val="0"/>
        <outline val="0"/>
        <shadow val="0"/>
        <vertAlign val="baseline"/>
        <color theme="1"/>
      </font>
      <protection locked="0" hidden="0"/>
    </dxf>
    <dxf>
      <font>
        <strike val="0"/>
        <outline val="0"/>
        <shadow val="0"/>
        <vertAlign val="baseline"/>
        <color theme="1"/>
      </font>
      <protection locked="0" hidden="0"/>
    </dxf>
    <dxf>
      <border outline="0">
        <left style="thin">
          <color rgb="FFBEE296"/>
        </left>
        <right style="thin">
          <color rgb="FFBEE296"/>
        </right>
        <top style="thin">
          <color rgb="FFBEE296"/>
        </top>
        <bottom style="thin">
          <color rgb="FFBEE296"/>
        </bottom>
      </border>
    </dxf>
    <dxf>
      <font>
        <strike val="0"/>
        <outline val="0"/>
        <shadow val="0"/>
        <vertAlign val="baseline"/>
        <color theme="1"/>
        <family val="2"/>
      </font>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fill>
        <patternFill patternType="solid">
          <fgColor theme="0" tint="-0.14999847407452621"/>
          <bgColor theme="0" tint="-0.14999847407452621"/>
        </patternFill>
      </fill>
      <border diagonalUp="0" diagonalDown="0" outline="0">
        <left/>
        <right style="thin">
          <color indexed="64"/>
        </right>
        <top style="thin">
          <color indexed="64"/>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color theme="1"/>
        <family val="2"/>
      </font>
      <protection locked="0" hidden="0"/>
    </dxf>
    <dxf>
      <border outline="0">
        <bottom style="thin">
          <color rgb="FF000000"/>
        </bottom>
      </border>
    </dxf>
    <dxf>
      <font>
        <b/>
        <i val="0"/>
        <strike val="0"/>
        <condense val="0"/>
        <extend val="0"/>
        <outline val="0"/>
        <shadow val="0"/>
        <u val="none"/>
        <vertAlign val="baseline"/>
        <sz val="12"/>
        <color theme="1"/>
        <name val="Arial Nova"/>
        <family val="2"/>
        <scheme val="none"/>
      </font>
      <fill>
        <patternFill patternType="solid">
          <fgColor theme="6"/>
          <bgColor theme="6"/>
        </patternFill>
      </fill>
      <alignment horizontal="left" vertical="top"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indexed="64"/>
          <bgColor rgb="FFFFFFFF"/>
        </patternFill>
      </fill>
      <alignment horizontal="general" vertical="top" textRotation="0" wrapText="0" indent="0" justifyLastLine="0" shrinkToFit="0" readingOrder="0"/>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general" vertical="top" textRotation="0" wrapText="0" indent="0" justifyLastLine="0" shrinkToFit="0" readingOrder="0"/>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center" textRotation="0" wrapText="1" indent="0" justifyLastLine="0" shrinkToFit="0" readingOrder="0"/>
      <border diagonalUp="0" diagonalDown="0" outline="0">
        <left/>
        <right/>
        <top style="thin">
          <color theme="4" tint="0.39997558519241921"/>
        </top>
        <bottom/>
      </border>
      <protection locked="0" hidden="0"/>
    </dxf>
    <dxf>
      <border outline="0">
        <top style="thin">
          <color rgb="FFBEE296"/>
        </top>
      </border>
    </dxf>
    <dxf>
      <border outline="0">
        <bottom style="thin">
          <color rgb="FFBEE296"/>
        </bottom>
      </border>
    </dxf>
    <dxf>
      <font>
        <strike val="0"/>
        <outline val="0"/>
        <shadow val="0"/>
        <vertAlign val="baseline"/>
        <color theme="1"/>
      </font>
      <protection locked="0" hidden="0"/>
    </dxf>
    <dxf>
      <border outline="0">
        <bottom style="thin">
          <color rgb="FFBEE296"/>
        </bottom>
      </border>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2"/>
        <color theme="1"/>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1"/>
        <color theme="1"/>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2"/>
        <color theme="1"/>
        <name val="Arial Nova"/>
        <family val="2"/>
        <scheme val="none"/>
      </font>
      <fill>
        <patternFill patternType="solid">
          <fgColor indexed="64"/>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1"/>
        <color theme="1"/>
        <name val="Arial Nova"/>
        <family val="2"/>
        <scheme val="none"/>
      </font>
      <fill>
        <patternFill patternType="solid">
          <fgColor rgb="FF000000"/>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2"/>
        <color theme="1"/>
        <name val="Arial Nova"/>
        <family val="2"/>
        <scheme val="none"/>
      </font>
      <fill>
        <patternFill patternType="solid">
          <fgColor theme="6"/>
          <bgColor theme="6"/>
        </patternFill>
      </fill>
      <alignment horizontal="left" vertical="top" textRotation="0" wrapText="1" indent="0" justifyLastLine="0" shrinkToFit="0" readingOrder="0"/>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b val="0"/>
        <i val="0"/>
        <strike val="0"/>
        <condense val="0"/>
        <extend val="0"/>
        <outline val="0"/>
        <shadow val="0"/>
        <u val="none"/>
        <vertAlign val="baseline"/>
        <sz val="12"/>
        <color theme="0" tint="-0.499984740745262"/>
        <name val="Arial Nova"/>
        <family val="2"/>
        <scheme val="none"/>
      </font>
      <numFmt numFmtId="0" formatCode="General"/>
      <fill>
        <patternFill patternType="solid">
          <fgColor indexed="64"/>
          <bgColor rgb="FF0D0D0D"/>
        </patternFill>
      </fill>
      <alignment horizontal="left" vertical="bottom" textRotation="0" wrapText="0" indent="0" justifyLastLine="0" shrinkToFit="0" readingOrder="0"/>
      <border diagonalUp="0" diagonalDown="0">
        <left/>
        <right style="thin">
          <color rgb="FF595959"/>
        </right>
        <top style="thin">
          <color rgb="FF595959"/>
        </top>
        <bottom style="thin">
          <color rgb="FF595959"/>
        </bottom>
        <vertical/>
        <horizontal/>
      </border>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0" tint="-0.499984740745262"/>
        <name val="Arial Nova"/>
        <family val="2"/>
        <scheme val="none"/>
      </font>
      <numFmt numFmtId="180" formatCode="mmm\ dd"/>
      <fill>
        <patternFill patternType="solid">
          <fgColor indexed="64"/>
          <bgColor rgb="FF0D0D0D"/>
        </patternFill>
      </fill>
      <alignment horizontal="left" vertical="bottom" textRotation="0" wrapText="0" indent="0" justifyLastLine="0" shrinkToFit="0" readingOrder="0"/>
      <border diagonalUp="0" diagonalDown="0">
        <left style="thin">
          <color rgb="FF595959"/>
        </left>
        <right/>
        <top style="thin">
          <color rgb="FF595959"/>
        </top>
        <bottom style="thin">
          <color rgb="FF595959"/>
        </bottom>
        <vertical/>
        <horizontal/>
      </border>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border outline="0">
        <left style="thin">
          <color rgb="FF595959"/>
        </left>
        <right style="thin">
          <color rgb="FF595959"/>
        </right>
        <top style="thin">
          <color rgb="FF595959"/>
        </top>
        <bottom style="thin">
          <color rgb="FF595959"/>
        </bottom>
      </border>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2" formatCode="0.00"/>
      <protection locked="0" hidden="0"/>
    </dxf>
    <dxf>
      <font>
        <b val="0"/>
        <i val="0"/>
        <strike val="0"/>
        <condense val="0"/>
        <extend val="0"/>
        <outline val="0"/>
        <shadow val="0"/>
        <u val="none"/>
        <vertAlign val="baseline"/>
        <sz val="10"/>
        <color theme="1"/>
        <name val="Arial Nova"/>
        <family val="2"/>
        <scheme val="none"/>
      </font>
      <numFmt numFmtId="1" formatCode="0"/>
    </dxf>
    <dxf>
      <font>
        <b val="0"/>
        <i val="0"/>
        <strike val="0"/>
        <condense val="0"/>
        <extend val="0"/>
        <outline val="0"/>
        <shadow val="0"/>
        <u val="none"/>
        <vertAlign val="baseline"/>
        <sz val="10"/>
        <color theme="1"/>
        <name val="Arial Nova"/>
        <family val="2"/>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0" formatCode="d\.hh:mm:ss"/>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 formatCode="m/d/yyyy"/>
      <fill>
        <patternFill patternType="none">
          <fgColor indexed="64"/>
          <bgColor indexed="65"/>
        </patternFill>
      </fill>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theme="1"/>
        <name val="Arial Nova"/>
        <family val="2"/>
        <scheme val="none"/>
      </font>
      <numFmt numFmtId="1" formatCode="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85" formatCode="mm/dd/yy"/>
      <alignment horizontal="left" vertical="bottom" textRotation="0" wrapText="0" indent="0" justifyLastLine="0" shrinkToFit="0" readingOrder="0"/>
      <protection locked="0" hidden="0"/>
    </dxf>
    <dxf>
      <font>
        <strike val="0"/>
        <outline val="0"/>
        <shadow val="0"/>
        <vertAlign val="baseline"/>
        <name val="Arial Nova"/>
        <family val="2"/>
        <scheme val="none"/>
      </font>
    </dxf>
    <dxf>
      <font>
        <strike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rgb="FF000000"/>
        <name val="Arial Nova"/>
        <family val="2"/>
        <scheme val="none"/>
      </font>
      <numFmt numFmtId="0" formatCode="Genera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theme="1"/>
        <name val="Arial Nova"/>
        <family val="2"/>
        <scheme val="none"/>
      </font>
      <numFmt numFmtId="0" formatCode="General"/>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19" formatCode="m/d/yyyy"/>
      <fill>
        <patternFill patternType="none">
          <fgColor indexed="64"/>
          <bgColor indexed="65"/>
        </patternFill>
      </fill>
      <protection locked="0" hidden="0"/>
    </dxf>
    <dxf>
      <border outline="0">
        <top style="thin">
          <color indexed="64"/>
        </top>
      </border>
    </dxf>
    <dxf>
      <font>
        <b val="0"/>
        <i val="0"/>
        <strike val="0"/>
        <condense val="0"/>
        <extend val="0"/>
        <outline val="0"/>
        <shadow val="0"/>
        <u val="none"/>
        <vertAlign val="baseline"/>
        <sz val="12"/>
        <color theme="1"/>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0"/>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border diagonalUp="0" diagonalDown="0">
        <left style="thin">
          <color theme="0" tint="-0.499984740745262"/>
        </left>
        <right/>
        <top/>
        <bottom style="thin">
          <color theme="0" tint="-0.14993743705557422"/>
        </bottom>
      </border>
    </dxf>
    <dxf>
      <font>
        <strike val="0"/>
        <outline val="0"/>
        <shadow val="0"/>
        <u val="none"/>
        <vertAlign val="baseline"/>
        <sz val="12"/>
        <name val="Arial Nova"/>
        <family val="2"/>
        <scheme val="none"/>
      </font>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bottom/>
      </border>
      <protection locked="1" hidden="0"/>
    </dxf>
    <dxf>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19" formatCode="m/d/yyyy"/>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strike val="0"/>
        <outline val="0"/>
        <shadow val="0"/>
        <u/>
        <vertAlign val="baseline"/>
        <sz val="10"/>
        <color theme="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alignment horizontal="left" vertical="bottom" textRotation="0" wrapText="0" indent="0" justifyLastLine="0" shrinkToFit="0" readingOrder="0"/>
      <protection locked="0" hidden="0"/>
    </dxf>
    <dxf>
      <font>
        <strike val="0"/>
        <outline val="0"/>
        <shadow val="0"/>
        <u val="none"/>
        <vertAlign val="baseline"/>
        <sz val="10"/>
        <color theme="1"/>
        <name val="Arial Nova"/>
        <family val="2"/>
        <scheme val="none"/>
      </font>
      <protection locked="0" hidden="0"/>
    </dxf>
    <dxf>
      <fill>
        <patternFill patternType="none">
          <bgColor auto="1"/>
        </patternFill>
      </fill>
      <border>
        <left style="thin">
          <color rgb="FFBFBFBF"/>
        </left>
        <right style="thin">
          <color rgb="FFBFBFBF"/>
        </right>
        <top style="thin">
          <color rgb="FFBFBFBF"/>
        </top>
        <bottom style="thin">
          <color rgb="FFBFBFBF"/>
        </bottom>
        <vertical style="thin">
          <color rgb="FFBFBFBF"/>
        </vertical>
        <horizontal/>
      </border>
    </dxf>
    <dxf>
      <border>
        <left style="thin">
          <color rgb="FFBFBFBF"/>
        </left>
        <right style="thin">
          <color rgb="FFBFBFBF"/>
        </right>
        <top style="thin">
          <color rgb="FFBFBFBF"/>
        </top>
        <bottom style="thin">
          <color rgb="FFBFBFBF"/>
        </bottom>
        <vertical/>
        <horizontal style="thin">
          <color rgb="FFBFBFBF"/>
        </horizontal>
      </border>
    </dxf>
    <dxf>
      <border>
        <left style="thin">
          <color rgb="FF515151"/>
        </left>
        <right style="thin">
          <color rgb="FF515151"/>
        </right>
        <top style="thin">
          <color rgb="FF515151"/>
        </top>
        <bottom style="thin">
          <color rgb="FF515151"/>
        </bottom>
        <vertical/>
        <horizontal style="thin">
          <color rgb="FF515151"/>
        </horizontal>
      </border>
    </dxf>
  </dxfs>
  <tableStyles count="3" defaultTableStyle="TableStyleMedium6" defaultPivotStyle="PivotStyleLight16">
    <tableStyle name="Event Table Style" pivot="0" count="1" xr9:uid="{C61ACA66-D61F-40F8-B9C3-21256535AC29}">
      <tableStyleElement type="wholeTable" dxfId="236"/>
    </tableStyle>
    <tableStyle name="Events Table Style 1" pivot="0" count="1" xr9:uid="{8482B0F8-E6CA-4DA7-98B0-D9B0468AEF7B}">
      <tableStyleElement type="wholeTable" dxfId="235"/>
    </tableStyle>
    <tableStyle name="Events_Table_Style" pivot="0" count="1" xr9:uid="{44004D5E-2F1A-4F79-8672-F175DB0748EC}">
      <tableStyleElement type="wholeTable" dxfId="234"/>
    </tableStyle>
  </tableStyles>
  <colors>
    <mruColors>
      <color rgb="FF0064FF"/>
      <color rgb="FF0078C8"/>
      <color rgb="FF002776"/>
      <color rgb="FF0A3161"/>
      <color rgb="FFFFFFFF"/>
      <color rgb="FFB31942"/>
      <color rgb="FF002712"/>
      <color rgb="FFFFDF00"/>
      <color rgb="FF009C3B"/>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1/relationships/timelineCache" Target="timelineCaches/timelineCache1.xml"/><Relationship Id="rId38" Type="http://schemas.openxmlformats.org/officeDocument/2006/relationships/sheetMetadata" Target="metadata.xml"/><Relationship Id="rId46" Type="http://schemas.openxmlformats.org/officeDocument/2006/relationships/customXml" Target="../customXml/item7.xml"/><Relationship Id="rId59"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[STATriderV1.xlsm]PivotPlan!PivotPlan</c:name>
    <c:fmtId val="0"/>
  </c:pivotSource>
  <c:chart>
    <c:autoTitleDeleted val="1"/>
    <c:pivotFmts>
      <c:pivotFmt>
        <c:idx val="0"/>
        <c:spPr>
          <a:ln w="28575" cap="rnd">
            <a:noFill/>
            <a:round/>
          </a:ln>
          <a:effectLst/>
          <a:extLst>
            <a:ext uri="{91240B29-F687-4F45-9708-019B960494DF}">
              <a14:hiddenLine xmlns:a14="http://schemas.microsoft.com/office/drawing/2010/main" w="28575" cap="rnd">
                <a:solidFill>
                  <a:srgbClr val="92D05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noFill/>
            <a:round/>
          </a:ln>
          <a:effectLst/>
          <a:extLst>
            <a:ext uri="{91240B29-F687-4F45-9708-019B960494DF}">
              <a14:hiddenLine xmlns:a14="http://schemas.microsoft.com/office/drawing/2010/main" w="28575" cap="rnd">
                <a:solidFill>
                  <a:srgbClr val="FF0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noFill/>
            <a:round/>
          </a:ln>
          <a:effectLst/>
          <a:extLst>
            <a:ext uri="{91240B29-F687-4F45-9708-019B960494DF}">
              <a14:hiddenLine xmlns:a14="http://schemas.microsoft.com/office/drawing/2010/main" w="28575" cap="rnd">
                <a:solidFill>
                  <a:srgbClr val="A5A5A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noFill/>
            <a:round/>
          </a:ln>
          <a:effectLst/>
          <a:extLst>
            <a:ext uri="{91240B29-F687-4F45-9708-019B960494DF}">
              <a14:hiddenLine xmlns:a14="http://schemas.microsoft.com/office/drawing/2010/main" w="28575" cap="rnd">
                <a:solidFill>
                  <a:srgbClr val="FFC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noFill/>
            <a:round/>
          </a:ln>
          <a:effectLst/>
          <a:extLst>
            <a:ext uri="{91240B29-F687-4F45-9708-019B960494DF}">
              <a14:hiddenLine xmlns:a14="http://schemas.microsoft.com/office/drawing/2010/main" w="28575" cap="rnd">
                <a:solidFill>
                  <a:srgbClr val="5B9BD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AA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6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2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B59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5"/>
          <c:order val="5"/>
          <c:tx>
            <c:strRef>
              <c:f>PivotPlan!$G$1:$G$3</c:f>
              <c:strCache>
                <c:ptCount val="1"/>
                <c:pt idx="0">
                  <c:v>Sum of Actual Hrs2 - Base III</c:v>
                </c:pt>
              </c:strCache>
            </c:strRef>
          </c:tx>
          <c:spPr>
            <a:solidFill>
              <a:srgbClr val="FFAA64"/>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PivotPlan!$G$4:$G$21</c:f>
              <c:numCache>
                <c:formatCode>0.0000</c:formatCode>
                <c:ptCount val="12"/>
                <c:pt idx="0">
                  <c:v>#N/A</c:v>
                </c:pt>
              </c:numCache>
            </c:numRef>
          </c:val>
          <c:extLst>
            <c:ext xmlns:c16="http://schemas.microsoft.com/office/drawing/2014/chart" uri="{C3380CC4-5D6E-409C-BE32-E72D297353CC}">
              <c16:uniqueId val="{00000006-4269-4DE9-8976-D1F9C83600A4}"/>
            </c:ext>
          </c:extLst>
        </c:ser>
        <c:ser>
          <c:idx val="6"/>
          <c:order val="6"/>
          <c:tx>
            <c:strRef>
              <c:f>PivotPlan!$H$1:$H$3</c:f>
              <c:strCache>
                <c:ptCount val="1"/>
                <c:pt idx="0">
                  <c:v>Sum of Actual Hrs2 - Build I</c:v>
                </c:pt>
              </c:strCache>
            </c:strRef>
          </c:tx>
          <c:spPr>
            <a:solidFill>
              <a:srgbClr val="A61F34"/>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PivotPlan!$H$4:$H$21</c:f>
              <c:numCache>
                <c:formatCode>0.0000</c:formatCode>
                <c:ptCount val="12"/>
                <c:pt idx="1">
                  <c:v>#N/A</c:v>
                </c:pt>
                <c:pt idx="2">
                  <c:v>#N/A</c:v>
                </c:pt>
                <c:pt idx="3">
                  <c:v>#N/A</c:v>
                </c:pt>
                <c:pt idx="4">
                  <c:v>#N/A</c:v>
                </c:pt>
              </c:numCache>
            </c:numRef>
          </c:val>
          <c:extLst>
            <c:ext xmlns:c16="http://schemas.microsoft.com/office/drawing/2014/chart" uri="{C3380CC4-5D6E-409C-BE32-E72D297353CC}">
              <c16:uniqueId val="{00000007-4269-4DE9-8976-D1F9C83600A4}"/>
            </c:ext>
          </c:extLst>
        </c:ser>
        <c:ser>
          <c:idx val="7"/>
          <c:order val="7"/>
          <c:tx>
            <c:strRef>
              <c:f>PivotPlan!$I$1:$I$3</c:f>
              <c:strCache>
                <c:ptCount val="1"/>
                <c:pt idx="0">
                  <c:v>Sum of Actual Hrs2 - Build II</c:v>
                </c:pt>
              </c:strCache>
            </c:strRef>
          </c:tx>
          <c:spPr>
            <a:solidFill>
              <a:srgbClr val="D21F34"/>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PivotPlan!$I$4:$I$21</c:f>
              <c:numCache>
                <c:formatCode>0.0000</c:formatCode>
                <c:ptCount val="12"/>
                <c:pt idx="5">
                  <c:v>#N/A</c:v>
                </c:pt>
                <c:pt idx="6">
                  <c:v>#N/A</c:v>
                </c:pt>
                <c:pt idx="7">
                  <c:v>#N/A</c:v>
                </c:pt>
                <c:pt idx="8">
                  <c:v>#N/A</c:v>
                </c:pt>
              </c:numCache>
            </c:numRef>
          </c:val>
          <c:extLst>
            <c:ext xmlns:c16="http://schemas.microsoft.com/office/drawing/2014/chart" uri="{C3380CC4-5D6E-409C-BE32-E72D297353CC}">
              <c16:uniqueId val="{00000008-4269-4DE9-8976-D1F9C83600A4}"/>
            </c:ext>
          </c:extLst>
        </c:ser>
        <c:ser>
          <c:idx val="8"/>
          <c:order val="8"/>
          <c:tx>
            <c:strRef>
              <c:f>PivotPlan!$J$1:$J$3</c:f>
              <c:strCache>
                <c:ptCount val="1"/>
                <c:pt idx="0">
                  <c:v>Sum of Actual Hrs2 - Peak</c:v>
                </c:pt>
              </c:strCache>
            </c:strRef>
          </c:tx>
          <c:spPr>
            <a:solidFill>
              <a:srgbClr val="3B5998"/>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PivotPlan!$J$4:$J$21</c:f>
              <c:numCache>
                <c:formatCode>0.0000</c:formatCode>
                <c:ptCount val="12"/>
                <c:pt idx="9">
                  <c:v>#N/A</c:v>
                </c:pt>
                <c:pt idx="10">
                  <c:v>#N/A</c:v>
                </c:pt>
              </c:numCache>
            </c:numRef>
          </c:val>
          <c:extLst>
            <c:ext xmlns:c16="http://schemas.microsoft.com/office/drawing/2014/chart" uri="{C3380CC4-5D6E-409C-BE32-E72D297353CC}">
              <c16:uniqueId val="{00000009-4269-4DE9-8976-D1F9C83600A4}"/>
            </c:ext>
          </c:extLst>
        </c:ser>
        <c:ser>
          <c:idx val="9"/>
          <c:order val="9"/>
          <c:tx>
            <c:strRef>
              <c:f>PivotPlan!$K$1:$K$3</c:f>
              <c:strCache>
                <c:ptCount val="1"/>
                <c:pt idx="0">
                  <c:v>Sum of Actual Hrs2 - Race</c:v>
                </c:pt>
              </c:strCache>
            </c:strRef>
          </c:tx>
          <c:spPr>
            <a:solidFill>
              <a:srgbClr val="00FF00"/>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PivotPlan!$K$4:$K$21</c:f>
              <c:numCache>
                <c:formatCode>0.0000</c:formatCode>
                <c:ptCount val="12"/>
                <c:pt idx="11">
                  <c:v>#N/A</c:v>
                </c:pt>
              </c:numCache>
            </c:numRef>
          </c:val>
          <c:extLst>
            <c:ext xmlns:c16="http://schemas.microsoft.com/office/drawing/2014/chart" uri="{C3380CC4-5D6E-409C-BE32-E72D297353CC}">
              <c16:uniqueId val="{0000000A-4269-4DE9-8976-D1F9C83600A4}"/>
            </c:ext>
          </c:extLst>
        </c:ser>
        <c:ser>
          <c:idx val="10"/>
          <c:order val="10"/>
          <c:tx>
            <c:strRef>
              <c:f>PivotPlan!$L$1:$L$3</c:f>
              <c:strCache>
                <c:ptCount val="1"/>
                <c:pt idx="0">
                  <c:v>Sum of Plan. Hrs Chart - Base III</c:v>
                </c:pt>
              </c:strCache>
            </c:strRef>
          </c:tx>
          <c:spPr>
            <a:solidFill>
              <a:srgbClr val="A6A6A6"/>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PivotPlan!$L$4:$L$21</c:f>
              <c:numCache>
                <c:formatCode>0.0000</c:formatCode>
                <c:ptCount val="12"/>
                <c:pt idx="0">
                  <c:v>0.35416666666666669</c:v>
                </c:pt>
              </c:numCache>
            </c:numRef>
          </c:val>
          <c:extLst>
            <c:ext xmlns:c16="http://schemas.microsoft.com/office/drawing/2014/chart" uri="{C3380CC4-5D6E-409C-BE32-E72D297353CC}">
              <c16:uniqueId val="{0000000B-4269-4DE9-8976-D1F9C83600A4}"/>
            </c:ext>
          </c:extLst>
        </c:ser>
        <c:ser>
          <c:idx val="11"/>
          <c:order val="11"/>
          <c:tx>
            <c:strRef>
              <c:f>PivotPlan!$M$1:$M$3</c:f>
              <c:strCache>
                <c:ptCount val="1"/>
                <c:pt idx="0">
                  <c:v>Sum of Plan. Hrs Chart - Build I</c:v>
                </c:pt>
              </c:strCache>
            </c:strRef>
          </c:tx>
          <c:spPr>
            <a:solidFill>
              <a:srgbClr val="A6A6A6"/>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PivotPlan!$M$4:$M$21</c:f>
              <c:numCache>
                <c:formatCode>0.0000</c:formatCode>
                <c:ptCount val="12"/>
                <c:pt idx="1">
                  <c:v>0.41666666666666663</c:v>
                </c:pt>
                <c:pt idx="2">
                  <c:v>0.41666666666666663</c:v>
                </c:pt>
                <c:pt idx="3">
                  <c:v>0.41666666666666663</c:v>
                </c:pt>
                <c:pt idx="4">
                  <c:v>0.20833333333333331</c:v>
                </c:pt>
              </c:numCache>
            </c:numRef>
          </c:val>
          <c:extLst>
            <c:ext xmlns:c16="http://schemas.microsoft.com/office/drawing/2014/chart" uri="{C3380CC4-5D6E-409C-BE32-E72D297353CC}">
              <c16:uniqueId val="{0000000C-4269-4DE9-8976-D1F9C83600A4}"/>
            </c:ext>
          </c:extLst>
        </c:ser>
        <c:ser>
          <c:idx val="12"/>
          <c:order val="12"/>
          <c:tx>
            <c:strRef>
              <c:f>PivotPlan!$N$1:$N$3</c:f>
              <c:strCache>
                <c:ptCount val="1"/>
                <c:pt idx="0">
                  <c:v>Sum of Plan. Hrs Chart - Build II</c:v>
                </c:pt>
              </c:strCache>
            </c:strRef>
          </c:tx>
          <c:spPr>
            <a:solidFill>
              <a:srgbClr val="A6A6A6"/>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PivotPlan!$N$4:$N$21</c:f>
              <c:numCache>
                <c:formatCode>0.0000</c:formatCode>
                <c:ptCount val="12"/>
                <c:pt idx="5">
                  <c:v>0.35416666666666669</c:v>
                </c:pt>
                <c:pt idx="6">
                  <c:v>0.35416666666666669</c:v>
                </c:pt>
                <c:pt idx="7">
                  <c:v>0.35416666666666669</c:v>
                </c:pt>
                <c:pt idx="8">
                  <c:v>0.19791666666666666</c:v>
                </c:pt>
              </c:numCache>
            </c:numRef>
          </c:val>
          <c:extLst>
            <c:ext xmlns:c16="http://schemas.microsoft.com/office/drawing/2014/chart" uri="{C3380CC4-5D6E-409C-BE32-E72D297353CC}">
              <c16:uniqueId val="{0000000D-4269-4DE9-8976-D1F9C83600A4}"/>
            </c:ext>
          </c:extLst>
        </c:ser>
        <c:ser>
          <c:idx val="13"/>
          <c:order val="13"/>
          <c:tx>
            <c:strRef>
              <c:f>PivotPlan!$O$1:$O$3</c:f>
              <c:strCache>
                <c:ptCount val="1"/>
                <c:pt idx="0">
                  <c:v>Sum of Plan. Hrs Chart - Peak</c:v>
                </c:pt>
              </c:strCache>
            </c:strRef>
          </c:tx>
          <c:spPr>
            <a:solidFill>
              <a:srgbClr val="A6A6A6"/>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PivotPlan!$O$4:$O$21</c:f>
              <c:numCache>
                <c:formatCode>0.0000</c:formatCode>
                <c:ptCount val="12"/>
                <c:pt idx="9">
                  <c:v>0.35416666666666669</c:v>
                </c:pt>
                <c:pt idx="10">
                  <c:v>0.26041666666666669</c:v>
                </c:pt>
              </c:numCache>
            </c:numRef>
          </c:val>
          <c:extLst>
            <c:ext xmlns:c16="http://schemas.microsoft.com/office/drawing/2014/chart" uri="{C3380CC4-5D6E-409C-BE32-E72D297353CC}">
              <c16:uniqueId val="{0000000E-4269-4DE9-8976-D1F9C83600A4}"/>
            </c:ext>
          </c:extLst>
        </c:ser>
        <c:ser>
          <c:idx val="14"/>
          <c:order val="14"/>
          <c:tx>
            <c:strRef>
              <c:f>PivotPlan!$P$1:$P$3</c:f>
              <c:strCache>
                <c:ptCount val="1"/>
                <c:pt idx="0">
                  <c:v>Sum of Plan. Hrs Chart - Race</c:v>
                </c:pt>
              </c:strCache>
            </c:strRef>
          </c:tx>
          <c:spPr>
            <a:solidFill>
              <a:srgbClr val="A6A6A6"/>
            </a:solidFill>
            <a:ln>
              <a:noFill/>
            </a:ln>
            <a:effectLst/>
          </c:spPr>
          <c:invertIfNegative val="0"/>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PivotPlan!$P$4:$P$21</c:f>
              <c:numCache>
                <c:formatCode>0.0000</c:formatCode>
                <c:ptCount val="12"/>
                <c:pt idx="11">
                  <c:v>0.19791666666666666</c:v>
                </c:pt>
              </c:numCache>
            </c:numRef>
          </c:val>
          <c:extLst>
            <c:ext xmlns:c16="http://schemas.microsoft.com/office/drawing/2014/chart" uri="{C3380CC4-5D6E-409C-BE32-E72D297353CC}">
              <c16:uniqueId val="{0000000F-4269-4DE9-8976-D1F9C83600A4}"/>
            </c:ext>
          </c:extLst>
        </c:ser>
        <c:dLbls>
          <c:showLegendKey val="0"/>
          <c:showVal val="0"/>
          <c:showCatName val="0"/>
          <c:showSerName val="0"/>
          <c:showPercent val="0"/>
          <c:showBubbleSize val="0"/>
        </c:dLbls>
        <c:gapWidth val="20"/>
        <c:overlap val="100"/>
        <c:axId val="831071279"/>
        <c:axId val="831052559"/>
      </c:barChart>
      <c:lineChart>
        <c:grouping val="standard"/>
        <c:varyColors val="0"/>
        <c:ser>
          <c:idx val="0"/>
          <c:order val="0"/>
          <c:tx>
            <c:strRef>
              <c:f>PivotPlan!$B$1:$B$3</c:f>
              <c:strCache>
                <c:ptCount val="1"/>
                <c:pt idx="0">
                  <c:v>Sum of Today Week - Base III</c:v>
                </c:pt>
              </c:strCache>
            </c:strRef>
          </c:tx>
          <c:spPr>
            <a:ln w="28575" cap="rnd">
              <a:noFill/>
              <a:round/>
            </a:ln>
            <a:effectLst/>
            <a:extLst>
              <a:ext uri="{91240B29-F687-4F45-9708-019B960494DF}">
                <a14:hiddenLine xmlns:a14="http://schemas.microsoft.com/office/drawing/2010/main" w="28575" cap="rnd">
                  <a:solidFill>
                    <a:srgbClr val="92D05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PivotPlan!$B$4:$B$21</c:f>
              <c:numCache>
                <c:formatCode>0.0000</c:formatCode>
                <c:ptCount val="12"/>
                <c:pt idx="0">
                  <c:v>0.4375</c:v>
                </c:pt>
              </c:numCache>
            </c:numRef>
          </c:val>
          <c:smooth val="0"/>
          <c:extLst>
            <c:ext xmlns:c16="http://schemas.microsoft.com/office/drawing/2014/chart" uri="{C3380CC4-5D6E-409C-BE32-E72D297353CC}">
              <c16:uniqueId val="{00000001-4269-4DE9-8976-D1F9C83600A4}"/>
            </c:ext>
          </c:extLst>
        </c:ser>
        <c:ser>
          <c:idx val="1"/>
          <c:order val="1"/>
          <c:tx>
            <c:strRef>
              <c:f>PivotPlan!$C$1:$C$3</c:f>
              <c:strCache>
                <c:ptCount val="1"/>
                <c:pt idx="0">
                  <c:v>Sum of Today Week - Build I</c:v>
                </c:pt>
              </c:strCache>
            </c:strRef>
          </c:tx>
          <c:spPr>
            <a:ln w="28575" cap="rnd">
              <a:noFill/>
              <a:round/>
            </a:ln>
            <a:effectLst/>
            <a:extLst>
              <a:ext uri="{91240B29-F687-4F45-9708-019B960494DF}">
                <a14:hiddenLine xmlns:a14="http://schemas.microsoft.com/office/drawing/2010/main" w="28575" cap="rnd">
                  <a:solidFill>
                    <a:srgbClr val="FF0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PivotPlan!$C$4:$C$21</c:f>
              <c:numCache>
                <c:formatCode>0.0000</c:formatCode>
                <c:ptCount val="12"/>
                <c:pt idx="1">
                  <c:v>-1</c:v>
                </c:pt>
                <c:pt idx="2">
                  <c:v>-1</c:v>
                </c:pt>
                <c:pt idx="3">
                  <c:v>-1</c:v>
                </c:pt>
                <c:pt idx="4">
                  <c:v>-1</c:v>
                </c:pt>
              </c:numCache>
            </c:numRef>
          </c:val>
          <c:smooth val="0"/>
          <c:extLst>
            <c:ext xmlns:c16="http://schemas.microsoft.com/office/drawing/2014/chart" uri="{C3380CC4-5D6E-409C-BE32-E72D297353CC}">
              <c16:uniqueId val="{00000002-4269-4DE9-8976-D1F9C83600A4}"/>
            </c:ext>
          </c:extLst>
        </c:ser>
        <c:ser>
          <c:idx val="2"/>
          <c:order val="2"/>
          <c:tx>
            <c:strRef>
              <c:f>PivotPlan!$D$1:$D$3</c:f>
              <c:strCache>
                <c:ptCount val="1"/>
                <c:pt idx="0">
                  <c:v>Sum of Today Week - Build II</c:v>
                </c:pt>
              </c:strCache>
            </c:strRef>
          </c:tx>
          <c:spPr>
            <a:ln w="28575" cap="rnd">
              <a:noFill/>
              <a:round/>
            </a:ln>
            <a:effectLst/>
            <a:extLst>
              <a:ext uri="{91240B29-F687-4F45-9708-019B960494DF}">
                <a14:hiddenLine xmlns:a14="http://schemas.microsoft.com/office/drawing/2010/main" w="28575" cap="rnd">
                  <a:solidFill>
                    <a:srgbClr val="A5A5A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PivotPlan!$D$4:$D$21</c:f>
              <c:numCache>
                <c:formatCode>0.0000</c:formatCode>
                <c:ptCount val="12"/>
                <c:pt idx="5">
                  <c:v>-1</c:v>
                </c:pt>
                <c:pt idx="6">
                  <c:v>-1</c:v>
                </c:pt>
                <c:pt idx="7">
                  <c:v>-1</c:v>
                </c:pt>
                <c:pt idx="8">
                  <c:v>-1</c:v>
                </c:pt>
              </c:numCache>
            </c:numRef>
          </c:val>
          <c:smooth val="0"/>
          <c:extLst>
            <c:ext xmlns:c16="http://schemas.microsoft.com/office/drawing/2014/chart" uri="{C3380CC4-5D6E-409C-BE32-E72D297353CC}">
              <c16:uniqueId val="{00000003-4269-4DE9-8976-D1F9C83600A4}"/>
            </c:ext>
          </c:extLst>
        </c:ser>
        <c:ser>
          <c:idx val="3"/>
          <c:order val="3"/>
          <c:tx>
            <c:strRef>
              <c:f>PivotPlan!$E$1:$E$3</c:f>
              <c:strCache>
                <c:ptCount val="1"/>
                <c:pt idx="0">
                  <c:v>Sum of Today Week - Peak</c:v>
                </c:pt>
              </c:strCache>
            </c:strRef>
          </c:tx>
          <c:spPr>
            <a:ln w="28575" cap="rnd">
              <a:noFill/>
              <a:round/>
            </a:ln>
            <a:effectLst/>
            <a:extLst>
              <a:ext uri="{91240B29-F687-4F45-9708-019B960494DF}">
                <a14:hiddenLine xmlns:a14="http://schemas.microsoft.com/office/drawing/2010/main" w="28575" cap="rnd">
                  <a:solidFill>
                    <a:srgbClr val="FFC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PivotPlan!$E$4:$E$21</c:f>
              <c:numCache>
                <c:formatCode>0.0000</c:formatCode>
                <c:ptCount val="12"/>
                <c:pt idx="9">
                  <c:v>-1</c:v>
                </c:pt>
                <c:pt idx="10">
                  <c:v>-1</c:v>
                </c:pt>
              </c:numCache>
            </c:numRef>
          </c:val>
          <c:smooth val="0"/>
          <c:extLst>
            <c:ext xmlns:c16="http://schemas.microsoft.com/office/drawing/2014/chart" uri="{C3380CC4-5D6E-409C-BE32-E72D297353CC}">
              <c16:uniqueId val="{00000004-4269-4DE9-8976-D1F9C83600A4}"/>
            </c:ext>
          </c:extLst>
        </c:ser>
        <c:ser>
          <c:idx val="4"/>
          <c:order val="4"/>
          <c:tx>
            <c:strRef>
              <c:f>PivotPlan!$F$1:$F$3</c:f>
              <c:strCache>
                <c:ptCount val="1"/>
                <c:pt idx="0">
                  <c:v>Sum of Today Week - Race</c:v>
                </c:pt>
              </c:strCache>
            </c:strRef>
          </c:tx>
          <c:spPr>
            <a:ln w="28575" cap="rnd">
              <a:noFill/>
              <a:round/>
            </a:ln>
            <a:effectLst/>
            <a:extLst>
              <a:ext uri="{91240B29-F687-4F45-9708-019B960494DF}">
                <a14:hiddenLine xmlns:a14="http://schemas.microsoft.com/office/drawing/2010/main" w="28575" cap="rnd">
                  <a:solidFill>
                    <a:srgbClr val="5B9BD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cat>
            <c:multiLvlStrRef>
              <c:f>PivotPlan!$A$4:$A$21</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PivotPlan!$F$4:$F$21</c:f>
              <c:numCache>
                <c:formatCode>0.0000</c:formatCode>
                <c:ptCount val="12"/>
                <c:pt idx="11">
                  <c:v>-1</c:v>
                </c:pt>
              </c:numCache>
            </c:numRef>
          </c:val>
          <c:smooth val="0"/>
          <c:extLst>
            <c:ext xmlns:c16="http://schemas.microsoft.com/office/drawing/2014/chart" uri="{C3380CC4-5D6E-409C-BE32-E72D297353CC}">
              <c16:uniqueId val="{00000005-4269-4DE9-8976-D1F9C83600A4}"/>
            </c:ext>
          </c:extLst>
        </c:ser>
        <c:dLbls>
          <c:showLegendKey val="0"/>
          <c:showVal val="0"/>
          <c:showCatName val="0"/>
          <c:showSerName val="0"/>
          <c:showPercent val="0"/>
          <c:showBubbleSize val="0"/>
        </c:dLbls>
        <c:marker val="1"/>
        <c:smooth val="0"/>
        <c:axId val="831071279"/>
        <c:axId val="831052559"/>
      </c:lineChart>
      <c:catAx>
        <c:axId val="831071279"/>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052559"/>
        <c:crossesAt val="0"/>
        <c:auto val="1"/>
        <c:lblAlgn val="ctr"/>
        <c:lblOffset val="100"/>
        <c:noMultiLvlLbl val="0"/>
      </c:catAx>
      <c:valAx>
        <c:axId val="831052559"/>
        <c:scaling>
          <c:orientation val="minMax"/>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Hours / Week</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hh]:mm"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071279"/>
        <c:crosses val="autoZero"/>
        <c:crossBetween val="between"/>
        <c:majorUnit val="4.1666666666666664E-2"/>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[STATriderV1.xlsm]PivotPowerTarget!PivotPowerTarget</c:name>
    <c:fmtId val="0"/>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PivotPowerTarget!$B$1:$B$2</c:f>
              <c:strCache>
                <c:ptCount val="1"/>
                <c:pt idx="0">
                  <c:v>Sum of Power</c:v>
                </c:pt>
              </c:strCache>
            </c:strRef>
          </c:tx>
          <c:spPr>
            <a:ln w="28575" cap="rnd">
              <a:solidFill>
                <a:srgbClr val="FF0000"/>
              </a:solidFill>
              <a:round/>
            </a:ln>
            <a:effectLst/>
          </c:spPr>
          <c:marker>
            <c:symbol val="none"/>
          </c:marker>
          <c:cat>
            <c:multiLvlStrRef>
              <c:f>PivotPowerTarget!$A$3:$A$20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PivotPowerTarget!$B$3:$B$20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A5BD-4630-968B-C026D713B808}"/>
            </c:ext>
          </c:extLst>
        </c:ser>
        <c:ser>
          <c:idx val="1"/>
          <c:order val="1"/>
          <c:tx>
            <c:strRef>
              <c:f>PivotPowerTarget!$C$1:$C$2</c:f>
              <c:strCache>
                <c:ptCount val="1"/>
                <c:pt idx="0">
                  <c:v>Sum of Power Goal</c:v>
                </c:pt>
              </c:strCache>
            </c:strRef>
          </c:tx>
          <c:spPr>
            <a:ln w="28575" cap="rnd">
              <a:solidFill>
                <a:srgbClr val="A6A6A6"/>
              </a:solidFill>
              <a:round/>
            </a:ln>
            <a:effectLst/>
          </c:spPr>
          <c:marker>
            <c:symbol val="none"/>
          </c:marker>
          <c:cat>
            <c:multiLvlStrRef>
              <c:f>PivotPowerTarget!$A$3:$A$20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PivotPowerTarget!$C$3:$C$20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A5BD-4630-968B-C026D713B808}"/>
            </c:ext>
          </c:extLst>
        </c:ser>
        <c:dLbls>
          <c:showLegendKey val="0"/>
          <c:showVal val="0"/>
          <c:showCatName val="0"/>
          <c:showSerName val="0"/>
          <c:showPercent val="0"/>
          <c:showBubbleSize val="0"/>
        </c:dLbls>
        <c:smooth val="0"/>
        <c:axId val="907820592"/>
        <c:axId val="907828912"/>
      </c:lineChart>
      <c:catAx>
        <c:axId val="907820592"/>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8912"/>
        <c:crosses val="autoZero"/>
        <c:auto val="1"/>
        <c:lblAlgn val="ctr"/>
        <c:lblOffset val="100"/>
        <c:noMultiLvlLbl val="0"/>
      </c:catAx>
      <c:valAx>
        <c:axId val="907828912"/>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Watts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0592"/>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[STATriderV1.xlsm]PivotCalTarget!PivotCalTarget</c:name>
    <c:fmtId val="0"/>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PivotCalTarget!$B$1:$B$2</c:f>
              <c:strCache>
                <c:ptCount val="1"/>
                <c:pt idx="0">
                  <c:v>Sum of Cal.</c:v>
                </c:pt>
              </c:strCache>
            </c:strRef>
          </c:tx>
          <c:spPr>
            <a:solidFill>
              <a:srgbClr val="FF8000"/>
            </a:solidFill>
            <a:ln>
              <a:noFill/>
            </a:ln>
            <a:effectLst/>
          </c:spPr>
          <c:invertIfNegative val="0"/>
          <c:cat>
            <c:multiLvlStrRef>
              <c:f>PivotCalTarget!$A$3:$A$20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PivotCalTarget!$B$3:$B$20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968D-4216-A4A5-AEEA0F00C3A4}"/>
            </c:ext>
          </c:extLst>
        </c:ser>
        <c:ser>
          <c:idx val="1"/>
          <c:order val="1"/>
          <c:tx>
            <c:strRef>
              <c:f>PivotCalTarget!$C$1:$C$2</c:f>
              <c:strCache>
                <c:ptCount val="1"/>
                <c:pt idx="0">
                  <c:v>Sum of Cal. Goal Chart</c:v>
                </c:pt>
              </c:strCache>
            </c:strRef>
          </c:tx>
          <c:spPr>
            <a:solidFill>
              <a:srgbClr val="A6A6A6"/>
            </a:solidFill>
            <a:ln>
              <a:noFill/>
            </a:ln>
            <a:effectLst/>
          </c:spPr>
          <c:invertIfNegative val="0"/>
          <c:cat>
            <c:multiLvlStrRef>
              <c:f>PivotCalTarget!$A$3:$A$20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968D-4216-A4A5-AEEA0F00C3A4}"/>
            </c:ext>
          </c:extLst>
        </c:ser>
        <c:dLbls>
          <c:showLegendKey val="0"/>
          <c:showVal val="0"/>
          <c:showCatName val="0"/>
          <c:showSerName val="0"/>
          <c:showPercent val="0"/>
          <c:showBubbleSize val="0"/>
        </c:dLbls>
        <c:gapWidth val="20"/>
        <c:overlap val="100"/>
        <c:axId val="907838480"/>
        <c:axId val="907843056"/>
      </c:barChart>
      <c:catAx>
        <c:axId val="907838480"/>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43056"/>
        <c:crosses val="autoZero"/>
        <c:auto val="1"/>
        <c:lblAlgn val="ctr"/>
        <c:lblOffset val="100"/>
        <c:noMultiLvlLbl val="0"/>
      </c:catAx>
      <c:valAx>
        <c:axId val="907843056"/>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38480"/>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[STATriderV1.xlsm]PivotWeightTarget!PivotWeightTarget</c:name>
    <c:fmtId val="0"/>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PivotWeightTarget!$B$1:$B$2</c:f>
              <c:strCache>
                <c:ptCount val="1"/>
                <c:pt idx="0">
                  <c:v>Sum of Weight</c:v>
                </c:pt>
              </c:strCache>
            </c:strRef>
          </c:tx>
          <c:spPr>
            <a:ln w="28575" cap="rnd">
              <a:solidFill>
                <a:srgbClr val="00FF00"/>
              </a:solidFill>
              <a:round/>
            </a:ln>
            <a:effectLst/>
          </c:spPr>
          <c:marker>
            <c:symbol val="none"/>
          </c:marker>
          <c:cat>
            <c:multiLvlStrRef>
              <c:f>PivotWeightTarget!$A$3:$A$20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PivotWeightTarget!$B$3:$B$20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ED59-41DF-BA06-A83D41A4838F}"/>
            </c:ext>
          </c:extLst>
        </c:ser>
        <c:ser>
          <c:idx val="1"/>
          <c:order val="1"/>
          <c:tx>
            <c:strRef>
              <c:f>PivotWeightTarget!$C$1:$C$2</c:f>
              <c:strCache>
                <c:ptCount val="1"/>
                <c:pt idx="0">
                  <c:v>Sum of Weight Goal</c:v>
                </c:pt>
              </c:strCache>
            </c:strRef>
          </c:tx>
          <c:spPr>
            <a:ln w="28575" cap="rnd">
              <a:solidFill>
                <a:srgbClr val="A6A6A6"/>
              </a:solidFill>
              <a:round/>
            </a:ln>
            <a:effectLst/>
          </c:spPr>
          <c:marker>
            <c:symbol val="none"/>
          </c:marker>
          <c:cat>
            <c:multiLvlStrRef>
              <c:f>PivotWeightTarget!$A$3:$A$20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PivotWeightTarget!$C$3:$C$20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ED59-41DF-BA06-A83D41A4838F}"/>
            </c:ext>
          </c:extLst>
        </c:ser>
        <c:dLbls>
          <c:showLegendKey val="0"/>
          <c:showVal val="0"/>
          <c:showCatName val="0"/>
          <c:showSerName val="0"/>
          <c:showPercent val="0"/>
          <c:showBubbleSize val="0"/>
        </c:dLbls>
        <c:smooth val="0"/>
        <c:axId val="907818096"/>
        <c:axId val="907825584"/>
      </c:lineChart>
      <c:catAx>
        <c:axId val="907818096"/>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5584"/>
        <c:crosses val="autoZero"/>
        <c:auto val="1"/>
        <c:lblAlgn val="ctr"/>
        <c:lblOffset val="100"/>
        <c:noMultiLvlLbl val="0"/>
      </c:catAx>
      <c:valAx>
        <c:axId val="907825584"/>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18096"/>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[STATriderV1.xlsm]PivotHRTarget!PivotHRTarget</c:name>
    <c:fmtId val="0"/>
  </c:pivotSource>
  <c:chart>
    <c:autoTitleDeleted val="1"/>
    <c:pivotFmts>
      <c:pivotFmt>
        <c:idx val="0"/>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PivotHRTarget!$B$1:$B$2</c:f>
              <c:strCache>
                <c:ptCount val="1"/>
                <c:pt idx="0">
                  <c:v>Sum of HR</c:v>
                </c:pt>
              </c:strCache>
            </c:strRef>
          </c:tx>
          <c:spPr>
            <a:ln w="28575" cap="rnd">
              <a:solidFill>
                <a:srgbClr val="0000FF"/>
              </a:solidFill>
              <a:round/>
            </a:ln>
            <a:effectLst/>
          </c:spPr>
          <c:marker>
            <c:symbol val="none"/>
          </c:marker>
          <c:cat>
            <c:multiLvlStrRef>
              <c:f>PivotHRTarget!$A$3:$A$20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PivotHRTarget!$B$3:$B$20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B1A9-45AB-A4EF-61A254DEFAD7}"/>
            </c:ext>
          </c:extLst>
        </c:ser>
        <c:ser>
          <c:idx val="1"/>
          <c:order val="1"/>
          <c:tx>
            <c:strRef>
              <c:f>PivotHRTarget!$C$1:$C$2</c:f>
              <c:strCache>
                <c:ptCount val="1"/>
                <c:pt idx="0">
                  <c:v>Sum of HR Goal</c:v>
                </c:pt>
              </c:strCache>
            </c:strRef>
          </c:tx>
          <c:spPr>
            <a:ln w="28575" cap="rnd">
              <a:solidFill>
                <a:srgbClr val="A6A6A6"/>
              </a:solidFill>
              <a:round/>
            </a:ln>
            <a:effectLst/>
          </c:spPr>
          <c:marker>
            <c:symbol val="none"/>
          </c:marker>
          <c:cat>
            <c:multiLvlStrRef>
              <c:f>PivotHRTarget!$A$3:$A$20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PivotHRTarget!$C$3:$C$20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B1A9-45AB-A4EF-61A254DEFAD7}"/>
            </c:ext>
          </c:extLst>
        </c:ser>
        <c:dLbls>
          <c:showLegendKey val="0"/>
          <c:showVal val="0"/>
          <c:showCatName val="0"/>
          <c:showSerName val="0"/>
          <c:showPercent val="0"/>
          <c:showBubbleSize val="0"/>
        </c:dLbls>
        <c:smooth val="0"/>
        <c:axId val="907821424"/>
        <c:axId val="907830576"/>
      </c:lineChart>
      <c:catAx>
        <c:axId val="907821424"/>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30576"/>
        <c:crosses val="autoZero"/>
        <c:auto val="1"/>
        <c:lblAlgn val="ctr"/>
        <c:lblOffset val="100"/>
        <c:noMultiLvlLbl val="0"/>
      </c:catAx>
      <c:valAx>
        <c:axId val="907830576"/>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1424"/>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[STATriderV1.xlsm]PivotAddWeight!PivotAddWeight</c:name>
    <c:fmtId val="0"/>
  </c:pivotSource>
  <c:chart>
    <c:autoTitleDeleted val="1"/>
    <c:pivotFmts>
      <c:pivotFmt>
        <c:idx val="0"/>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PivotAddWeight!$B$1:$B$2</c:f>
              <c:strCache>
                <c:ptCount val="1"/>
                <c:pt idx="0">
                  <c:v>2021</c:v>
                </c:pt>
              </c:strCache>
            </c:strRef>
          </c:tx>
          <c:spPr>
            <a:ln w="19050" cap="rnd">
              <a:solidFill>
                <a:schemeClr val="accent1"/>
              </a:solidFill>
              <a:prstDash val="solid"/>
              <a:round/>
            </a:ln>
            <a:effectLst/>
          </c:spPr>
          <c:marker>
            <c:symbol val="none"/>
          </c:marker>
          <c:cat>
            <c:strRef>
              <c:f>PivotAddWeight!$A$3</c:f>
              <c:strCache>
                <c:ptCount val="1"/>
                <c:pt idx="0">
                  <c:v>Mar</c:v>
                </c:pt>
              </c:strCache>
            </c:strRef>
          </c:cat>
          <c:val>
            <c:numRef>
              <c:f>PivotAddWeight!$B$3</c:f>
              <c:numCache>
                <c:formatCode>#,###.0</c:formatCode>
                <c:ptCount val="1"/>
                <c:pt idx="0">
                  <c:v>189</c:v>
                </c:pt>
              </c:numCache>
            </c:numRef>
          </c:val>
          <c:smooth val="1"/>
          <c:extLst>
            <c:ext xmlns:c16="http://schemas.microsoft.com/office/drawing/2014/chart" uri="{C3380CC4-5D6E-409C-BE32-E72D297353CC}">
              <c16:uniqueId val="{00000004-BED9-4E93-883A-0418AD9B2B7A}"/>
            </c:ext>
          </c:extLst>
        </c:ser>
        <c:dLbls>
          <c:showLegendKey val="0"/>
          <c:showVal val="0"/>
          <c:showCatName val="0"/>
          <c:showSerName val="0"/>
          <c:showPercent val="0"/>
          <c:showBubbleSize val="0"/>
        </c:dLbls>
        <c:smooth val="0"/>
        <c:axId val="884795984"/>
        <c:axId val="884796400"/>
      </c:lineChart>
      <c:catAx>
        <c:axId val="884795984"/>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4796400"/>
        <c:crossesAt val="0"/>
        <c:auto val="1"/>
        <c:lblAlgn val="ctr"/>
        <c:lblOffset val="100"/>
        <c:noMultiLvlLbl val="0"/>
      </c:catAx>
      <c:valAx>
        <c:axId val="884796400"/>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lb</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4795984"/>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A728-4984-94A2-531FB63C2A17}"/>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728-4984-94A2-531FB63C2A17}"/>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05-A728-4984-94A2-531FB63C2A17}"/>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07-A728-4984-94A2-531FB63C2A17}"/>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09-A728-4984-94A2-531FB63C2A17}"/>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0B-A728-4984-94A2-531FB63C2A17}"/>
              </c:ext>
            </c:extLst>
          </c:dPt>
          <c:dPt>
            <c:idx val="6"/>
            <c:bubble3D val="0"/>
            <c:spPr>
              <a:noFill/>
              <a:ln w="19050">
                <a:noFill/>
              </a:ln>
              <a:effectLst/>
            </c:spPr>
            <c:extLst>
              <c:ext xmlns:c16="http://schemas.microsoft.com/office/drawing/2014/chart" uri="{C3380CC4-5D6E-409C-BE32-E72D297353CC}">
                <c16:uniqueId val="{0000000D-A728-4984-94A2-531FB63C2A17}"/>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1.3999999999999986</c:v>
                </c:pt>
                <c:pt idx="3">
                  <c:v>2.5</c:v>
                </c:pt>
                <c:pt idx="4">
                  <c:v>4.8999999999999986</c:v>
                </c:pt>
                <c:pt idx="5">
                  <c:v>13.5</c:v>
                </c:pt>
                <c:pt idx="6">
                  <c:v>10.799999999999999</c:v>
                </c:pt>
              </c:numCache>
            </c:numRef>
          </c:val>
          <c:extLst>
            <c:ext xmlns:c16="http://schemas.microsoft.com/office/drawing/2014/chart" uri="{C3380CC4-5D6E-409C-BE32-E72D297353CC}">
              <c16:uniqueId val="{0000000E-A728-4984-94A2-531FB63C2A17}"/>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0-A728-4984-94A2-531FB63C2A17}"/>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2-A728-4984-94A2-531FB63C2A17}"/>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4-A728-4984-94A2-531FB63C2A17}"/>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6-A728-4984-94A2-531FB63C2A17}"/>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8-A728-4984-94A2-531FB63C2A17}"/>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A-A728-4984-94A2-531FB63C2A17}"/>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C-A728-4984-94A2-531FB63C2A17}"/>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1D-A728-4984-94A2-531FB63C2A17}"/>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9780-46E6-AECD-17DCBF321261}"/>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9780-46E6-AECD-17DCBF321261}"/>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0B7F-4EB6-BB5E-90B0FDB133B1}"/>
              </c:ext>
            </c:extLst>
          </c:dPt>
          <c:dPt>
            <c:idx val="1"/>
            <c:bubble3D val="0"/>
            <c:spPr>
              <a:solidFill>
                <a:srgbClr val="50FF00"/>
              </a:solidFill>
              <a:ln w="3175">
                <a:noFill/>
              </a:ln>
              <a:effectLst/>
            </c:spPr>
            <c:extLst>
              <c:ext xmlns:c16="http://schemas.microsoft.com/office/drawing/2014/chart" uri="{C3380CC4-5D6E-409C-BE32-E72D297353CC}">
                <c16:uniqueId val="{00000003-0B7F-4EB6-BB5E-90B0FDB133B1}"/>
              </c:ext>
            </c:extLst>
          </c:dPt>
          <c:dPt>
            <c:idx val="2"/>
            <c:bubble3D val="0"/>
            <c:spPr>
              <a:solidFill>
                <a:schemeClr val="accent3"/>
              </a:solidFill>
              <a:ln w="3175">
                <a:noFill/>
              </a:ln>
              <a:effectLst/>
            </c:spPr>
            <c:extLst>
              <c:ext xmlns:c16="http://schemas.microsoft.com/office/drawing/2014/chart" uri="{C3380CC4-5D6E-409C-BE32-E72D297353CC}">
                <c16:uniqueId val="{00000005-0B7F-4EB6-BB5E-90B0FDB133B1}"/>
              </c:ext>
            </c:extLst>
          </c:dPt>
          <c:cat>
            <c:strRef>
              <c:f>Gauges!$A$3:$A$5</c:f>
              <c:strCache>
                <c:ptCount val="3"/>
                <c:pt idx="0">
                  <c:v>Weeks to Race Gap</c:v>
                </c:pt>
                <c:pt idx="1">
                  <c:v>Actual Week</c:v>
                </c:pt>
                <c:pt idx="2">
                  <c:v>#N/A</c:v>
                </c:pt>
              </c:strCache>
            </c:strRef>
          </c:cat>
          <c:val>
            <c:numRef>
              <c:f>Gauges!$B$3:$B$5</c:f>
              <c:numCache>
                <c:formatCode>General</c:formatCode>
                <c:ptCount val="3"/>
                <c:pt idx="0">
                  <c:v>5.4</c:v>
                </c:pt>
                <c:pt idx="1">
                  <c:v>#N/A</c:v>
                </c:pt>
                <c:pt idx="2">
                  <c:v>#N/A</c:v>
                </c:pt>
              </c:numCache>
            </c:numRef>
          </c:val>
          <c:extLst>
            <c:ext xmlns:c16="http://schemas.microsoft.com/office/drawing/2014/chart" uri="{C3380CC4-5D6E-409C-BE32-E72D297353CC}">
              <c16:uniqueId val="{00000006-0B7F-4EB6-BB5E-90B0FDB133B1}"/>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[STATriderV1.xlsm]PivotCal!PivotCal</c:name>
    <c:fmtId val="1"/>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FF00"/>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PivotCal!$B$1:$B$2</c:f>
              <c:strCache>
                <c:ptCount val="1"/>
                <c:pt idx="0">
                  <c:v>Sum of Cal.</c:v>
                </c:pt>
              </c:strCache>
            </c:strRef>
          </c:tx>
          <c:spPr>
            <a:solidFill>
              <a:srgbClr val="FF8000"/>
            </a:solidFill>
            <a:ln>
              <a:noFill/>
            </a:ln>
            <a:effectLst/>
          </c:spPr>
          <c:invertIfNegative val="0"/>
          <c:cat>
            <c:multiLvlStrRef>
              <c:f>PivotCal!$A$3:$A$20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PivotCal!$B$3:$B$20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F12C-4A0E-8C90-1169A43EFCD8}"/>
            </c:ext>
          </c:extLst>
        </c:ser>
        <c:ser>
          <c:idx val="1"/>
          <c:order val="1"/>
          <c:tx>
            <c:strRef>
              <c:f>PivotCal!$C$1:$C$2</c:f>
              <c:strCache>
                <c:ptCount val="1"/>
                <c:pt idx="0">
                  <c:v>Sum of Cal. Goal Chart</c:v>
                </c:pt>
              </c:strCache>
            </c:strRef>
          </c:tx>
          <c:spPr>
            <a:solidFill>
              <a:srgbClr val="A6A6A6"/>
            </a:solidFill>
            <a:ln>
              <a:noFill/>
            </a:ln>
            <a:effectLst/>
          </c:spPr>
          <c:invertIfNegative val="0"/>
          <c:cat>
            <c:multiLvlStrRef>
              <c:f>PivotCal!$A$3:$A$20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F12C-4A0E-8C90-1169A43EFCD8}"/>
            </c:ext>
          </c:extLst>
        </c:ser>
        <c:dLbls>
          <c:showLegendKey val="0"/>
          <c:showVal val="0"/>
          <c:showCatName val="0"/>
          <c:showSerName val="0"/>
          <c:showPercent val="0"/>
          <c:showBubbleSize val="0"/>
        </c:dLbls>
        <c:gapWidth val="20"/>
        <c:overlap val="100"/>
        <c:axId val="1842249855"/>
        <c:axId val="1842257759"/>
      </c:barChart>
      <c:lineChart>
        <c:grouping val="standard"/>
        <c:varyColors val="0"/>
        <c:ser>
          <c:idx val="2"/>
          <c:order val="2"/>
          <c:tx>
            <c:strRef>
              <c:f>PivotCal!$D$1:$D$2</c:f>
              <c:strCache>
                <c:ptCount val="1"/>
                <c:pt idx="0">
                  <c:v>Sum of Cal/hour</c:v>
                </c:pt>
              </c:strCache>
            </c:strRef>
          </c:tx>
          <c:spPr>
            <a:ln w="19050" cap="rnd">
              <a:solidFill>
                <a:srgbClr val="FFFF00"/>
              </a:solidFill>
              <a:prstDash val="solid"/>
              <a:round/>
            </a:ln>
            <a:effectLst/>
          </c:spPr>
          <c:marker>
            <c:symbol val="none"/>
          </c:marker>
          <c:cat>
            <c:multiLvlStrRef>
              <c:f>PivotCal!$A$3:$A$20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PivotCal!$D$3:$D$20</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4-F12C-4A0E-8C90-1169A43EFCD8}"/>
            </c:ext>
          </c:extLst>
        </c:ser>
        <c:dLbls>
          <c:showLegendKey val="0"/>
          <c:showVal val="0"/>
          <c:showCatName val="0"/>
          <c:showSerName val="0"/>
          <c:showPercent val="0"/>
          <c:showBubbleSize val="0"/>
        </c:dLbls>
        <c:marker val="1"/>
        <c:smooth val="0"/>
        <c:axId val="1842263999"/>
        <c:axId val="1842271071"/>
      </c:lineChart>
      <c:catAx>
        <c:axId val="1842249855"/>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57759"/>
        <c:crossesAt val="0"/>
        <c:auto val="1"/>
        <c:lblAlgn val="ctr"/>
        <c:lblOffset val="100"/>
        <c:noMultiLvlLbl val="0"/>
      </c:catAx>
      <c:valAx>
        <c:axId val="1842257759"/>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49855"/>
        <c:crosses val="autoZero"/>
        <c:crossBetween val="between"/>
        <c:majorUnit val="25"/>
      </c:valAx>
      <c:valAx>
        <c:axId val="1842271071"/>
        <c:scaling>
          <c:orientation val="minMax"/>
          <c:max val="420"/>
          <c:min val="0"/>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Cal/hour</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63999"/>
        <c:crosses val="max"/>
        <c:crossBetween val="between"/>
        <c:majorUnit val="70"/>
      </c:valAx>
      <c:catAx>
        <c:axId val="1842263999"/>
        <c:scaling>
          <c:orientation val="minMax"/>
        </c:scaling>
        <c:delete val="1"/>
        <c:axPos val="b"/>
        <c:numFmt formatCode="General" sourceLinked="1"/>
        <c:majorTickMark val="out"/>
        <c:minorTickMark val="none"/>
        <c:tickLblPos val="nextTo"/>
        <c:crossAx val="1842271071"/>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[STATriderV1.xlsm]PivotSpeed!PivotSpeed</c:name>
    <c:fmtId val="1"/>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E1684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PivotSpeed!$B$1:$B$2</c:f>
              <c:strCache>
                <c:ptCount val="1"/>
                <c:pt idx="0">
                  <c:v>Sum of Speed</c:v>
                </c:pt>
              </c:strCache>
            </c:strRef>
          </c:tx>
          <c:spPr>
            <a:ln w="28575" cap="rnd">
              <a:solidFill>
                <a:srgbClr val="FF0000"/>
              </a:solidFill>
              <a:round/>
            </a:ln>
            <a:effectLst/>
          </c:spPr>
          <c:marker>
            <c:symbol val="none"/>
          </c:marker>
          <c:cat>
            <c:multiLvlStrRef>
              <c:f>PivotSpeed!$A$3:$A$20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PivotSpeed!$B$3:$B$20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8931-4F53-873D-23FDA66C2073}"/>
            </c:ext>
          </c:extLst>
        </c:ser>
        <c:dLbls>
          <c:showLegendKey val="0"/>
          <c:showVal val="0"/>
          <c:showCatName val="0"/>
          <c:showSerName val="0"/>
          <c:showPercent val="0"/>
          <c:showBubbleSize val="0"/>
        </c:dLbls>
        <c:marker val="1"/>
        <c:smooth val="0"/>
        <c:axId val="1842259423"/>
        <c:axId val="1842265663"/>
      </c:lineChart>
      <c:lineChart>
        <c:grouping val="standard"/>
        <c:varyColors val="0"/>
        <c:ser>
          <c:idx val="1"/>
          <c:order val="1"/>
          <c:tx>
            <c:strRef>
              <c:f>PivotSpeed!$C$1:$C$2</c:f>
              <c:strCache>
                <c:ptCount val="1"/>
                <c:pt idx="0">
                  <c:v>Sum of Climber Index</c:v>
                </c:pt>
              </c:strCache>
            </c:strRef>
          </c:tx>
          <c:spPr>
            <a:ln w="28575" cap="rnd">
              <a:solidFill>
                <a:srgbClr val="E1684B"/>
              </a:solidFill>
              <a:round/>
            </a:ln>
            <a:effectLst/>
          </c:spPr>
          <c:marker>
            <c:symbol val="none"/>
          </c:marker>
          <c:cat>
            <c:multiLvlStrRef>
              <c:f>PivotSpeed!$A$3:$A$20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PivotSpeed!$C$3:$C$20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2-8931-4F53-873D-23FDA66C2073}"/>
            </c:ext>
          </c:extLst>
        </c:ser>
        <c:dLbls>
          <c:showLegendKey val="0"/>
          <c:showVal val="0"/>
          <c:showCatName val="0"/>
          <c:showSerName val="0"/>
          <c:showPercent val="0"/>
          <c:showBubbleSize val="0"/>
        </c:dLbls>
        <c:marker val="1"/>
        <c:smooth val="0"/>
        <c:axId val="1842280223"/>
        <c:axId val="1842260671"/>
      </c:lineChart>
      <c:catAx>
        <c:axId val="1842259423"/>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65663"/>
        <c:crosses val="autoZero"/>
        <c:auto val="1"/>
        <c:lblAlgn val="ctr"/>
        <c:lblOffset val="100"/>
        <c:noMultiLvlLbl val="0"/>
      </c:catAx>
      <c:valAx>
        <c:axId val="1842265663"/>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mph</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59423"/>
        <c:crosses val="autoZero"/>
        <c:crossBetween val="between"/>
        <c:majorUnit val="25"/>
      </c:valAx>
      <c:valAx>
        <c:axId val="1842260671"/>
        <c:scaling>
          <c:orientation val="minMax"/>
          <c:max val="24"/>
          <c:min val="0"/>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Climber Index</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80223"/>
        <c:crosses val="max"/>
        <c:crossBetween val="between"/>
        <c:majorUnit val="4"/>
      </c:valAx>
      <c:catAx>
        <c:axId val="1842280223"/>
        <c:scaling>
          <c:orientation val="minMax"/>
        </c:scaling>
        <c:delete val="1"/>
        <c:axPos val="b"/>
        <c:numFmt formatCode="General" sourceLinked="1"/>
        <c:majorTickMark val="out"/>
        <c:minorTickMark val="none"/>
        <c:tickLblPos val="nextTo"/>
        <c:crossAx val="1842260671"/>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[STATriderV1.xlsm]PivotWeight!PivotWeight</c:name>
    <c:fmtId val="1"/>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PivotWeight!$B$1:$B$2</c:f>
              <c:strCache>
                <c:ptCount val="1"/>
                <c:pt idx="0">
                  <c:v>Sum of Weight</c:v>
                </c:pt>
              </c:strCache>
            </c:strRef>
          </c:tx>
          <c:spPr>
            <a:ln w="28575" cap="rnd">
              <a:solidFill>
                <a:srgbClr val="00FF00"/>
              </a:solidFill>
              <a:round/>
            </a:ln>
            <a:effectLst/>
          </c:spPr>
          <c:marker>
            <c:symbol val="none"/>
          </c:marker>
          <c:cat>
            <c:multiLvlStrRef>
              <c:f>PivotWeight!$A$3:$A$20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PivotWeight!$B$3:$B$20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B855-47EC-8212-CC5C0E612890}"/>
            </c:ext>
          </c:extLst>
        </c:ser>
        <c:dLbls>
          <c:showLegendKey val="0"/>
          <c:showVal val="0"/>
          <c:showCatName val="0"/>
          <c:showSerName val="0"/>
          <c:showPercent val="0"/>
          <c:showBubbleSize val="0"/>
        </c:dLbls>
        <c:marker val="1"/>
        <c:smooth val="0"/>
        <c:axId val="147964272"/>
        <c:axId val="147978000"/>
      </c:lineChart>
      <c:lineChart>
        <c:grouping val="standard"/>
        <c:varyColors val="0"/>
        <c:ser>
          <c:idx val="1"/>
          <c:order val="1"/>
          <c:tx>
            <c:strRef>
              <c:f>PivotWeight!$C$1:$C$2</c:f>
              <c:strCache>
                <c:ptCount val="1"/>
                <c:pt idx="0">
                  <c:v>Sum of HR</c:v>
                </c:pt>
              </c:strCache>
            </c:strRef>
          </c:tx>
          <c:spPr>
            <a:ln w="28575" cap="rnd">
              <a:solidFill>
                <a:srgbClr val="0000FF"/>
              </a:solidFill>
              <a:round/>
            </a:ln>
            <a:effectLst/>
          </c:spPr>
          <c:marker>
            <c:symbol val="none"/>
          </c:marker>
          <c:cat>
            <c:multiLvlStrRef>
              <c:f>PivotWeight!$A$3:$A$20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B855-47EC-8212-CC5C0E612890}"/>
            </c:ext>
          </c:extLst>
        </c:ser>
        <c:dLbls>
          <c:showLegendKey val="0"/>
          <c:showVal val="0"/>
          <c:showCatName val="0"/>
          <c:showSerName val="0"/>
          <c:showPercent val="0"/>
          <c:showBubbleSize val="0"/>
        </c:dLbls>
        <c:marker val="1"/>
        <c:smooth val="0"/>
        <c:axId val="147969680"/>
        <c:axId val="147978832"/>
      </c:lineChart>
      <c:catAx>
        <c:axId val="147964272"/>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78000"/>
        <c:crosses val="autoZero"/>
        <c:auto val="1"/>
        <c:lblAlgn val="ctr"/>
        <c:lblOffset val="100"/>
        <c:noMultiLvlLbl val="0"/>
      </c:catAx>
      <c:valAx>
        <c:axId val="147978000"/>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64272"/>
        <c:crosses val="autoZero"/>
        <c:crossBetween val="between"/>
        <c:majorUnit val="25"/>
      </c:valAx>
      <c:valAx>
        <c:axId val="147978832"/>
        <c:scaling>
          <c:orientation val="minMax"/>
          <c:max val="121.5"/>
          <c:min val="120.5"/>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69680"/>
        <c:crosses val="max"/>
        <c:crossBetween val="between"/>
        <c:majorUnit val="0.5"/>
      </c:valAx>
      <c:catAx>
        <c:axId val="147969680"/>
        <c:scaling>
          <c:orientation val="minMax"/>
        </c:scaling>
        <c:delete val="1"/>
        <c:axPos val="b"/>
        <c:numFmt formatCode="General" sourceLinked="1"/>
        <c:majorTickMark val="out"/>
        <c:minorTickMark val="none"/>
        <c:tickLblPos val="nextTo"/>
        <c:crossAx val="147978832"/>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[STATriderV1.xlsm]PivotAnalytics2!PivotAnalytics2</c:name>
    <c:fmtId val="0"/>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PivotAnalytics2!$B$1:$B$2</c:f>
              <c:strCache>
                <c:ptCount val="1"/>
                <c:pt idx="0">
                  <c:v>Average of Bike Cadence</c:v>
                </c:pt>
              </c:strCache>
            </c:strRef>
          </c:tx>
          <c:spPr>
            <a:ln w="19050" cap="rnd">
              <a:solidFill>
                <a:schemeClr val="accent1"/>
              </a:solidFill>
              <a:prstDash val="solid"/>
              <a:round/>
            </a:ln>
            <a:effectLst/>
          </c:spPr>
          <c:marker>
            <c:symbol val="none"/>
          </c:marker>
          <c:cat>
            <c:strRef>
              <c:f>PivotAnalytics2!$A$3</c:f>
              <c:strCache>
                <c:ptCount val="1"/>
                <c:pt idx="0">
                  <c:v>Grand Total</c:v>
                </c:pt>
              </c:strCache>
            </c:strRef>
          </c:cat>
          <c:val>
            <c:numRef>
              <c:f>PivotAnalytics2!$B$3</c:f>
              <c:numCache>
                <c:formatCode>0</c:formatCode>
                <c:ptCount val="1"/>
              </c:numCache>
            </c:numRef>
          </c:val>
          <c:smooth val="1"/>
          <c:extLst>
            <c:ext xmlns:c16="http://schemas.microsoft.com/office/drawing/2014/chart" uri="{C3380CC4-5D6E-409C-BE32-E72D297353CC}">
              <c16:uniqueId val="{00000000-7444-450C-996D-B8B6F65B37F8}"/>
            </c:ext>
          </c:extLst>
        </c:ser>
        <c:dLbls>
          <c:showLegendKey val="0"/>
          <c:showVal val="0"/>
          <c:showCatName val="0"/>
          <c:showSerName val="0"/>
          <c:showPercent val="0"/>
          <c:showBubbleSize val="0"/>
        </c:dLbls>
        <c:marker val="1"/>
        <c:smooth val="0"/>
        <c:axId val="920852544"/>
        <c:axId val="920852960"/>
      </c:lineChart>
      <c:lineChart>
        <c:grouping val="standard"/>
        <c:varyColors val="0"/>
        <c:ser>
          <c:idx val="1"/>
          <c:order val="1"/>
          <c:tx>
            <c:strRef>
              <c:f>PivotAnalytics2!$C$1:$C$2</c:f>
              <c:strCache>
                <c:ptCount val="1"/>
                <c:pt idx="0">
                  <c:v>Average of Cal/hour</c:v>
                </c:pt>
              </c:strCache>
            </c:strRef>
          </c:tx>
          <c:spPr>
            <a:ln w="19050" cap="rnd">
              <a:solidFill>
                <a:schemeClr val="accent2"/>
              </a:solidFill>
              <a:prstDash val="solid"/>
              <a:round/>
            </a:ln>
            <a:effectLst/>
          </c:spPr>
          <c:marker>
            <c:symbol val="none"/>
          </c:marker>
          <c:cat>
            <c:strRef>
              <c:f>PivotAnalytics2!$A$3</c:f>
              <c:strCache>
                <c:ptCount val="1"/>
                <c:pt idx="0">
                  <c:v>Grand Total</c:v>
                </c:pt>
              </c:strCache>
            </c:strRef>
          </c:cat>
          <c:val>
            <c:numRef>
              <c:f>PivotAnalytics2!$C$3</c:f>
              <c:numCache>
                <c:formatCode>0</c:formatCode>
                <c:ptCount val="1"/>
              </c:numCache>
            </c:numRef>
          </c:val>
          <c:smooth val="1"/>
          <c:extLst>
            <c:ext xmlns:c16="http://schemas.microsoft.com/office/drawing/2014/chart" uri="{C3380CC4-5D6E-409C-BE32-E72D297353CC}">
              <c16:uniqueId val="{00000001-7444-450C-996D-B8B6F65B37F8}"/>
            </c:ext>
          </c:extLst>
        </c:ser>
        <c:dLbls>
          <c:showLegendKey val="0"/>
          <c:showVal val="0"/>
          <c:showCatName val="0"/>
          <c:showSerName val="0"/>
          <c:showPercent val="0"/>
          <c:showBubbleSize val="0"/>
        </c:dLbls>
        <c:marker val="1"/>
        <c:smooth val="0"/>
        <c:axId val="920855456"/>
        <c:axId val="920846720"/>
      </c:lineChart>
      <c:catAx>
        <c:axId val="920852544"/>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2960"/>
        <c:crossesAt val="0"/>
        <c:auto val="1"/>
        <c:lblAlgn val="ctr"/>
        <c:lblOffset val="100"/>
        <c:noMultiLvlLbl val="0"/>
      </c:catAx>
      <c:valAx>
        <c:axId val="920852960"/>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rpm</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2544"/>
        <c:crosses val="autoZero"/>
        <c:crossBetween val="between"/>
      </c:valAx>
      <c:valAx>
        <c:axId val="920846720"/>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5456"/>
        <c:crosses val="max"/>
        <c:crossBetween val="between"/>
      </c:valAx>
      <c:catAx>
        <c:axId val="920855456"/>
        <c:scaling>
          <c:orientation val="minMax"/>
        </c:scaling>
        <c:delete val="1"/>
        <c:axPos val="b"/>
        <c:numFmt formatCode="General" sourceLinked="1"/>
        <c:majorTickMark val="out"/>
        <c:minorTickMark val="none"/>
        <c:tickLblPos val="nextTo"/>
        <c:crossAx val="920846720"/>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[STATriderV1.xlsm]PivotAnalytics4!PivotAnalytics4</c:name>
    <c:fmtId val="4"/>
  </c:pivotSource>
  <c:chart>
    <c:autoTitleDeleted val="1"/>
    <c:pivotFmts>
      <c:pivotFmt>
        <c:idx val="0"/>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PivotAnalytics4!$B$1</c:f>
              <c:strCache>
                <c:ptCount val="1"/>
                <c:pt idx="0">
                  <c:v>Total</c:v>
                </c:pt>
              </c:strCache>
            </c:strRef>
          </c:tx>
          <c:spPr>
            <a:ln w="28575" cap="rnd">
              <a:solidFill>
                <a:schemeClr val="accent1"/>
              </a:solidFill>
              <a:round/>
            </a:ln>
            <a:effectLst/>
          </c:spPr>
          <c:marker>
            <c:symbol val="none"/>
          </c:marker>
          <c:cat>
            <c:strRef>
              <c:f>PivotAnalytics4!$A$2:$A$3</c:f>
              <c:strCache>
                <c:ptCount val="1"/>
                <c:pt idx="0">
                  <c:v>(blank)</c:v>
                </c:pt>
              </c:strCache>
            </c:strRef>
          </c:cat>
          <c:val>
            <c:numRef>
              <c:f>PivotAnalytics4!$B$2:$B$3</c:f>
              <c:numCache>
                <c:formatCode>0</c:formatCode>
                <c:ptCount val="1"/>
              </c:numCache>
            </c:numRef>
          </c:val>
          <c:smooth val="1"/>
          <c:extLst>
            <c:ext xmlns:c16="http://schemas.microsoft.com/office/drawing/2014/chart" uri="{C3380CC4-5D6E-409C-BE32-E72D297353CC}">
              <c16:uniqueId val="{00000000-15CA-43AD-819C-4DA519B2E9D3}"/>
            </c:ext>
          </c:extLst>
        </c:ser>
        <c:dLbls>
          <c:showLegendKey val="0"/>
          <c:showVal val="0"/>
          <c:showCatName val="0"/>
          <c:showSerName val="0"/>
          <c:showPercent val="0"/>
          <c:showBubbleSize val="0"/>
        </c:dLbls>
        <c:smooth val="0"/>
        <c:axId val="881998672"/>
        <c:axId val="881994928"/>
      </c:lineChart>
      <c:catAx>
        <c:axId val="88199867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1994928"/>
        <c:crossesAt val="0"/>
        <c:auto val="1"/>
        <c:lblAlgn val="ctr"/>
        <c:lblOffset val="100"/>
        <c:noMultiLvlLbl val="0"/>
      </c:catAx>
      <c:valAx>
        <c:axId val="88199492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199867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[STATriderV1.xlsm]PivotAnalytics3!PivotAnalytics3</c:name>
    <c:fmtId val="1"/>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PivotAnalytics3!$C$1:$C$2</c:f>
              <c:strCache>
                <c:ptCount val="1"/>
                <c:pt idx="0">
                  <c:v>Sum of Activity Calories</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PivotAnalytics3!$A$3</c:f>
              <c:strCache>
                <c:ptCount val="1"/>
                <c:pt idx="0">
                  <c:v>Grand Total</c:v>
                </c:pt>
              </c:strCache>
            </c:strRef>
          </c:cat>
          <c:val>
            <c:numRef>
              <c:f>PivotAnalytics3!$C$3</c:f>
              <c:numCache>
                <c:formatCode>#,###</c:formatCode>
                <c:ptCount val="1"/>
              </c:numCache>
            </c:numRef>
          </c:val>
          <c:extLst>
            <c:ext xmlns:c16="http://schemas.microsoft.com/office/drawing/2014/chart" uri="{C3380CC4-5D6E-409C-BE32-E72D297353CC}">
              <c16:uniqueId val="{00000001-0FBA-4711-A5FB-B6EA8C21C1B6}"/>
            </c:ext>
          </c:extLst>
        </c:ser>
        <c:dLbls>
          <c:showLegendKey val="0"/>
          <c:showVal val="0"/>
          <c:showCatName val="0"/>
          <c:showSerName val="0"/>
          <c:showPercent val="0"/>
          <c:showBubbleSize val="0"/>
        </c:dLbls>
        <c:gapWidth val="100"/>
        <c:axId val="882028208"/>
        <c:axId val="882030288"/>
      </c:barChart>
      <c:lineChart>
        <c:grouping val="standard"/>
        <c:varyColors val="0"/>
        <c:ser>
          <c:idx val="0"/>
          <c:order val="0"/>
          <c:tx>
            <c:strRef>
              <c:f>PivotAnalytics3!$B$1:$B$2</c:f>
              <c:strCache>
                <c:ptCount val="1"/>
                <c:pt idx="0">
                  <c:v>Average of Hrs/Activity</c:v>
                </c:pt>
              </c:strCache>
            </c:strRef>
          </c:tx>
          <c:spPr>
            <a:ln w="19050" cap="rnd">
              <a:solidFill>
                <a:schemeClr val="accent1"/>
              </a:solidFill>
              <a:prstDash val="solid"/>
              <a:round/>
            </a:ln>
            <a:effectLst/>
          </c:spPr>
          <c:marker>
            <c:symbol val="none"/>
          </c:marker>
          <c:cat>
            <c:strRef>
              <c:f>PivotAnalytics3!$A$3</c:f>
              <c:strCache>
                <c:ptCount val="1"/>
                <c:pt idx="0">
                  <c:v>Grand Total</c:v>
                </c:pt>
              </c:strCache>
            </c:strRef>
          </c:cat>
          <c:val>
            <c:numRef>
              <c:f>PivotAnalytics3!$B$3</c:f>
              <c:numCache>
                <c:formatCode>[hh]:mm</c:formatCode>
                <c:ptCount val="1"/>
              </c:numCache>
            </c:numRef>
          </c:val>
          <c:smooth val="1"/>
          <c:extLst>
            <c:ext xmlns:c16="http://schemas.microsoft.com/office/drawing/2014/chart" uri="{C3380CC4-5D6E-409C-BE32-E72D297353CC}">
              <c16:uniqueId val="{00000000-0FBA-4711-A5FB-B6EA8C21C1B6}"/>
            </c:ext>
          </c:extLst>
        </c:ser>
        <c:dLbls>
          <c:showLegendKey val="0"/>
          <c:showVal val="0"/>
          <c:showCatName val="0"/>
          <c:showSerName val="0"/>
          <c:showPercent val="0"/>
          <c:showBubbleSize val="0"/>
        </c:dLbls>
        <c:marker val="1"/>
        <c:smooth val="0"/>
        <c:axId val="882021552"/>
        <c:axId val="882029040"/>
      </c:lineChart>
      <c:catAx>
        <c:axId val="88202155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9040"/>
        <c:crossesAt val="0"/>
        <c:auto val="1"/>
        <c:lblAlgn val="ctr"/>
        <c:lblOffset val="100"/>
        <c:noMultiLvlLbl val="0"/>
      </c:catAx>
      <c:valAx>
        <c:axId val="882029040"/>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Hours / Activity</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hh]:mm"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1552"/>
        <c:crosses val="autoZero"/>
        <c:crossBetween val="between"/>
      </c:valAx>
      <c:valAx>
        <c:axId val="882030288"/>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Calories</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8208"/>
        <c:crosses val="max"/>
        <c:crossBetween val="between"/>
      </c:valAx>
      <c:catAx>
        <c:axId val="882028208"/>
        <c:scaling>
          <c:orientation val="minMax"/>
        </c:scaling>
        <c:delete val="1"/>
        <c:axPos val="b"/>
        <c:numFmt formatCode="General" sourceLinked="1"/>
        <c:majorTickMark val="out"/>
        <c:minorTickMark val="none"/>
        <c:tickLblPos val="nextTo"/>
        <c:crossAx val="882030288"/>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[STATriderV1.xlsm]PivotAnalytics1!PivotAnalytics1</c:name>
    <c:fmtId val="1"/>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PivotAnalytics1!$B$1:$B$2</c:f>
              <c:strCache>
                <c:ptCount val="1"/>
                <c:pt idx="0">
                  <c:v>Average of Heart Rate</c:v>
                </c:pt>
              </c:strCache>
            </c:strRef>
          </c:tx>
          <c:spPr>
            <a:ln w="19050" cap="rnd">
              <a:solidFill>
                <a:schemeClr val="accent1"/>
              </a:solidFill>
              <a:prstDash val="solid"/>
              <a:round/>
            </a:ln>
            <a:effectLst/>
          </c:spPr>
          <c:marker>
            <c:symbol val="none"/>
          </c:marker>
          <c:cat>
            <c:strRef>
              <c:f>PivotAnalytics1!$A$3</c:f>
              <c:strCache>
                <c:ptCount val="1"/>
                <c:pt idx="0">
                  <c:v>Grand Total</c:v>
                </c:pt>
              </c:strCache>
            </c:strRef>
          </c:cat>
          <c:val>
            <c:numRef>
              <c:f>PivotAnalytics1!$B$3</c:f>
              <c:numCache>
                <c:formatCode>0</c:formatCode>
                <c:ptCount val="1"/>
              </c:numCache>
            </c:numRef>
          </c:val>
          <c:smooth val="1"/>
          <c:extLst>
            <c:ext xmlns:c16="http://schemas.microsoft.com/office/drawing/2014/chart" uri="{C3380CC4-5D6E-409C-BE32-E72D297353CC}">
              <c16:uniqueId val="{00000000-B1F2-49C3-B5BF-14DE85611444}"/>
            </c:ext>
          </c:extLst>
        </c:ser>
        <c:dLbls>
          <c:showLegendKey val="0"/>
          <c:showVal val="0"/>
          <c:showCatName val="0"/>
          <c:showSerName val="0"/>
          <c:showPercent val="0"/>
          <c:showBubbleSize val="0"/>
        </c:dLbls>
        <c:marker val="1"/>
        <c:smooth val="0"/>
        <c:axId val="1368083952"/>
        <c:axId val="1368084368"/>
      </c:lineChart>
      <c:lineChart>
        <c:grouping val="standard"/>
        <c:varyColors val="0"/>
        <c:ser>
          <c:idx val="1"/>
          <c:order val="1"/>
          <c:tx>
            <c:strRef>
              <c:f>PivotAnalytics1!$C$1:$C$2</c:f>
              <c:strCache>
                <c:ptCount val="1"/>
                <c:pt idx="0">
                  <c:v>Average of Cal/hour</c:v>
                </c:pt>
              </c:strCache>
            </c:strRef>
          </c:tx>
          <c:spPr>
            <a:ln w="19050" cap="rnd">
              <a:solidFill>
                <a:schemeClr val="accent2"/>
              </a:solidFill>
              <a:prstDash val="solid"/>
              <a:round/>
            </a:ln>
            <a:effectLst/>
          </c:spPr>
          <c:marker>
            <c:symbol val="none"/>
          </c:marker>
          <c:cat>
            <c:strRef>
              <c:f>PivotAnalytics1!$A$3</c:f>
              <c:strCache>
                <c:ptCount val="1"/>
                <c:pt idx="0">
                  <c:v>Grand Total</c:v>
                </c:pt>
              </c:strCache>
            </c:strRef>
          </c:cat>
          <c:val>
            <c:numRef>
              <c:f>PivotAnalytics1!$C$3</c:f>
              <c:numCache>
                <c:formatCode>0</c:formatCode>
                <c:ptCount val="1"/>
              </c:numCache>
            </c:numRef>
          </c:val>
          <c:smooth val="1"/>
          <c:extLst>
            <c:ext xmlns:c16="http://schemas.microsoft.com/office/drawing/2014/chart" uri="{C3380CC4-5D6E-409C-BE32-E72D297353CC}">
              <c16:uniqueId val="{00000001-B1F2-49C3-B5BF-14DE85611444}"/>
            </c:ext>
          </c:extLst>
        </c:ser>
        <c:dLbls>
          <c:showLegendKey val="0"/>
          <c:showVal val="0"/>
          <c:showCatName val="0"/>
          <c:showSerName val="0"/>
          <c:showPercent val="0"/>
          <c:showBubbleSize val="0"/>
        </c:dLbls>
        <c:marker val="1"/>
        <c:smooth val="0"/>
        <c:axId val="2104993936"/>
        <c:axId val="2104994768"/>
      </c:lineChart>
      <c:catAx>
        <c:axId val="136808395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368084368"/>
        <c:crossesAt val="0"/>
        <c:auto val="1"/>
        <c:lblAlgn val="ctr"/>
        <c:lblOffset val="100"/>
        <c:noMultiLvlLbl val="0"/>
      </c:catAx>
      <c:valAx>
        <c:axId val="136808436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bpm</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368083952"/>
        <c:crosses val="autoZero"/>
        <c:crossBetween val="between"/>
      </c:valAx>
      <c:valAx>
        <c:axId val="2104994768"/>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104993936"/>
        <c:crosses val="max"/>
        <c:crossBetween val="between"/>
      </c:valAx>
      <c:catAx>
        <c:axId val="2104993936"/>
        <c:scaling>
          <c:orientation val="minMax"/>
        </c:scaling>
        <c:delete val="1"/>
        <c:axPos val="b"/>
        <c:numFmt formatCode="General" sourceLinked="1"/>
        <c:majorTickMark val="out"/>
        <c:minorTickMark val="none"/>
        <c:tickLblPos val="nextTo"/>
        <c:crossAx val="2104994768"/>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10-D1BA-40DD-8E94-966E754F48A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12-D1BA-40DD-8E94-966E754F48A9}"/>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14-D1BA-40DD-8E94-966E754F48A9}"/>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16-D1BA-40DD-8E94-966E754F48A9}"/>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18-D1BA-40DD-8E94-966E754F48A9}"/>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1A-D1BA-40DD-8E94-966E754F48A9}"/>
              </c:ext>
            </c:extLst>
          </c:dPt>
          <c:dPt>
            <c:idx val="6"/>
            <c:bubble3D val="0"/>
            <c:spPr>
              <a:noFill/>
              <a:ln w="19050">
                <a:noFill/>
              </a:ln>
              <a:effectLst/>
            </c:spPr>
            <c:extLst>
              <c:ext xmlns:c16="http://schemas.microsoft.com/office/drawing/2014/chart" uri="{C3380CC4-5D6E-409C-BE32-E72D297353CC}">
                <c16:uniqueId val="{0000001C-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1.3999999999999986</c:v>
                </c:pt>
                <c:pt idx="3">
                  <c:v>2.5</c:v>
                </c:pt>
                <c:pt idx="4">
                  <c:v>4.8999999999999986</c:v>
                </c:pt>
                <c:pt idx="5">
                  <c:v>13.5</c:v>
                </c:pt>
                <c:pt idx="6">
                  <c:v>10.799999999999999</c:v>
                </c:pt>
              </c:numCache>
            </c:numRef>
          </c:val>
          <c:extLst>
            <c:ext xmlns:c16="http://schemas.microsoft.com/office/drawing/2014/chart" uri="{C3380CC4-5D6E-409C-BE32-E72D297353CC}">
              <c16:uniqueId val="{0000001D-D1BA-40DD-8E94-966E754F48A9}"/>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1-D1BA-40DD-8E94-966E754F48A9}"/>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3-D1BA-40DD-8E94-966E754F48A9}"/>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5-D1BA-40DD-8E94-966E754F48A9}"/>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7-D1BA-40DD-8E94-966E754F48A9}"/>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9-D1BA-40DD-8E94-966E754F48A9}"/>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B-D1BA-40DD-8E94-966E754F48A9}"/>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D-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0E-D1BA-40DD-8E94-966E754F48A9}"/>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F0A6-4BEC-BDEE-4A2CB8CB7E4A}"/>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F0A6-4BEC-BDEE-4A2CB8CB7E4A}"/>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EE2B-4F79-9D21-BFD3B878C2F2}"/>
              </c:ext>
            </c:extLst>
          </c:dPt>
          <c:dPt>
            <c:idx val="1"/>
            <c:bubble3D val="0"/>
            <c:spPr>
              <a:solidFill>
                <a:srgbClr val="50FF00"/>
              </a:solidFill>
              <a:ln w="3175">
                <a:noFill/>
              </a:ln>
              <a:effectLst/>
            </c:spPr>
            <c:extLst>
              <c:ext xmlns:c16="http://schemas.microsoft.com/office/drawing/2014/chart" uri="{C3380CC4-5D6E-409C-BE32-E72D297353CC}">
                <c16:uniqueId val="{00000003-EE2B-4F79-9D21-BFD3B878C2F2}"/>
              </c:ext>
            </c:extLst>
          </c:dPt>
          <c:dPt>
            <c:idx val="2"/>
            <c:bubble3D val="0"/>
            <c:spPr>
              <a:solidFill>
                <a:schemeClr val="accent3"/>
              </a:solidFill>
              <a:ln w="3175">
                <a:noFill/>
              </a:ln>
              <a:effectLst/>
            </c:spPr>
            <c:extLst>
              <c:ext xmlns:c16="http://schemas.microsoft.com/office/drawing/2014/chart" uri="{C3380CC4-5D6E-409C-BE32-E72D297353CC}">
                <c16:uniqueId val="{00000005-EE2B-4F79-9D21-BFD3B878C2F2}"/>
              </c:ext>
            </c:extLst>
          </c:dPt>
          <c:cat>
            <c:strRef>
              <c:f>Gauges!$A$3:$A$5</c:f>
              <c:strCache>
                <c:ptCount val="3"/>
                <c:pt idx="0">
                  <c:v>Weeks to Race Gap</c:v>
                </c:pt>
                <c:pt idx="1">
                  <c:v>Actual Week</c:v>
                </c:pt>
                <c:pt idx="2">
                  <c:v>#N/A</c:v>
                </c:pt>
              </c:strCache>
            </c:strRef>
          </c:cat>
          <c:val>
            <c:numRef>
              <c:f>Gauges!$B$3:$B$5</c:f>
              <c:numCache>
                <c:formatCode>General</c:formatCode>
                <c:ptCount val="3"/>
                <c:pt idx="0">
                  <c:v>5.4</c:v>
                </c:pt>
                <c:pt idx="1">
                  <c:v>#N/A</c:v>
                </c:pt>
                <c:pt idx="2">
                  <c:v>#N/A</c:v>
                </c:pt>
              </c:numCache>
            </c:numRef>
          </c:val>
          <c:extLst>
            <c:ext xmlns:c16="http://schemas.microsoft.com/office/drawing/2014/chart" uri="{C3380CC4-5D6E-409C-BE32-E72D297353CC}">
              <c16:uniqueId val="{00000006-EE2B-4F79-9D21-BFD3B878C2F2}"/>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xdr:row>
          <xdr:rowOff>57150</xdr:rowOff>
        </xdr:from>
        <xdr:to>
          <xdr:col>2</xdr:col>
          <xdr:colOff>1866900</xdr:colOff>
          <xdr:row>2</xdr:row>
          <xdr:rowOff>114300</xdr:rowOff>
        </xdr:to>
        <xdr:sp macro="" textlink="">
          <xdr:nvSpPr>
            <xdr:cNvPr id="7170" name="EventsAddButton" descr="Add Event to Calendar"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Calendar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4029075</xdr:colOff>
          <xdr:row>16</xdr:row>
          <xdr:rowOff>9525</xdr:rowOff>
        </xdr:from>
        <xdr:to>
          <xdr:col>4</xdr:col>
          <xdr:colOff>419100</xdr:colOff>
          <xdr:row>17</xdr:row>
          <xdr:rowOff>76200</xdr:rowOff>
        </xdr:to>
        <xdr:sp macro="" textlink="">
          <xdr:nvSpPr>
            <xdr:cNvPr id="7176" name="StateBox"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3945003</xdr:colOff>
      <xdr:row>14</xdr:row>
      <xdr:rowOff>46925</xdr:rowOff>
    </xdr:from>
    <xdr:to>
      <xdr:col>4</xdr:col>
      <xdr:colOff>501554</xdr:colOff>
      <xdr:row>16</xdr:row>
      <xdr:rowOff>1728</xdr:rowOff>
    </xdr:to>
    <xdr:sp macro="" textlink="">
      <xdr:nvSpPr>
        <xdr:cNvPr id="2" name="StateTextBox">
          <a:extLst>
            <a:ext uri="{FF2B5EF4-FFF2-40B4-BE49-F238E27FC236}">
              <a16:creationId xmlns:a16="http://schemas.microsoft.com/office/drawing/2014/main" id="{00000000-0008-0000-0000-000002000000}"/>
            </a:ext>
          </a:extLst>
        </xdr:cNvPr>
        <xdr:cNvSpPr txBox="1"/>
      </xdr:nvSpPr>
      <xdr:spPr>
        <a:xfrm>
          <a:off x="5130596" y="2491076"/>
          <a:ext cx="1554480"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State</a:t>
          </a:r>
        </a:p>
      </xdr:txBody>
    </xdr:sp>
    <xdr:clientData/>
  </xdr:twoCellAnchor>
  <mc:AlternateContent xmlns:mc="http://schemas.openxmlformats.org/markup-compatibility/2006">
    <mc:Choice xmlns:a14="http://schemas.microsoft.com/office/drawing/2010/main" Requires="a14">
      <xdr:twoCellAnchor editAs="absolute">
        <xdr:from>
          <xdr:col>6</xdr:col>
          <xdr:colOff>285750</xdr:colOff>
          <xdr:row>16</xdr:row>
          <xdr:rowOff>0</xdr:rowOff>
        </xdr:from>
        <xdr:to>
          <xdr:col>8</xdr:col>
          <xdr:colOff>809625</xdr:colOff>
          <xdr:row>17</xdr:row>
          <xdr:rowOff>57150</xdr:rowOff>
        </xdr:to>
        <xdr:sp macro="" textlink="">
          <xdr:nvSpPr>
            <xdr:cNvPr id="7183" name="EventsTransferButton" descr="Add Event to Calendar"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Favorites</a:t>
              </a:r>
            </a:p>
            <a:p>
              <a:pPr algn="ctr" rtl="0">
                <a:defRPr sz="1000"/>
              </a:pPr>
              <a:r>
                <a:rPr lang="en-US" sz="1000" b="1" i="0" u="none" strike="noStrike" baseline="0">
                  <a:solidFill>
                    <a:srgbClr val="000000"/>
                  </a:solidFill>
                  <a:latin typeface="Arial Nova"/>
                </a:rPr>
                <a:t> ­­</a:t>
              </a:r>
            </a:p>
          </xdr:txBody>
        </xdr:sp>
        <xdr:clientData/>
      </xdr:twoCellAnchor>
    </mc:Choice>
    <mc:Fallback/>
  </mc:AlternateContent>
  <xdr:twoCellAnchor editAs="absolute">
    <xdr:from>
      <xdr:col>0</xdr:col>
      <xdr:colOff>80962</xdr:colOff>
      <xdr:row>14</xdr:row>
      <xdr:rowOff>46925</xdr:rowOff>
    </xdr:from>
    <xdr:to>
      <xdr:col>2</xdr:col>
      <xdr:colOff>454342</xdr:colOff>
      <xdr:row>16</xdr:row>
      <xdr:rowOff>1728</xdr:rowOff>
    </xdr:to>
    <xdr:sp macro="" textlink="">
      <xdr:nvSpPr>
        <xdr:cNvPr id="8" name="DataTextBox">
          <a:extLst>
            <a:ext uri="{FF2B5EF4-FFF2-40B4-BE49-F238E27FC236}">
              <a16:creationId xmlns:a16="http://schemas.microsoft.com/office/drawing/2014/main" id="{00000000-0008-0000-0000-000008000000}"/>
            </a:ext>
          </a:extLst>
        </xdr:cNvPr>
        <xdr:cNvSpPr txBox="1"/>
      </xdr:nvSpPr>
      <xdr:spPr>
        <a:xfrm>
          <a:off x="80962" y="2491076"/>
          <a:ext cx="1559512"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Database</a:t>
          </a:r>
        </a:p>
      </xdr:txBody>
    </xdr:sp>
    <xdr:clientData/>
  </xdr:twoCellAnchor>
  <xdr:twoCellAnchor editAs="absolute">
    <xdr:from>
      <xdr:col>0</xdr:col>
      <xdr:colOff>57149</xdr:colOff>
      <xdr:row>1</xdr:row>
      <xdr:rowOff>19049</xdr:rowOff>
    </xdr:from>
    <xdr:to>
      <xdr:col>2</xdr:col>
      <xdr:colOff>430529</xdr:colOff>
      <xdr:row>2</xdr:row>
      <xdr:rowOff>149732</xdr:rowOff>
    </xdr:to>
    <xdr:sp macro="" textlink="">
      <xdr:nvSpPr>
        <xdr:cNvPr id="9" name="FavTextBox">
          <a:extLst>
            <a:ext uri="{FF2B5EF4-FFF2-40B4-BE49-F238E27FC236}">
              <a16:creationId xmlns:a16="http://schemas.microsoft.com/office/drawing/2014/main" id="{00000000-0008-0000-0000-000009000000}"/>
            </a:ext>
          </a:extLst>
        </xdr:cNvPr>
        <xdr:cNvSpPr txBox="1"/>
      </xdr:nvSpPr>
      <xdr:spPr>
        <a:xfrm>
          <a:off x="57149" y="276224"/>
          <a:ext cx="1554480" cy="292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latin typeface="Arial Nova" panose="020B0504020202020204" pitchFamily="34" charset="0"/>
            </a:rPr>
            <a:t>Favorites</a:t>
          </a:r>
        </a:p>
      </xdr:txBody>
    </xdr:sp>
    <xdr:clientData/>
  </xdr:twoCellAnchor>
  <mc:AlternateContent xmlns:mc="http://schemas.openxmlformats.org/markup-compatibility/2006">
    <mc:Choice xmlns:a14="http://schemas.microsoft.com/office/drawing/2010/main" Requires="a14">
      <xdr:twoCellAnchor editAs="absolute">
        <xdr:from>
          <xdr:col>1</xdr:col>
          <xdr:colOff>47625</xdr:colOff>
          <xdr:row>16</xdr:row>
          <xdr:rowOff>9525</xdr:rowOff>
        </xdr:from>
        <xdr:to>
          <xdr:col>2</xdr:col>
          <xdr:colOff>381000</xdr:colOff>
          <xdr:row>17</xdr:row>
          <xdr:rowOff>76200</xdr:rowOff>
        </xdr:to>
        <xdr:sp macro="" textlink="">
          <xdr:nvSpPr>
            <xdr:cNvPr id="7184" name="APIBox"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2352675</xdr:colOff>
          <xdr:row>16</xdr:row>
          <xdr:rowOff>9525</xdr:rowOff>
        </xdr:from>
        <xdr:to>
          <xdr:col>2</xdr:col>
          <xdr:colOff>3752850</xdr:colOff>
          <xdr:row>17</xdr:row>
          <xdr:rowOff>76200</xdr:rowOff>
        </xdr:to>
        <xdr:sp macro="" textlink="">
          <xdr:nvSpPr>
            <xdr:cNvPr id="7185" name="EventTypeBox"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666750</xdr:colOff>
          <xdr:row>16</xdr:row>
          <xdr:rowOff>9525</xdr:rowOff>
        </xdr:from>
        <xdr:to>
          <xdr:col>2</xdr:col>
          <xdr:colOff>2066925</xdr:colOff>
          <xdr:row>17</xdr:row>
          <xdr:rowOff>76200</xdr:rowOff>
        </xdr:to>
        <xdr:sp macro="" textlink="">
          <xdr:nvSpPr>
            <xdr:cNvPr id="7186" name="SeasonBox"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2272665</xdr:colOff>
      <xdr:row>14</xdr:row>
      <xdr:rowOff>46925</xdr:rowOff>
    </xdr:from>
    <xdr:to>
      <xdr:col>2</xdr:col>
      <xdr:colOff>3824988</xdr:colOff>
      <xdr:row>16</xdr:row>
      <xdr:rowOff>1728</xdr:rowOff>
    </xdr:to>
    <xdr:sp macro="" textlink="">
      <xdr:nvSpPr>
        <xdr:cNvPr id="10" name="EventTextBox">
          <a:extLst>
            <a:ext uri="{FF2B5EF4-FFF2-40B4-BE49-F238E27FC236}">
              <a16:creationId xmlns:a16="http://schemas.microsoft.com/office/drawing/2014/main" id="{00000000-0008-0000-0000-00000A000000}"/>
            </a:ext>
          </a:extLst>
        </xdr:cNvPr>
        <xdr:cNvSpPr txBox="1"/>
      </xdr:nvSpPr>
      <xdr:spPr>
        <a:xfrm>
          <a:off x="3458797" y="2491076"/>
          <a:ext cx="1551784"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Select Event Type</a:t>
          </a:r>
        </a:p>
      </xdr:txBody>
    </xdr:sp>
    <xdr:clientData/>
  </xdr:twoCellAnchor>
  <mc:AlternateContent xmlns:mc="http://schemas.openxmlformats.org/markup-compatibility/2006">
    <mc:Choice xmlns:a14="http://schemas.microsoft.com/office/drawing/2010/main" Requires="a14">
      <xdr:twoCellAnchor editAs="absolute">
        <xdr:from>
          <xdr:col>5</xdr:col>
          <xdr:colOff>200025</xdr:colOff>
          <xdr:row>16</xdr:row>
          <xdr:rowOff>9525</xdr:rowOff>
        </xdr:from>
        <xdr:to>
          <xdr:col>5</xdr:col>
          <xdr:colOff>2028825</xdr:colOff>
          <xdr:row>17</xdr:row>
          <xdr:rowOff>66675</xdr:rowOff>
        </xdr:to>
        <xdr:sp macro="" textlink="">
          <xdr:nvSpPr>
            <xdr:cNvPr id="7187" name="EventsUpdateButton" descr="Update Calendar"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Update</a:t>
              </a:r>
            </a:p>
          </xdr:txBody>
        </xdr:sp>
        <xdr:clientData/>
      </xdr:twoCellAnchor>
    </mc:Choice>
    <mc:Fallback/>
  </mc:AlternateContent>
  <xdr:twoCellAnchor editAs="absolute">
    <xdr:from>
      <xdr:col>2</xdr:col>
      <xdr:colOff>588645</xdr:colOff>
      <xdr:row>14</xdr:row>
      <xdr:rowOff>38779</xdr:rowOff>
    </xdr:from>
    <xdr:to>
      <xdr:col>2</xdr:col>
      <xdr:colOff>2143125</xdr:colOff>
      <xdr:row>15</xdr:row>
      <xdr:rowOff>152571</xdr:rowOff>
    </xdr:to>
    <xdr:sp macro="" textlink="">
      <xdr:nvSpPr>
        <xdr:cNvPr id="12" name="SeasonTextBox">
          <a:extLst>
            <a:ext uri="{FF2B5EF4-FFF2-40B4-BE49-F238E27FC236}">
              <a16:creationId xmlns:a16="http://schemas.microsoft.com/office/drawing/2014/main" id="{00000000-0008-0000-0000-00000C000000}"/>
            </a:ext>
          </a:extLst>
        </xdr:cNvPr>
        <xdr:cNvSpPr txBox="1"/>
      </xdr:nvSpPr>
      <xdr:spPr>
        <a:xfrm>
          <a:off x="1774777" y="2482930"/>
          <a:ext cx="1554480" cy="2755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Season</a:t>
          </a:r>
        </a:p>
      </xdr:txBody>
    </xdr:sp>
    <xdr:clientData/>
  </xdr:twoCellAnchor>
  <mc:AlternateContent xmlns:mc="http://schemas.openxmlformats.org/markup-compatibility/2006">
    <mc:Choice xmlns:a14="http://schemas.microsoft.com/office/drawing/2010/main" Requires="a14">
      <xdr:twoCellAnchor editAs="absolute">
        <xdr:from>
          <xdr:col>2</xdr:col>
          <xdr:colOff>2047875</xdr:colOff>
          <xdr:row>1</xdr:row>
          <xdr:rowOff>57150</xdr:rowOff>
        </xdr:from>
        <xdr:to>
          <xdr:col>2</xdr:col>
          <xdr:colOff>3876675</xdr:colOff>
          <xdr:row>2</xdr:row>
          <xdr:rowOff>114300</xdr:rowOff>
        </xdr:to>
        <xdr:sp macro="" textlink="">
          <xdr:nvSpPr>
            <xdr:cNvPr id="7188" name="EventsDateButton" descr="Add Event to Calendar"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Simulate Date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2162175</xdr:colOff>
          <xdr:row>10</xdr:row>
          <xdr:rowOff>0</xdr:rowOff>
        </xdr:from>
        <xdr:to>
          <xdr:col>1</xdr:col>
          <xdr:colOff>2343150</xdr:colOff>
          <xdr:row>10</xdr:row>
          <xdr:rowOff>180975</xdr:rowOff>
        </xdr:to>
        <xdr:sp macro="" textlink="">
          <xdr:nvSpPr>
            <xdr:cNvPr id="1049" name="AdvancedSetupButt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vert="vert" wrap="square" lIns="91440" tIns="45720" rIns="91440" bIns="45720" anchor="ctr" upright="1"/>
            <a:lstStyle/>
            <a:p>
              <a:pPr algn="ctr" rtl="0">
                <a:defRPr sz="1000"/>
              </a:pPr>
              <a:r>
                <a:rPr lang="en-US" sz="1200" b="0" i="0" u="none" strike="noStrike" baseline="0">
                  <a:solidFill>
                    <a:srgbClr val="000000"/>
                  </a:solidFill>
                  <a:latin typeface="Arial Nova"/>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xdr:row>
          <xdr:rowOff>171450</xdr:rowOff>
        </xdr:from>
        <xdr:to>
          <xdr:col>7</xdr:col>
          <xdr:colOff>209550</xdr:colOff>
          <xdr:row>11</xdr:row>
          <xdr:rowOff>0</xdr:rowOff>
        </xdr:to>
        <xdr:sp macro="" textlink="">
          <xdr:nvSpPr>
            <xdr:cNvPr id="1068" name="ResetAllChartsBox"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971550</xdr:colOff>
          <xdr:row>28</xdr:row>
          <xdr:rowOff>209550</xdr:rowOff>
        </xdr:from>
        <xdr:to>
          <xdr:col>6</xdr:col>
          <xdr:colOff>0</xdr:colOff>
          <xdr:row>31</xdr:row>
          <xdr:rowOff>38100</xdr:rowOff>
        </xdr:to>
        <xdr:sp macro="" textlink="">
          <xdr:nvSpPr>
            <xdr:cNvPr id="1025" name="CreatePlanButton" descr="Click Here to Create your Training Pla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000000"/>
                  </a:solidFill>
                  <a:latin typeface="Proxima Nova"/>
                </a:rPr>
                <a:t>Create Plan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95250</xdr:colOff>
          <xdr:row>40</xdr:row>
          <xdr:rowOff>47625</xdr:rowOff>
        </xdr:from>
        <xdr:to>
          <xdr:col>3</xdr:col>
          <xdr:colOff>219075</xdr:colOff>
          <xdr:row>41</xdr:row>
          <xdr:rowOff>142875</xdr:rowOff>
        </xdr:to>
        <xdr:sp macro="" textlink="">
          <xdr:nvSpPr>
            <xdr:cNvPr id="1099" name="WeightUnitBox"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2</xdr:row>
      <xdr:rowOff>0</xdr:rowOff>
    </xdr:from>
    <xdr:to>
      <xdr:col>19</xdr:col>
      <xdr:colOff>0</xdr:colOff>
      <xdr:row>14</xdr:row>
      <xdr:rowOff>0</xdr:rowOff>
    </xdr:to>
    <xdr:graphicFrame macro="">
      <xdr:nvGraphicFramePr>
        <xdr:cNvPr id="58" name="PlanChart">
          <a:extLst>
            <a:ext uri="{FF2B5EF4-FFF2-40B4-BE49-F238E27FC236}">
              <a16:creationId xmlns:a16="http://schemas.microsoft.com/office/drawing/2014/main" id="{AD8B8235-847B-4367-9240-B31810BAD4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165100</xdr:colOff>
      <xdr:row>1</xdr:row>
      <xdr:rowOff>38100</xdr:rowOff>
    </xdr:from>
    <xdr:to>
      <xdr:col>18</xdr:col>
      <xdr:colOff>494333</xdr:colOff>
      <xdr:row>2</xdr:row>
      <xdr:rowOff>74060</xdr:rowOff>
    </xdr:to>
    <xdr:grpSp>
      <xdr:nvGrpSpPr>
        <xdr:cNvPr id="70" name="PlanChartLegendGroup">
          <a:extLst>
            <a:ext uri="{FF2B5EF4-FFF2-40B4-BE49-F238E27FC236}">
              <a16:creationId xmlns:a16="http://schemas.microsoft.com/office/drawing/2014/main" id="{C521501B-72C7-4A70-B2EE-4A6CE2A0996D}"/>
            </a:ext>
          </a:extLst>
        </xdr:cNvPr>
        <xdr:cNvGrpSpPr/>
      </xdr:nvGrpSpPr>
      <xdr:grpSpPr>
        <a:xfrm>
          <a:off x="9947275" y="304800"/>
          <a:ext cx="2072308" cy="264560"/>
          <a:chOff x="9947275" y="304800"/>
          <a:chExt cx="2072308" cy="264560"/>
        </a:xfrm>
      </xdr:grpSpPr>
      <xdr:grpSp>
        <xdr:nvGrpSpPr>
          <xdr:cNvPr id="66" name="ActualHrsLegendGroup">
            <a:extLst>
              <a:ext uri="{FF2B5EF4-FFF2-40B4-BE49-F238E27FC236}">
                <a16:creationId xmlns:a16="http://schemas.microsoft.com/office/drawing/2014/main" id="{982DDEA0-DABE-41AE-8118-8CCD5A53EF71}"/>
              </a:ext>
            </a:extLst>
          </xdr:cNvPr>
          <xdr:cNvGrpSpPr/>
        </xdr:nvGrpSpPr>
        <xdr:grpSpPr>
          <a:xfrm>
            <a:off x="9947275" y="304800"/>
            <a:ext cx="1076165" cy="264560"/>
            <a:chOff x="9194800" y="194063"/>
            <a:chExt cx="1076165" cy="264560"/>
          </a:xfrm>
        </xdr:grpSpPr>
        <xdr:grpSp>
          <xdr:nvGrpSpPr>
            <xdr:cNvPr id="64" name="ActualHrsLegendBox">
              <a:extLst>
                <a:ext uri="{FF2B5EF4-FFF2-40B4-BE49-F238E27FC236}">
                  <a16:creationId xmlns:a16="http://schemas.microsoft.com/office/drawing/2014/main" id="{7C59EE0D-1CA0-497A-9188-56999A3B5EC3}"/>
                </a:ext>
              </a:extLst>
            </xdr:cNvPr>
            <xdr:cNvGrpSpPr/>
          </xdr:nvGrpSpPr>
          <xdr:grpSpPr>
            <a:xfrm>
              <a:off x="9194800" y="269193"/>
              <a:ext cx="304800" cy="114300"/>
              <a:chOff x="9194800" y="304800"/>
              <a:chExt cx="304800" cy="114300"/>
            </a:xfrm>
          </xdr:grpSpPr>
          <xdr:sp macro="" textlink="">
            <xdr:nvSpPr>
              <xdr:cNvPr id="59" name="Base IIIBox">
                <a:extLst>
                  <a:ext uri="{FF2B5EF4-FFF2-40B4-BE49-F238E27FC236}">
                    <a16:creationId xmlns:a16="http://schemas.microsoft.com/office/drawing/2014/main" id="{FB8990EB-B2B2-451F-90C9-D3DDF0197E77}"/>
                  </a:ext>
                </a:extLst>
              </xdr:cNvPr>
              <xdr:cNvSpPr/>
            </xdr:nvSpPr>
            <xdr:spPr>
              <a:xfrm>
                <a:off x="9194800" y="304800"/>
                <a:ext cx="60960" cy="114300"/>
              </a:xfrm>
              <a:prstGeom prst="rect">
                <a:avLst/>
              </a:prstGeom>
              <a:solidFill>
                <a:srgbClr val="FFAA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Build IBox">
                <a:extLst>
                  <a:ext uri="{FF2B5EF4-FFF2-40B4-BE49-F238E27FC236}">
                    <a16:creationId xmlns:a16="http://schemas.microsoft.com/office/drawing/2014/main" id="{6DFAE3AB-1979-4F39-A5E3-C8C1EF0051AC}"/>
                  </a:ext>
                </a:extLst>
              </xdr:cNvPr>
              <xdr:cNvSpPr/>
            </xdr:nvSpPr>
            <xdr:spPr>
              <a:xfrm>
                <a:off x="9255760" y="304800"/>
                <a:ext cx="60960" cy="114300"/>
              </a:xfrm>
              <a:prstGeom prst="rect">
                <a:avLst/>
              </a:prstGeom>
              <a:solidFill>
                <a:srgbClr val="A6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Build IIBox">
                <a:extLst>
                  <a:ext uri="{FF2B5EF4-FFF2-40B4-BE49-F238E27FC236}">
                    <a16:creationId xmlns:a16="http://schemas.microsoft.com/office/drawing/2014/main" id="{BB06A6DB-0E58-45A3-B9A7-914058F849D9}"/>
                  </a:ext>
                </a:extLst>
              </xdr:cNvPr>
              <xdr:cNvSpPr/>
            </xdr:nvSpPr>
            <xdr:spPr>
              <a:xfrm>
                <a:off x="9316720" y="304800"/>
                <a:ext cx="60960" cy="114300"/>
              </a:xfrm>
              <a:prstGeom prst="rect">
                <a:avLst/>
              </a:prstGeom>
              <a:solidFill>
                <a:srgbClr val="D2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PeakBox">
                <a:extLst>
                  <a:ext uri="{FF2B5EF4-FFF2-40B4-BE49-F238E27FC236}">
                    <a16:creationId xmlns:a16="http://schemas.microsoft.com/office/drawing/2014/main" id="{3ECDA943-C9F5-49A0-B18F-B86E031208BE}"/>
                  </a:ext>
                </a:extLst>
              </xdr:cNvPr>
              <xdr:cNvSpPr/>
            </xdr:nvSpPr>
            <xdr:spPr>
              <a:xfrm>
                <a:off x="9377680" y="304800"/>
                <a:ext cx="60960" cy="114300"/>
              </a:xfrm>
              <a:prstGeom prst="rect">
                <a:avLst/>
              </a:prstGeom>
              <a:solidFill>
                <a:srgbClr val="3B599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aceBox">
                <a:extLst>
                  <a:ext uri="{FF2B5EF4-FFF2-40B4-BE49-F238E27FC236}">
                    <a16:creationId xmlns:a16="http://schemas.microsoft.com/office/drawing/2014/main" id="{647EF9D3-F112-4355-B7B3-DE49AA8FE790}"/>
                  </a:ext>
                </a:extLst>
              </xdr:cNvPr>
              <xdr:cNvSpPr/>
            </xdr:nvSpPr>
            <xdr:spPr>
              <a:xfrm>
                <a:off x="9438640" y="304800"/>
                <a:ext cx="60960" cy="1143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5" name="Actual HrsTxtBox">
              <a:extLst>
                <a:ext uri="{FF2B5EF4-FFF2-40B4-BE49-F238E27FC236}">
                  <a16:creationId xmlns:a16="http://schemas.microsoft.com/office/drawing/2014/main" id="{D9B39A2E-450A-4062-A13A-1F5773806069}"/>
                </a:ext>
              </a:extLst>
            </xdr:cNvPr>
            <xdr:cNvSpPr txBox="1"/>
          </xdr:nvSpPr>
          <xdr:spPr>
            <a:xfrm>
              <a:off x="9499600" y="194063"/>
              <a:ext cx="7713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Actual Hrs</a:t>
              </a:r>
            </a:p>
          </xdr:txBody>
        </xdr:sp>
      </xdr:grpSp>
      <xdr:grpSp>
        <xdr:nvGrpSpPr>
          <xdr:cNvPr id="69" name="PlanHrsLegendGroup">
            <a:extLst>
              <a:ext uri="{FF2B5EF4-FFF2-40B4-BE49-F238E27FC236}">
                <a16:creationId xmlns:a16="http://schemas.microsoft.com/office/drawing/2014/main" id="{8BA58213-BB09-462A-9853-0FCF3E0F6917}"/>
              </a:ext>
            </a:extLst>
          </xdr:cNvPr>
          <xdr:cNvGrpSpPr/>
        </xdr:nvGrpSpPr>
        <xdr:grpSpPr>
          <a:xfrm>
            <a:off x="11023440" y="304800"/>
            <a:ext cx="996143" cy="264560"/>
            <a:chOff x="11023440" y="194063"/>
            <a:chExt cx="996143" cy="264560"/>
          </a:xfrm>
        </xdr:grpSpPr>
        <xdr:sp macro="" textlink="">
          <xdr:nvSpPr>
            <xdr:cNvPr id="67" name="PlanHrsLegendBox">
              <a:extLst>
                <a:ext uri="{FF2B5EF4-FFF2-40B4-BE49-F238E27FC236}">
                  <a16:creationId xmlns:a16="http://schemas.microsoft.com/office/drawing/2014/main" id="{CD19FB30-6D1D-4AEC-B2F0-FB8D24B739D7}"/>
                </a:ext>
              </a:extLst>
            </xdr:cNvPr>
            <xdr:cNvSpPr/>
          </xdr:nvSpPr>
          <xdr:spPr>
            <a:xfrm>
              <a:off x="11023440" y="269193"/>
              <a:ext cx="304800" cy="114300"/>
            </a:xfrm>
            <a:prstGeom prst="rect">
              <a:avLst/>
            </a:prstGeom>
            <a:solidFill>
              <a:srgbClr val="A6A6A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8" name="Plan. HrsTxtBox">
              <a:extLst>
                <a:ext uri="{FF2B5EF4-FFF2-40B4-BE49-F238E27FC236}">
                  <a16:creationId xmlns:a16="http://schemas.microsoft.com/office/drawing/2014/main" id="{5310335D-79CE-414C-BDBA-5472E64B496A}"/>
                </a:ext>
              </a:extLst>
            </xdr:cNvPr>
            <xdr:cNvSpPr txBox="1"/>
          </xdr:nvSpPr>
          <xdr:spPr>
            <a:xfrm>
              <a:off x="11328240" y="194063"/>
              <a:ext cx="69134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Plan. Hrs</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17</xdr:col>
      <xdr:colOff>25400</xdr:colOff>
      <xdr:row>14</xdr:row>
      <xdr:rowOff>9525</xdr:rowOff>
    </xdr:from>
    <xdr:to>
      <xdr:col>21</xdr:col>
      <xdr:colOff>123974</xdr:colOff>
      <xdr:row>15</xdr:row>
      <xdr:rowOff>35719</xdr:rowOff>
    </xdr:to>
    <xdr:grpSp>
      <xdr:nvGrpSpPr>
        <xdr:cNvPr id="86" name="PowerChTgLegGroup">
          <a:extLst>
            <a:ext uri="{FF2B5EF4-FFF2-40B4-BE49-F238E27FC236}">
              <a16:creationId xmlns:a16="http://schemas.microsoft.com/office/drawing/2014/main" id="{00000000-0008-0000-0300-000056000000}"/>
            </a:ext>
          </a:extLst>
        </xdr:cNvPr>
        <xdr:cNvGrpSpPr/>
      </xdr:nvGrpSpPr>
      <xdr:grpSpPr>
        <a:xfrm>
          <a:off x="8702675" y="2971800"/>
          <a:ext cx="2536974" cy="226219"/>
          <a:chOff x="9153525" y="3009900"/>
          <a:chExt cx="2536974" cy="226219"/>
        </a:xfrm>
      </xdr:grpSpPr>
      <xdr:sp macro="" textlink="">
        <xdr:nvSpPr>
          <xdr:cNvPr id="87" name="PowerChLegBox1">
            <a:extLst>
              <a:ext uri="{FF2B5EF4-FFF2-40B4-BE49-F238E27FC236}">
                <a16:creationId xmlns:a16="http://schemas.microsoft.com/office/drawing/2014/main" id="{00000000-0008-0000-0300-000057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8" name="PowerChLegTxt1">
            <a:extLst>
              <a:ext uri="{FF2B5EF4-FFF2-40B4-BE49-F238E27FC236}">
                <a16:creationId xmlns:a16="http://schemas.microsoft.com/office/drawing/2014/main" id="{00000000-0008-0000-0300-000058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89" name="PowerChLegTxt2">
            <a:extLst>
              <a:ext uri="{FF2B5EF4-FFF2-40B4-BE49-F238E27FC236}">
                <a16:creationId xmlns:a16="http://schemas.microsoft.com/office/drawing/2014/main" id="{00000000-0008-0000-0300-000059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90" name="PowerChLegBox2">
            <a:extLst>
              <a:ext uri="{FF2B5EF4-FFF2-40B4-BE49-F238E27FC236}">
                <a16:creationId xmlns:a16="http://schemas.microsoft.com/office/drawing/2014/main" id="{00000000-0008-0000-0300-00005A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15</xdr:row>
      <xdr:rowOff>0</xdr:rowOff>
    </xdr:from>
    <xdr:to>
      <xdr:col>22</xdr:col>
      <xdr:colOff>0</xdr:colOff>
      <xdr:row>25</xdr:row>
      <xdr:rowOff>0</xdr:rowOff>
    </xdr:to>
    <xdr:graphicFrame macro="">
      <xdr:nvGraphicFramePr>
        <xdr:cNvPr id="14" name="PowerTargetChart">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25400</xdr:colOff>
      <xdr:row>2</xdr:row>
      <xdr:rowOff>247650</xdr:rowOff>
    </xdr:from>
    <xdr:to>
      <xdr:col>14</xdr:col>
      <xdr:colOff>37682</xdr:colOff>
      <xdr:row>3</xdr:row>
      <xdr:rowOff>47244</xdr:rowOff>
    </xdr:to>
    <xdr:grpSp>
      <xdr:nvGrpSpPr>
        <xdr:cNvPr id="91" name="Cal.ChTgLegGroup">
          <a:extLst>
            <a:ext uri="{FF2B5EF4-FFF2-40B4-BE49-F238E27FC236}">
              <a16:creationId xmlns:a16="http://schemas.microsoft.com/office/drawing/2014/main" id="{00000000-0008-0000-0300-00005B000000}"/>
            </a:ext>
          </a:extLst>
        </xdr:cNvPr>
        <xdr:cNvGrpSpPr/>
      </xdr:nvGrpSpPr>
      <xdr:grpSpPr>
        <a:xfrm>
          <a:off x="4930775" y="571500"/>
          <a:ext cx="2450682" cy="237744"/>
          <a:chOff x="5420292" y="551809"/>
          <a:chExt cx="2450682" cy="237744"/>
        </a:xfrm>
      </xdr:grpSpPr>
      <xdr:sp macro="" textlink="">
        <xdr:nvSpPr>
          <xdr:cNvPr id="92" name="Cal.ChLegBox1">
            <a:extLst>
              <a:ext uri="{FF2B5EF4-FFF2-40B4-BE49-F238E27FC236}">
                <a16:creationId xmlns:a16="http://schemas.microsoft.com/office/drawing/2014/main" id="{00000000-0008-0000-0300-00005C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3" name="Cal.ChLegTxt1">
            <a:extLst>
              <a:ext uri="{FF2B5EF4-FFF2-40B4-BE49-F238E27FC236}">
                <a16:creationId xmlns:a16="http://schemas.microsoft.com/office/drawing/2014/main" id="{00000000-0008-0000-0300-00005D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94" name="Cal.ChLegTxt2">
            <a:extLst>
              <a:ext uri="{FF2B5EF4-FFF2-40B4-BE49-F238E27FC236}">
                <a16:creationId xmlns:a16="http://schemas.microsoft.com/office/drawing/2014/main" id="{00000000-0008-0000-0300-00005E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95" name="Cal.ChLegBox2">
            <a:extLst>
              <a:ext uri="{FF2B5EF4-FFF2-40B4-BE49-F238E27FC236}">
                <a16:creationId xmlns:a16="http://schemas.microsoft.com/office/drawing/2014/main" id="{00000000-0008-0000-0300-00005F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3</xdr:row>
      <xdr:rowOff>0</xdr:rowOff>
    </xdr:from>
    <xdr:to>
      <xdr:col>15</xdr:col>
      <xdr:colOff>0</xdr:colOff>
      <xdr:row>13</xdr:row>
      <xdr:rowOff>0</xdr:rowOff>
    </xdr:to>
    <xdr:graphicFrame macro="">
      <xdr:nvGraphicFramePr>
        <xdr:cNvPr id="15" name="CalTargetChart">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25400</xdr:colOff>
      <xdr:row>2</xdr:row>
      <xdr:rowOff>247650</xdr:rowOff>
    </xdr:from>
    <xdr:to>
      <xdr:col>21</xdr:col>
      <xdr:colOff>126542</xdr:colOff>
      <xdr:row>3</xdr:row>
      <xdr:rowOff>10668</xdr:rowOff>
    </xdr:to>
    <xdr:grpSp>
      <xdr:nvGrpSpPr>
        <xdr:cNvPr id="96" name="WeightChTgLegGroup">
          <a:extLst>
            <a:ext uri="{FF2B5EF4-FFF2-40B4-BE49-F238E27FC236}">
              <a16:creationId xmlns:a16="http://schemas.microsoft.com/office/drawing/2014/main" id="{00000000-0008-0000-0300-000060000000}"/>
            </a:ext>
          </a:extLst>
        </xdr:cNvPr>
        <xdr:cNvGrpSpPr/>
      </xdr:nvGrpSpPr>
      <xdr:grpSpPr>
        <a:xfrm>
          <a:off x="8702675" y="571500"/>
          <a:ext cx="2539542" cy="201168"/>
          <a:chOff x="9153525" y="549522"/>
          <a:chExt cx="2539542" cy="201168"/>
        </a:xfrm>
      </xdr:grpSpPr>
      <xdr:sp macro="" textlink="">
        <xdr:nvSpPr>
          <xdr:cNvPr id="97" name="WeightChLegBox1">
            <a:extLst>
              <a:ext uri="{FF2B5EF4-FFF2-40B4-BE49-F238E27FC236}">
                <a16:creationId xmlns:a16="http://schemas.microsoft.com/office/drawing/2014/main" id="{00000000-0008-0000-0300-000061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8" name="WeightChLegTxt1">
            <a:extLst>
              <a:ext uri="{FF2B5EF4-FFF2-40B4-BE49-F238E27FC236}">
                <a16:creationId xmlns:a16="http://schemas.microsoft.com/office/drawing/2014/main" id="{00000000-0008-0000-0300-000062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99" name="WeightChLegTxt2">
            <a:extLst>
              <a:ext uri="{FF2B5EF4-FFF2-40B4-BE49-F238E27FC236}">
                <a16:creationId xmlns:a16="http://schemas.microsoft.com/office/drawing/2014/main" id="{00000000-0008-0000-0300-000063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100" name="WeightChLegBox2">
            <a:extLst>
              <a:ext uri="{FF2B5EF4-FFF2-40B4-BE49-F238E27FC236}">
                <a16:creationId xmlns:a16="http://schemas.microsoft.com/office/drawing/2014/main" id="{00000000-0008-0000-0300-000064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3</xdr:row>
      <xdr:rowOff>0</xdr:rowOff>
    </xdr:from>
    <xdr:to>
      <xdr:col>22</xdr:col>
      <xdr:colOff>0</xdr:colOff>
      <xdr:row>13</xdr:row>
      <xdr:rowOff>0</xdr:rowOff>
    </xdr:to>
    <xdr:graphicFrame macro="">
      <xdr:nvGraphicFramePr>
        <xdr:cNvPr id="16" name="WeightTargetChart">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25400</xdr:colOff>
      <xdr:row>14</xdr:row>
      <xdr:rowOff>9525</xdr:rowOff>
    </xdr:from>
    <xdr:to>
      <xdr:col>14</xdr:col>
      <xdr:colOff>123974</xdr:colOff>
      <xdr:row>15</xdr:row>
      <xdr:rowOff>35719</xdr:rowOff>
    </xdr:to>
    <xdr:grpSp>
      <xdr:nvGrpSpPr>
        <xdr:cNvPr id="101" name="HRChTgLegGroup">
          <a:extLst>
            <a:ext uri="{FF2B5EF4-FFF2-40B4-BE49-F238E27FC236}">
              <a16:creationId xmlns:a16="http://schemas.microsoft.com/office/drawing/2014/main" id="{00000000-0008-0000-0300-000065000000}"/>
            </a:ext>
          </a:extLst>
        </xdr:cNvPr>
        <xdr:cNvGrpSpPr/>
      </xdr:nvGrpSpPr>
      <xdr:grpSpPr>
        <a:xfrm>
          <a:off x="4930775" y="2971800"/>
          <a:ext cx="2536974" cy="226219"/>
          <a:chOff x="5419725" y="2781300"/>
          <a:chExt cx="2536974" cy="226219"/>
        </a:xfrm>
      </xdr:grpSpPr>
      <xdr:sp macro="" textlink="">
        <xdr:nvSpPr>
          <xdr:cNvPr id="102" name="HRChLegBox1">
            <a:extLst>
              <a:ext uri="{FF2B5EF4-FFF2-40B4-BE49-F238E27FC236}">
                <a16:creationId xmlns:a16="http://schemas.microsoft.com/office/drawing/2014/main" id="{00000000-0008-0000-0300-000066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03" name="HRChLegTxt1">
            <a:extLst>
              <a:ext uri="{FF2B5EF4-FFF2-40B4-BE49-F238E27FC236}">
                <a16:creationId xmlns:a16="http://schemas.microsoft.com/office/drawing/2014/main" id="{00000000-0008-0000-0300-000067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104" name="HRChLegTxt2">
            <a:extLst>
              <a:ext uri="{FF2B5EF4-FFF2-40B4-BE49-F238E27FC236}">
                <a16:creationId xmlns:a16="http://schemas.microsoft.com/office/drawing/2014/main" id="{00000000-0008-0000-0300-000068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105" name="HRChLegBox2">
            <a:extLst>
              <a:ext uri="{FF2B5EF4-FFF2-40B4-BE49-F238E27FC236}">
                <a16:creationId xmlns:a16="http://schemas.microsoft.com/office/drawing/2014/main" id="{00000000-0008-0000-0300-000069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15</xdr:row>
      <xdr:rowOff>0</xdr:rowOff>
    </xdr:from>
    <xdr:to>
      <xdr:col>15</xdr:col>
      <xdr:colOff>0</xdr:colOff>
      <xdr:row>25</xdr:row>
      <xdr:rowOff>0</xdr:rowOff>
    </xdr:to>
    <xdr:graphicFrame macro="">
      <xdr:nvGraphicFramePr>
        <xdr:cNvPr id="17" name="HRTargetChart">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276225</xdr:colOff>
          <xdr:row>8</xdr:row>
          <xdr:rowOff>9525</xdr:rowOff>
        </xdr:from>
        <xdr:to>
          <xdr:col>2</xdr:col>
          <xdr:colOff>457200</xdr:colOff>
          <xdr:row>8</xdr:row>
          <xdr:rowOff>190500</xdr:rowOff>
        </xdr:to>
        <xdr:sp macro="" textlink="">
          <xdr:nvSpPr>
            <xdr:cNvPr id="22536" name="AddWeightButtom" descr="Add Weight" hidden="1">
              <a:extLst>
                <a:ext uri="{63B3BB69-23CF-44E3-9099-C40C66FF867C}">
                  <a14:compatExt spid="_x0000_s22536"/>
                </a:ext>
                <a:ext uri="{FF2B5EF4-FFF2-40B4-BE49-F238E27FC236}">
                  <a16:creationId xmlns:a16="http://schemas.microsoft.com/office/drawing/2014/main" id="{00000000-0008-0000-04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t>
              </a:r>
            </a:p>
          </xdr:txBody>
        </xdr:sp>
        <xdr:clientData/>
      </xdr:twoCellAnchor>
    </mc:Choice>
    <mc:Fallback/>
  </mc:AlternateContent>
  <xdr:twoCellAnchor editAs="oneCell">
    <xdr:from>
      <xdr:col>5</xdr:col>
      <xdr:colOff>0</xdr:colOff>
      <xdr:row>3</xdr:row>
      <xdr:rowOff>0</xdr:rowOff>
    </xdr:from>
    <xdr:to>
      <xdr:col>19</xdr:col>
      <xdr:colOff>0</xdr:colOff>
      <xdr:row>29</xdr:row>
      <xdr:rowOff>0</xdr:rowOff>
    </xdr:to>
    <xdr:graphicFrame macro="">
      <xdr:nvGraphicFramePr>
        <xdr:cNvPr id="2" name="AddWeight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317500</xdr:colOff>
      <xdr:row>4</xdr:row>
      <xdr:rowOff>0</xdr:rowOff>
    </xdr:from>
    <xdr:to>
      <xdr:col>21</xdr:col>
      <xdr:colOff>241300</xdr:colOff>
      <xdr:row>28</xdr:row>
      <xdr:rowOff>117475</xdr:rowOff>
    </xdr:to>
    <mc:AlternateContent xmlns:mc="http://schemas.openxmlformats.org/markup-compatibility/2006" xmlns:a14="http://schemas.microsoft.com/office/drawing/2010/main">
      <mc:Choice Requires="a14">
        <xdr:graphicFrame macro="">
          <xdr:nvGraphicFramePr>
            <xdr:cNvPr id="3" name="YearsSlicerPivotAddWeigh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sSlicerPivotAddWeight"/>
            </a:graphicData>
          </a:graphic>
        </xdr:graphicFrame>
      </mc:Choice>
      <mc:Fallback xmlns="">
        <xdr:sp macro="" textlink="">
          <xdr:nvSpPr>
            <xdr:cNvPr id="0" name=""/>
            <xdr:cNvSpPr>
              <a:spLocks noTextEdit="1"/>
            </xdr:cNvSpPr>
          </xdr:nvSpPr>
          <xdr:spPr>
            <a:xfrm>
              <a:off x="10604500" y="571500"/>
              <a:ext cx="1143000" cy="4508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209550</xdr:colOff>
      <xdr:row>1</xdr:row>
      <xdr:rowOff>180975</xdr:rowOff>
    </xdr:from>
    <xdr:to>
      <xdr:col>13</xdr:col>
      <xdr:colOff>274320</xdr:colOff>
      <xdr:row>3</xdr:row>
      <xdr:rowOff>43882</xdr:rowOff>
    </xdr:to>
    <xdr:sp macro="" textlink="UploadFolder">
      <xdr:nvSpPr>
        <xdr:cNvPr id="4" name="FileFolderTxtBox">
          <a:extLst>
            <a:ext uri="{FF2B5EF4-FFF2-40B4-BE49-F238E27FC236}">
              <a16:creationId xmlns:a16="http://schemas.microsoft.com/office/drawing/2014/main" id="{00000000-0008-0000-0500-000004000000}"/>
            </a:ext>
          </a:extLst>
        </xdr:cNvPr>
        <xdr:cNvSpPr txBox="1"/>
      </xdr:nvSpPr>
      <xdr:spPr>
        <a:xfrm>
          <a:off x="1019175" y="447675"/>
          <a:ext cx="5760720" cy="262957"/>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fld id="{59C3AE4C-E507-4829-9A97-6F156F6E8594}" type="TxLink">
            <a:rPr lang="en-US" sz="1200" b="0" i="0" u="none" strike="noStrike">
              <a:solidFill>
                <a:schemeClr val="tx1"/>
              </a:solidFill>
              <a:latin typeface="Arial Nova" panose="020B0504020202020204" pitchFamily="34" charset="0"/>
              <a:cs typeface="Calibri"/>
            </a:rPr>
            <a:pPr algn="l"/>
            <a:t> </a:t>
          </a:fld>
          <a:endParaRPr lang="en-US" sz="1200" b="1">
            <a:solidFill>
              <a:schemeClr val="tx1"/>
            </a:solidFill>
            <a:latin typeface="Arial Nova" panose="020B0504020202020204" pitchFamily="34" charset="0"/>
          </a:endParaRPr>
        </a:p>
      </xdr:txBody>
    </xdr:sp>
    <xdr:clientData/>
  </xdr:twoCellAnchor>
  <xdr:twoCellAnchor editAs="absolute">
    <xdr:from>
      <xdr:col>0</xdr:col>
      <xdr:colOff>47625</xdr:colOff>
      <xdr:row>1</xdr:row>
      <xdr:rowOff>171450</xdr:rowOff>
    </xdr:from>
    <xdr:to>
      <xdr:col>2</xdr:col>
      <xdr:colOff>342900</xdr:colOff>
      <xdr:row>3</xdr:row>
      <xdr:rowOff>34357</xdr:rowOff>
    </xdr:to>
    <xdr:sp macro="" textlink="">
      <xdr:nvSpPr>
        <xdr:cNvPr id="2" name="FileSourceTxtBox">
          <a:extLst>
            <a:ext uri="{FF2B5EF4-FFF2-40B4-BE49-F238E27FC236}">
              <a16:creationId xmlns:a16="http://schemas.microsoft.com/office/drawing/2014/main" id="{00000000-0008-0000-0500-000002000000}"/>
            </a:ext>
          </a:extLst>
        </xdr:cNvPr>
        <xdr:cNvSpPr txBox="1"/>
      </xdr:nvSpPr>
      <xdr:spPr>
        <a:xfrm>
          <a:off x="47625" y="438150"/>
          <a:ext cx="1076325" cy="262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File source:</a:t>
          </a:r>
        </a:p>
      </xdr:txBody>
    </xdr:sp>
    <xdr:clientData/>
  </xdr:twoCellAnchor>
  <mc:AlternateContent xmlns:mc="http://schemas.openxmlformats.org/markup-compatibility/2006">
    <mc:Choice xmlns:a14="http://schemas.microsoft.com/office/drawing/2010/main" Requires="a14">
      <xdr:twoCellAnchor editAs="oneCell">
        <xdr:from>
          <xdr:col>13</xdr:col>
          <xdr:colOff>457200</xdr:colOff>
          <xdr:row>1</xdr:row>
          <xdr:rowOff>171450</xdr:rowOff>
        </xdr:from>
        <xdr:to>
          <xdr:col>13</xdr:col>
          <xdr:colOff>733425</xdr:colOff>
          <xdr:row>3</xdr:row>
          <xdr:rowOff>47625</xdr:rowOff>
        </xdr:to>
        <xdr:sp macro="" textlink="">
          <xdr:nvSpPr>
            <xdr:cNvPr id="13316" name="UploadButton" descr="Browse file source"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Nova"/>
                </a:rPr>
                <a:t>📂</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15</xdr:col>
      <xdr:colOff>38100</xdr:colOff>
      <xdr:row>0</xdr:row>
      <xdr:rowOff>241300</xdr:rowOff>
    </xdr:from>
    <xdr:to>
      <xdr:col>20</xdr:col>
      <xdr:colOff>84268</xdr:colOff>
      <xdr:row>14</xdr:row>
      <xdr:rowOff>48236</xdr:rowOff>
    </xdr:to>
    <xdr:grpSp>
      <xdr:nvGrpSpPr>
        <xdr:cNvPr id="66" name="BMIGaugeGroup">
          <a:extLst>
            <a:ext uri="{FF2B5EF4-FFF2-40B4-BE49-F238E27FC236}">
              <a16:creationId xmlns:a16="http://schemas.microsoft.com/office/drawing/2014/main" id="{00000000-0008-0000-0600-000042000000}"/>
            </a:ext>
          </a:extLst>
        </xdr:cNvPr>
        <xdr:cNvGrpSpPr/>
      </xdr:nvGrpSpPr>
      <xdr:grpSpPr>
        <a:xfrm>
          <a:off x="10287000" y="241300"/>
          <a:ext cx="2017843" cy="2340586"/>
          <a:chOff x="6881366" y="3054306"/>
          <a:chExt cx="2017843" cy="2340586"/>
        </a:xfrm>
      </xdr:grpSpPr>
      <xdr:graphicFrame macro="">
        <xdr:nvGraphicFramePr>
          <xdr:cNvPr id="67" name="BMI_Chart">
            <a:extLst>
              <a:ext uri="{FF2B5EF4-FFF2-40B4-BE49-F238E27FC236}">
                <a16:creationId xmlns:a16="http://schemas.microsoft.com/office/drawing/2014/main" id="{00000000-0008-0000-0600-000043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8" name="BMIGauge">
            <a:extLst>
              <a:ext uri="{FF2B5EF4-FFF2-40B4-BE49-F238E27FC236}">
                <a16:creationId xmlns:a16="http://schemas.microsoft.com/office/drawing/2014/main" id="{00000000-0008-0000-0600-000044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69" name="BMITxtGroup">
            <a:extLst>
              <a:ext uri="{FF2B5EF4-FFF2-40B4-BE49-F238E27FC236}">
                <a16:creationId xmlns:a16="http://schemas.microsoft.com/office/drawing/2014/main" id="{00000000-0008-0000-0600-000045000000}"/>
              </a:ext>
            </a:extLst>
          </xdr:cNvPr>
          <xdr:cNvGrpSpPr/>
        </xdr:nvGrpSpPr>
        <xdr:grpSpPr>
          <a:xfrm>
            <a:off x="7569027" y="4386824"/>
            <a:ext cx="528047" cy="702373"/>
            <a:chOff x="10903839" y="1447798"/>
            <a:chExt cx="579120" cy="717235"/>
          </a:xfrm>
        </xdr:grpSpPr>
        <xdr:sp macro="" textlink="Actual_BMI">
          <xdr:nvSpPr>
            <xdr:cNvPr id="78" name="BMITxtActual">
              <a:extLst>
                <a:ext uri="{FF2B5EF4-FFF2-40B4-BE49-F238E27FC236}">
                  <a16:creationId xmlns:a16="http://schemas.microsoft.com/office/drawing/2014/main" id="{00000000-0008-0000-0600-00004E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79" name="BMITxt">
              <a:extLst>
                <a:ext uri="{FF2B5EF4-FFF2-40B4-BE49-F238E27FC236}">
                  <a16:creationId xmlns:a16="http://schemas.microsoft.com/office/drawing/2014/main" id="{00000000-0008-0000-0600-00004F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80" name="BMITxtWeightUnit">
              <a:extLst>
                <a:ext uri="{FF2B5EF4-FFF2-40B4-BE49-F238E27FC236}">
                  <a16:creationId xmlns:a16="http://schemas.microsoft.com/office/drawing/2014/main" id="{00000000-0008-0000-0600-000050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81" name="BMITxtWeight">
              <a:extLst>
                <a:ext uri="{FF2B5EF4-FFF2-40B4-BE49-F238E27FC236}">
                  <a16:creationId xmlns:a16="http://schemas.microsoft.com/office/drawing/2014/main" id="{00000000-0008-0000-0600-000051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70" name="BMITxtObese">
            <a:extLst>
              <a:ext uri="{FF2B5EF4-FFF2-40B4-BE49-F238E27FC236}">
                <a16:creationId xmlns:a16="http://schemas.microsoft.com/office/drawing/2014/main" id="{00000000-0008-0000-0600-000046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71" name="BMITxtOverWeight">
            <a:extLst>
              <a:ext uri="{FF2B5EF4-FFF2-40B4-BE49-F238E27FC236}">
                <a16:creationId xmlns:a16="http://schemas.microsoft.com/office/drawing/2014/main" id="{00000000-0008-0000-0600-000047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72" name="BMITxtHealthy">
            <a:extLst>
              <a:ext uri="{FF2B5EF4-FFF2-40B4-BE49-F238E27FC236}">
                <a16:creationId xmlns:a16="http://schemas.microsoft.com/office/drawing/2014/main" id="{00000000-0008-0000-0600-000048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73" name="BMITxtGoal">
            <a:extLst>
              <a:ext uri="{FF2B5EF4-FFF2-40B4-BE49-F238E27FC236}">
                <a16:creationId xmlns:a16="http://schemas.microsoft.com/office/drawing/2014/main" id="{00000000-0008-0000-0600-000049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74" name="BMIBoxHealthy">
            <a:extLst>
              <a:ext uri="{FF2B5EF4-FFF2-40B4-BE49-F238E27FC236}">
                <a16:creationId xmlns:a16="http://schemas.microsoft.com/office/drawing/2014/main" id="{00000000-0008-0000-0600-00004A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5" name="BMIBoxOverweight">
            <a:extLst>
              <a:ext uri="{FF2B5EF4-FFF2-40B4-BE49-F238E27FC236}">
                <a16:creationId xmlns:a16="http://schemas.microsoft.com/office/drawing/2014/main" id="{00000000-0008-0000-0600-00004B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6" name="BMIBoxHealthy">
            <a:extLst>
              <a:ext uri="{FF2B5EF4-FFF2-40B4-BE49-F238E27FC236}">
                <a16:creationId xmlns:a16="http://schemas.microsoft.com/office/drawing/2014/main" id="{00000000-0008-0000-0600-00004C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7" name="BMIBoxGoal">
            <a:extLst>
              <a:ext uri="{FF2B5EF4-FFF2-40B4-BE49-F238E27FC236}">
                <a16:creationId xmlns:a16="http://schemas.microsoft.com/office/drawing/2014/main" id="{00000000-0008-0000-0600-00004D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0</xdr:col>
      <xdr:colOff>0</xdr:colOff>
      <xdr:row>2</xdr:row>
      <xdr:rowOff>130175</xdr:rowOff>
    </xdr:from>
    <xdr:to>
      <xdr:col>3</xdr:col>
      <xdr:colOff>103346</xdr:colOff>
      <xdr:row>13</xdr:row>
      <xdr:rowOff>188754</xdr:rowOff>
    </xdr:to>
    <xdr:grpSp>
      <xdr:nvGrpSpPr>
        <xdr:cNvPr id="82" name="WeeksGaugeGroup">
          <a:extLst>
            <a:ext uri="{FF2B5EF4-FFF2-40B4-BE49-F238E27FC236}">
              <a16:creationId xmlns:a16="http://schemas.microsoft.com/office/drawing/2014/main" id="{00000000-0008-0000-0600-000052000000}"/>
            </a:ext>
          </a:extLst>
        </xdr:cNvPr>
        <xdr:cNvGrpSpPr/>
      </xdr:nvGrpSpPr>
      <xdr:grpSpPr>
        <a:xfrm>
          <a:off x="0" y="444500"/>
          <a:ext cx="1913096" cy="2049304"/>
          <a:chOff x="6869909" y="0"/>
          <a:chExt cx="1913096" cy="2049304"/>
        </a:xfrm>
      </xdr:grpSpPr>
      <xdr:sp macro="" textlink="CountdownTxt">
        <xdr:nvSpPr>
          <xdr:cNvPr id="83" name="CountDownTxtBox">
            <a:extLst>
              <a:ext uri="{FF2B5EF4-FFF2-40B4-BE49-F238E27FC236}">
                <a16:creationId xmlns:a16="http://schemas.microsoft.com/office/drawing/2014/main" id="{00000000-0008-0000-0600-000053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84" name="WeeksToRaceTxtBox">
            <a:extLst>
              <a:ext uri="{FF2B5EF4-FFF2-40B4-BE49-F238E27FC236}">
                <a16:creationId xmlns:a16="http://schemas.microsoft.com/office/drawing/2014/main" id="{00000000-0008-0000-0600-000054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85" name="WeeksToRaceChart">
            <a:extLst>
              <a:ext uri="{FF2B5EF4-FFF2-40B4-BE49-F238E27FC236}">
                <a16:creationId xmlns:a16="http://schemas.microsoft.com/office/drawing/2014/main" id="{00000000-0008-0000-0600-000055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4</xdr:col>
      <xdr:colOff>520700</xdr:colOff>
      <xdr:row>1</xdr:row>
      <xdr:rowOff>47625</xdr:rowOff>
    </xdr:from>
    <xdr:to>
      <xdr:col>10</xdr:col>
      <xdr:colOff>53703</xdr:colOff>
      <xdr:row>3</xdr:row>
      <xdr:rowOff>120206</xdr:rowOff>
    </xdr:to>
    <xdr:grpSp>
      <xdr:nvGrpSpPr>
        <xdr:cNvPr id="86" name="Cal.ChLegGroup">
          <a:extLst>
            <a:ext uri="{FF2B5EF4-FFF2-40B4-BE49-F238E27FC236}">
              <a16:creationId xmlns:a16="http://schemas.microsoft.com/office/drawing/2014/main" id="{00000000-0008-0000-0600-000056000000}"/>
            </a:ext>
          </a:extLst>
        </xdr:cNvPr>
        <xdr:cNvGrpSpPr/>
      </xdr:nvGrpSpPr>
      <xdr:grpSpPr>
        <a:xfrm>
          <a:off x="2444750" y="304800"/>
          <a:ext cx="3752578" cy="310706"/>
          <a:chOff x="8982073" y="1636109"/>
          <a:chExt cx="3781153" cy="310706"/>
        </a:xfrm>
      </xdr:grpSpPr>
      <xdr:sp macro="" textlink="">
        <xdr:nvSpPr>
          <xdr:cNvPr id="87" name="Cal.ChLegBox1">
            <a:extLst>
              <a:ext uri="{FF2B5EF4-FFF2-40B4-BE49-F238E27FC236}">
                <a16:creationId xmlns:a16="http://schemas.microsoft.com/office/drawing/2014/main" id="{00000000-0008-0000-0600-000057000000}"/>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8" name="Cal.ChLegTxt1">
            <a:extLst>
              <a:ext uri="{FF2B5EF4-FFF2-40B4-BE49-F238E27FC236}">
                <a16:creationId xmlns:a16="http://schemas.microsoft.com/office/drawing/2014/main" id="{00000000-0008-0000-0600-000058000000}"/>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89" name="Cal.ChLegTxt3">
            <a:extLst>
              <a:ext uri="{FF2B5EF4-FFF2-40B4-BE49-F238E27FC236}">
                <a16:creationId xmlns:a16="http://schemas.microsoft.com/office/drawing/2014/main" id="{00000000-0008-0000-0600-000059000000}"/>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90" name="Cal.ChLegBox3">
            <a:extLst>
              <a:ext uri="{FF2B5EF4-FFF2-40B4-BE49-F238E27FC236}">
                <a16:creationId xmlns:a16="http://schemas.microsoft.com/office/drawing/2014/main" id="{00000000-0008-0000-0600-00005A000000}"/>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1" name="Cal.ChLegTxt2">
            <a:extLst>
              <a:ext uri="{FF2B5EF4-FFF2-40B4-BE49-F238E27FC236}">
                <a16:creationId xmlns:a16="http://schemas.microsoft.com/office/drawing/2014/main" id="{00000000-0008-0000-0600-00005B000000}"/>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92" name="Cal.ChLegBox2">
            <a:extLst>
              <a:ext uri="{FF2B5EF4-FFF2-40B4-BE49-F238E27FC236}">
                <a16:creationId xmlns:a16="http://schemas.microsoft.com/office/drawing/2014/main" id="{00000000-0008-0000-0600-00005C000000}"/>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3</xdr:row>
      <xdr:rowOff>0</xdr:rowOff>
    </xdr:from>
    <xdr:to>
      <xdr:col>15</xdr:col>
      <xdr:colOff>0</xdr:colOff>
      <xdr:row>13</xdr:row>
      <xdr:rowOff>0</xdr:rowOff>
    </xdr:to>
    <xdr:graphicFrame macro="">
      <xdr:nvGraphicFramePr>
        <xdr:cNvPr id="8" name="CalChart">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520700</xdr:colOff>
      <xdr:row>13</xdr:row>
      <xdr:rowOff>38100</xdr:rowOff>
    </xdr:from>
    <xdr:to>
      <xdr:col>7</xdr:col>
      <xdr:colOff>571648</xdr:colOff>
      <xdr:row>14</xdr:row>
      <xdr:rowOff>35719</xdr:rowOff>
    </xdr:to>
    <xdr:grpSp>
      <xdr:nvGrpSpPr>
        <xdr:cNvPr id="94" name="SpeedChLegGroup">
          <a:extLst>
            <a:ext uri="{FF2B5EF4-FFF2-40B4-BE49-F238E27FC236}">
              <a16:creationId xmlns:a16="http://schemas.microsoft.com/office/drawing/2014/main" id="{00000000-0008-0000-0600-00005E000000}"/>
            </a:ext>
          </a:extLst>
        </xdr:cNvPr>
        <xdr:cNvGrpSpPr/>
      </xdr:nvGrpSpPr>
      <xdr:grpSpPr>
        <a:xfrm>
          <a:off x="2444750" y="2343150"/>
          <a:ext cx="2527448" cy="226219"/>
          <a:chOff x="8982077" y="523874"/>
          <a:chExt cx="2527448" cy="226219"/>
        </a:xfrm>
      </xdr:grpSpPr>
      <xdr:sp macro="" textlink="">
        <xdr:nvSpPr>
          <xdr:cNvPr id="95" name="SpeedChLegBox1">
            <a:extLst>
              <a:ext uri="{FF2B5EF4-FFF2-40B4-BE49-F238E27FC236}">
                <a16:creationId xmlns:a16="http://schemas.microsoft.com/office/drawing/2014/main" id="{00000000-0008-0000-0600-00005F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6" name="SpeedChLegTxt1">
            <a:extLst>
              <a:ext uri="{FF2B5EF4-FFF2-40B4-BE49-F238E27FC236}">
                <a16:creationId xmlns:a16="http://schemas.microsoft.com/office/drawing/2014/main" id="{00000000-0008-0000-0600-000060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97" name="SpeedChLegTxt2">
            <a:extLst>
              <a:ext uri="{FF2B5EF4-FFF2-40B4-BE49-F238E27FC236}">
                <a16:creationId xmlns:a16="http://schemas.microsoft.com/office/drawing/2014/main" id="{00000000-0008-0000-0600-000061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98" name="SpeedChLegBox2">
            <a:extLst>
              <a:ext uri="{FF2B5EF4-FFF2-40B4-BE49-F238E27FC236}">
                <a16:creationId xmlns:a16="http://schemas.microsoft.com/office/drawing/2014/main" id="{00000000-0008-0000-0600-000062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14</xdr:row>
      <xdr:rowOff>0</xdr:rowOff>
    </xdr:from>
    <xdr:to>
      <xdr:col>9</xdr:col>
      <xdr:colOff>0</xdr:colOff>
      <xdr:row>28</xdr:row>
      <xdr:rowOff>0</xdr:rowOff>
    </xdr:to>
    <xdr:graphicFrame macro="">
      <xdr:nvGraphicFramePr>
        <xdr:cNvPr id="9" name="SpeedChart">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635000</xdr:colOff>
      <xdr:row>13</xdr:row>
      <xdr:rowOff>38100</xdr:rowOff>
    </xdr:from>
    <xdr:to>
      <xdr:col>13</xdr:col>
      <xdr:colOff>628799</xdr:colOff>
      <xdr:row>14</xdr:row>
      <xdr:rowOff>35719</xdr:rowOff>
    </xdr:to>
    <xdr:grpSp>
      <xdr:nvGrpSpPr>
        <xdr:cNvPr id="100" name="WeightChLegGroup">
          <a:extLst>
            <a:ext uri="{FF2B5EF4-FFF2-40B4-BE49-F238E27FC236}">
              <a16:creationId xmlns:a16="http://schemas.microsoft.com/office/drawing/2014/main" id="{00000000-0008-0000-0600-000064000000}"/>
            </a:ext>
          </a:extLst>
        </xdr:cNvPr>
        <xdr:cNvGrpSpPr/>
      </xdr:nvGrpSpPr>
      <xdr:grpSpPr>
        <a:xfrm>
          <a:off x="6778625" y="2343150"/>
          <a:ext cx="2536974" cy="226219"/>
          <a:chOff x="8982076" y="1138331"/>
          <a:chExt cx="2536974" cy="226219"/>
        </a:xfrm>
      </xdr:grpSpPr>
      <xdr:sp macro="" textlink="">
        <xdr:nvSpPr>
          <xdr:cNvPr id="101" name="WeightChLegBox1">
            <a:extLst>
              <a:ext uri="{FF2B5EF4-FFF2-40B4-BE49-F238E27FC236}">
                <a16:creationId xmlns:a16="http://schemas.microsoft.com/office/drawing/2014/main" id="{00000000-0008-0000-0600-000065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02" name="WeightChLegTxt1">
            <a:extLst>
              <a:ext uri="{FF2B5EF4-FFF2-40B4-BE49-F238E27FC236}">
                <a16:creationId xmlns:a16="http://schemas.microsoft.com/office/drawing/2014/main" id="{00000000-0008-0000-0600-000066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103" name="WeightChLegTxt2">
            <a:extLst>
              <a:ext uri="{FF2B5EF4-FFF2-40B4-BE49-F238E27FC236}">
                <a16:creationId xmlns:a16="http://schemas.microsoft.com/office/drawing/2014/main" id="{00000000-0008-0000-0600-000067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104" name="WeightChLegBox2">
            <a:extLst>
              <a:ext uri="{FF2B5EF4-FFF2-40B4-BE49-F238E27FC236}">
                <a16:creationId xmlns:a16="http://schemas.microsoft.com/office/drawing/2014/main" id="{00000000-0008-0000-0600-000068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0</xdr:colOff>
      <xdr:row>14</xdr:row>
      <xdr:rowOff>0</xdr:rowOff>
    </xdr:from>
    <xdr:to>
      <xdr:col>15</xdr:col>
      <xdr:colOff>0</xdr:colOff>
      <xdr:row>28</xdr:row>
      <xdr:rowOff>0</xdr:rowOff>
    </xdr:to>
    <xdr:graphicFrame macro="">
      <xdr:nvGraphicFramePr>
        <xdr:cNvPr id="10" name="WeightChart">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123825</xdr:colOff>
      <xdr:row>1</xdr:row>
      <xdr:rowOff>56173</xdr:rowOff>
    </xdr:from>
    <xdr:to>
      <xdr:col>8</xdr:col>
      <xdr:colOff>347323</xdr:colOff>
      <xdr:row>7</xdr:row>
      <xdr:rowOff>188777</xdr:rowOff>
    </xdr:to>
    <xdr:grpSp>
      <xdr:nvGrpSpPr>
        <xdr:cNvPr id="25641" name="Group 25640">
          <a:extLst>
            <a:ext uri="{FF2B5EF4-FFF2-40B4-BE49-F238E27FC236}">
              <a16:creationId xmlns:a16="http://schemas.microsoft.com/office/drawing/2014/main" id="{00000000-0008-0000-0700-000029640000}"/>
            </a:ext>
          </a:extLst>
        </xdr:cNvPr>
        <xdr:cNvGrpSpPr/>
      </xdr:nvGrpSpPr>
      <xdr:grpSpPr>
        <a:xfrm>
          <a:off x="1762125" y="313348"/>
          <a:ext cx="1366498" cy="1189879"/>
          <a:chOff x="1762125" y="313348"/>
          <a:chExt cx="1366498" cy="1189879"/>
        </a:xfrm>
      </xdr:grpSpPr>
      <xdr:sp macro="" textlink="">
        <xdr:nvSpPr>
          <xdr:cNvPr id="7" name="TextBoxHeadActivities">
            <a:extLst>
              <a:ext uri="{FF2B5EF4-FFF2-40B4-BE49-F238E27FC236}">
                <a16:creationId xmlns:a16="http://schemas.microsoft.com/office/drawing/2014/main" id="{00000000-0008-0000-0700-000007000000}"/>
              </a:ext>
            </a:extLst>
          </xdr:cNvPr>
          <xdr:cNvSpPr txBox="1"/>
        </xdr:nvSpPr>
        <xdr:spPr>
          <a:xfrm>
            <a:off x="1762125"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Activities</a:t>
            </a:r>
          </a:p>
        </xdr:txBody>
      </xdr:sp>
      <xdr:sp macro="" textlink="">
        <xdr:nvSpPr>
          <xdr:cNvPr id="14" name="TextBoxActivities">
            <a:extLst>
              <a:ext uri="{FF2B5EF4-FFF2-40B4-BE49-F238E27FC236}">
                <a16:creationId xmlns:a16="http://schemas.microsoft.com/office/drawing/2014/main" id="{00000000-0008-0000-0700-00000E000000}"/>
              </a:ext>
            </a:extLst>
          </xdr:cNvPr>
          <xdr:cNvSpPr txBox="1"/>
        </xdr:nvSpPr>
        <xdr:spPr>
          <a:xfrm>
            <a:off x="1762125"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5" name="TextBoxActivitiesInsight">
            <a:extLst>
              <a:ext uri="{FF2B5EF4-FFF2-40B4-BE49-F238E27FC236}">
                <a16:creationId xmlns:a16="http://schemas.microsoft.com/office/drawing/2014/main" id="{00000000-0008-0000-0700-000019000000}"/>
              </a:ext>
            </a:extLst>
          </xdr:cNvPr>
          <xdr:cNvSpPr txBox="1"/>
        </xdr:nvSpPr>
        <xdr:spPr>
          <a:xfrm>
            <a:off x="1762125"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#N/A Activities / Week</a:t>
            </a:r>
          </a:p>
        </xdr:txBody>
      </xdr:sp>
    </xdr:grpSp>
    <xdr:clientData/>
  </xdr:twoCellAnchor>
  <xdr:twoCellAnchor>
    <xdr:from>
      <xdr:col>9</xdr:col>
      <xdr:colOff>267124</xdr:colOff>
      <xdr:row>1</xdr:row>
      <xdr:rowOff>56173</xdr:rowOff>
    </xdr:from>
    <xdr:to>
      <xdr:col>13</xdr:col>
      <xdr:colOff>109621</xdr:colOff>
      <xdr:row>7</xdr:row>
      <xdr:rowOff>188777</xdr:rowOff>
    </xdr:to>
    <xdr:grpSp>
      <xdr:nvGrpSpPr>
        <xdr:cNvPr id="25640" name="Group 25639">
          <a:extLst>
            <a:ext uri="{FF2B5EF4-FFF2-40B4-BE49-F238E27FC236}">
              <a16:creationId xmlns:a16="http://schemas.microsoft.com/office/drawing/2014/main" id="{00000000-0008-0000-0700-000028640000}"/>
            </a:ext>
          </a:extLst>
        </xdr:cNvPr>
        <xdr:cNvGrpSpPr/>
      </xdr:nvGrpSpPr>
      <xdr:grpSpPr>
        <a:xfrm>
          <a:off x="3429424" y="313348"/>
          <a:ext cx="1366497" cy="1189879"/>
          <a:chOff x="3429424" y="313348"/>
          <a:chExt cx="1366497" cy="1189879"/>
        </a:xfrm>
      </xdr:grpSpPr>
      <xdr:sp macro="" textlink="">
        <xdr:nvSpPr>
          <xdr:cNvPr id="2" name="TextBoxHeadWeeks">
            <a:extLst>
              <a:ext uri="{FF2B5EF4-FFF2-40B4-BE49-F238E27FC236}">
                <a16:creationId xmlns:a16="http://schemas.microsoft.com/office/drawing/2014/main" id="{00000000-0008-0000-0700-000002000000}"/>
              </a:ext>
            </a:extLst>
          </xdr:cNvPr>
          <xdr:cNvSpPr txBox="1"/>
        </xdr:nvSpPr>
        <xdr:spPr>
          <a:xfrm>
            <a:off x="3429424"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Weeks</a:t>
            </a:r>
          </a:p>
        </xdr:txBody>
      </xdr:sp>
      <xdr:sp macro="" textlink="">
        <xdr:nvSpPr>
          <xdr:cNvPr id="12" name="TextBoxWeeks">
            <a:extLst>
              <a:ext uri="{FF2B5EF4-FFF2-40B4-BE49-F238E27FC236}">
                <a16:creationId xmlns:a16="http://schemas.microsoft.com/office/drawing/2014/main" id="{00000000-0008-0000-0700-00000C000000}"/>
              </a:ext>
            </a:extLst>
          </xdr:cNvPr>
          <xdr:cNvSpPr txBox="1"/>
        </xdr:nvSpPr>
        <xdr:spPr>
          <a:xfrm>
            <a:off x="3429424"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8" name="TextBoxWeeksInsight">
            <a:extLst>
              <a:ext uri="{FF2B5EF4-FFF2-40B4-BE49-F238E27FC236}">
                <a16:creationId xmlns:a16="http://schemas.microsoft.com/office/drawing/2014/main" id="{00000000-0008-0000-0700-00001C000000}"/>
              </a:ext>
            </a:extLst>
          </xdr:cNvPr>
          <xdr:cNvSpPr txBox="1"/>
        </xdr:nvSpPr>
        <xdr:spPr>
          <a:xfrm>
            <a:off x="3429424"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Tour de France</a:t>
            </a:r>
          </a:p>
        </xdr:txBody>
      </xdr:sp>
    </xdr:grpSp>
    <xdr:clientData/>
  </xdr:twoCellAnchor>
  <xdr:twoCellAnchor>
    <xdr:from>
      <xdr:col>14</xdr:col>
      <xdr:colOff>29422</xdr:colOff>
      <xdr:row>1</xdr:row>
      <xdr:rowOff>56173</xdr:rowOff>
    </xdr:from>
    <xdr:to>
      <xdr:col>18</xdr:col>
      <xdr:colOff>5270</xdr:colOff>
      <xdr:row>7</xdr:row>
      <xdr:rowOff>188777</xdr:rowOff>
    </xdr:to>
    <xdr:grpSp>
      <xdr:nvGrpSpPr>
        <xdr:cNvPr id="25639" name="Group 25638">
          <a:extLst>
            <a:ext uri="{FF2B5EF4-FFF2-40B4-BE49-F238E27FC236}">
              <a16:creationId xmlns:a16="http://schemas.microsoft.com/office/drawing/2014/main" id="{00000000-0008-0000-0700-000027640000}"/>
            </a:ext>
          </a:extLst>
        </xdr:cNvPr>
        <xdr:cNvGrpSpPr/>
      </xdr:nvGrpSpPr>
      <xdr:grpSpPr>
        <a:xfrm>
          <a:off x="5096722" y="313348"/>
          <a:ext cx="1366498" cy="1189879"/>
          <a:chOff x="5096722" y="313348"/>
          <a:chExt cx="1366498" cy="1189879"/>
        </a:xfrm>
      </xdr:grpSpPr>
      <xdr:sp macro="" textlink="">
        <xdr:nvSpPr>
          <xdr:cNvPr id="3" name="TextBoxHeadHours">
            <a:extLst>
              <a:ext uri="{FF2B5EF4-FFF2-40B4-BE49-F238E27FC236}">
                <a16:creationId xmlns:a16="http://schemas.microsoft.com/office/drawing/2014/main" id="{00000000-0008-0000-0700-000003000000}"/>
              </a:ext>
            </a:extLst>
          </xdr:cNvPr>
          <xdr:cNvSpPr txBox="1"/>
        </xdr:nvSpPr>
        <xdr:spPr>
          <a:xfrm>
            <a:off x="5096722"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Hours</a:t>
            </a:r>
          </a:p>
        </xdr:txBody>
      </xdr:sp>
      <xdr:sp macro="" textlink="">
        <xdr:nvSpPr>
          <xdr:cNvPr id="13" name="TextBoxHours">
            <a:extLst>
              <a:ext uri="{FF2B5EF4-FFF2-40B4-BE49-F238E27FC236}">
                <a16:creationId xmlns:a16="http://schemas.microsoft.com/office/drawing/2014/main" id="{00000000-0008-0000-0700-00000D000000}"/>
              </a:ext>
            </a:extLst>
          </xdr:cNvPr>
          <xdr:cNvSpPr txBox="1"/>
        </xdr:nvSpPr>
        <xdr:spPr>
          <a:xfrm>
            <a:off x="5096722"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4" name="TextBoxHoursInsight">
            <a:extLst>
              <a:ext uri="{FF2B5EF4-FFF2-40B4-BE49-F238E27FC236}">
                <a16:creationId xmlns:a16="http://schemas.microsoft.com/office/drawing/2014/main" id="{00000000-0008-0000-0700-000022000000}"/>
              </a:ext>
            </a:extLst>
          </xdr:cNvPr>
          <xdr:cNvSpPr txBox="1"/>
        </xdr:nvSpPr>
        <xdr:spPr>
          <a:xfrm>
            <a:off x="5096722"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Leadville 100</a:t>
            </a:r>
          </a:p>
        </xdr:txBody>
      </xdr:sp>
    </xdr:grpSp>
    <xdr:clientData/>
  </xdr:twoCellAnchor>
  <xdr:twoCellAnchor>
    <xdr:from>
      <xdr:col>18</xdr:col>
      <xdr:colOff>306071</xdr:colOff>
      <xdr:row>1</xdr:row>
      <xdr:rowOff>56173</xdr:rowOff>
    </xdr:from>
    <xdr:to>
      <xdr:col>22</xdr:col>
      <xdr:colOff>148568</xdr:colOff>
      <xdr:row>7</xdr:row>
      <xdr:rowOff>188777</xdr:rowOff>
    </xdr:to>
    <xdr:grpSp>
      <xdr:nvGrpSpPr>
        <xdr:cNvPr id="25642" name="Group 25641">
          <a:extLst>
            <a:ext uri="{FF2B5EF4-FFF2-40B4-BE49-F238E27FC236}">
              <a16:creationId xmlns:a16="http://schemas.microsoft.com/office/drawing/2014/main" id="{00000000-0008-0000-0700-00002A640000}"/>
            </a:ext>
          </a:extLst>
        </xdr:cNvPr>
        <xdr:cNvGrpSpPr/>
      </xdr:nvGrpSpPr>
      <xdr:grpSpPr>
        <a:xfrm>
          <a:off x="6764021" y="313348"/>
          <a:ext cx="1366497" cy="1189879"/>
          <a:chOff x="6764021" y="313348"/>
          <a:chExt cx="1366497" cy="1189879"/>
        </a:xfrm>
      </xdr:grpSpPr>
      <xdr:sp macro="" textlink="">
        <xdr:nvSpPr>
          <xdr:cNvPr id="6" name="TextBoxHeadDistance">
            <a:extLst>
              <a:ext uri="{FF2B5EF4-FFF2-40B4-BE49-F238E27FC236}">
                <a16:creationId xmlns:a16="http://schemas.microsoft.com/office/drawing/2014/main" id="{00000000-0008-0000-0700-000006000000}"/>
              </a:ext>
            </a:extLst>
          </xdr:cNvPr>
          <xdr:cNvSpPr txBox="1"/>
        </xdr:nvSpPr>
        <xdr:spPr>
          <a:xfrm>
            <a:off x="6764021"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Distance (mi)</a:t>
            </a:r>
          </a:p>
        </xdr:txBody>
      </xdr:sp>
      <xdr:sp macro="" textlink="">
        <xdr:nvSpPr>
          <xdr:cNvPr id="15" name="TextBoxDistance">
            <a:extLst>
              <a:ext uri="{FF2B5EF4-FFF2-40B4-BE49-F238E27FC236}">
                <a16:creationId xmlns:a16="http://schemas.microsoft.com/office/drawing/2014/main" id="{00000000-0008-0000-0700-00000F000000}"/>
              </a:ext>
            </a:extLst>
          </xdr:cNvPr>
          <xdr:cNvSpPr txBox="1"/>
        </xdr:nvSpPr>
        <xdr:spPr>
          <a:xfrm>
            <a:off x="6764021"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5" name="TextBoxDistanceInsight">
            <a:extLst>
              <a:ext uri="{FF2B5EF4-FFF2-40B4-BE49-F238E27FC236}">
                <a16:creationId xmlns:a16="http://schemas.microsoft.com/office/drawing/2014/main" id="{00000000-0008-0000-0700-000023000000}"/>
              </a:ext>
            </a:extLst>
          </xdr:cNvPr>
          <xdr:cNvSpPr txBox="1"/>
        </xdr:nvSpPr>
        <xdr:spPr>
          <a:xfrm>
            <a:off x="6764021"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Paris-Roubaix</a:t>
            </a:r>
          </a:p>
        </xdr:txBody>
      </xdr:sp>
    </xdr:grpSp>
    <xdr:clientData/>
  </xdr:twoCellAnchor>
  <xdr:twoCellAnchor>
    <xdr:from>
      <xdr:col>23</xdr:col>
      <xdr:colOff>68369</xdr:colOff>
      <xdr:row>1</xdr:row>
      <xdr:rowOff>56173</xdr:rowOff>
    </xdr:from>
    <xdr:to>
      <xdr:col>26</xdr:col>
      <xdr:colOff>291866</xdr:colOff>
      <xdr:row>7</xdr:row>
      <xdr:rowOff>188777</xdr:rowOff>
    </xdr:to>
    <xdr:grpSp>
      <xdr:nvGrpSpPr>
        <xdr:cNvPr id="25643" name="Group 25642">
          <a:extLst>
            <a:ext uri="{FF2B5EF4-FFF2-40B4-BE49-F238E27FC236}">
              <a16:creationId xmlns:a16="http://schemas.microsoft.com/office/drawing/2014/main" id="{00000000-0008-0000-0700-00002B640000}"/>
            </a:ext>
          </a:extLst>
        </xdr:cNvPr>
        <xdr:cNvGrpSpPr/>
      </xdr:nvGrpSpPr>
      <xdr:grpSpPr>
        <a:xfrm>
          <a:off x="8431319" y="313348"/>
          <a:ext cx="1366497" cy="1189879"/>
          <a:chOff x="8431319" y="313348"/>
          <a:chExt cx="1366497" cy="1189879"/>
        </a:xfrm>
      </xdr:grpSpPr>
      <xdr:sp macro="" textlink="">
        <xdr:nvSpPr>
          <xdr:cNvPr id="5" name="TextBoxHeadElevation">
            <a:extLst>
              <a:ext uri="{FF2B5EF4-FFF2-40B4-BE49-F238E27FC236}">
                <a16:creationId xmlns:a16="http://schemas.microsoft.com/office/drawing/2014/main" id="{00000000-0008-0000-0700-000005000000}"/>
              </a:ext>
            </a:extLst>
          </xdr:cNvPr>
          <xdr:cNvSpPr txBox="1"/>
        </xdr:nvSpPr>
        <xdr:spPr>
          <a:xfrm>
            <a:off x="84313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Elevation (ft)</a:t>
            </a:r>
          </a:p>
        </xdr:txBody>
      </xdr:sp>
      <xdr:sp macro="" textlink="">
        <xdr:nvSpPr>
          <xdr:cNvPr id="16" name="TextBoxElevation">
            <a:extLst>
              <a:ext uri="{FF2B5EF4-FFF2-40B4-BE49-F238E27FC236}">
                <a16:creationId xmlns:a16="http://schemas.microsoft.com/office/drawing/2014/main" id="{00000000-0008-0000-0700-000010000000}"/>
              </a:ext>
            </a:extLst>
          </xdr:cNvPr>
          <xdr:cNvSpPr txBox="1"/>
        </xdr:nvSpPr>
        <xdr:spPr>
          <a:xfrm>
            <a:off x="84313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7" name="TextBoxElevationInsight">
            <a:extLst>
              <a:ext uri="{FF2B5EF4-FFF2-40B4-BE49-F238E27FC236}">
                <a16:creationId xmlns:a16="http://schemas.microsoft.com/office/drawing/2014/main" id="{00000000-0008-0000-0700-000025000000}"/>
              </a:ext>
            </a:extLst>
          </xdr:cNvPr>
          <xdr:cNvSpPr txBox="1"/>
        </xdr:nvSpPr>
        <xdr:spPr>
          <a:xfrm>
            <a:off x="84313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Bear Mountain</a:t>
            </a:r>
          </a:p>
        </xdr:txBody>
      </xdr:sp>
    </xdr:grpSp>
    <xdr:clientData/>
  </xdr:twoCellAnchor>
  <xdr:twoCellAnchor>
    <xdr:from>
      <xdr:col>27</xdr:col>
      <xdr:colOff>211669</xdr:colOff>
      <xdr:row>1</xdr:row>
      <xdr:rowOff>56173</xdr:rowOff>
    </xdr:from>
    <xdr:to>
      <xdr:col>31</xdr:col>
      <xdr:colOff>54166</xdr:colOff>
      <xdr:row>7</xdr:row>
      <xdr:rowOff>188777</xdr:rowOff>
    </xdr:to>
    <xdr:grpSp>
      <xdr:nvGrpSpPr>
        <xdr:cNvPr id="25644" name="Group 25643">
          <a:extLst>
            <a:ext uri="{FF2B5EF4-FFF2-40B4-BE49-F238E27FC236}">
              <a16:creationId xmlns:a16="http://schemas.microsoft.com/office/drawing/2014/main" id="{00000000-0008-0000-0700-00002C640000}"/>
            </a:ext>
          </a:extLst>
        </xdr:cNvPr>
        <xdr:cNvGrpSpPr/>
      </xdr:nvGrpSpPr>
      <xdr:grpSpPr>
        <a:xfrm>
          <a:off x="10098619" y="313348"/>
          <a:ext cx="1366497" cy="1189879"/>
          <a:chOff x="10098619" y="313348"/>
          <a:chExt cx="1366497" cy="1189879"/>
        </a:xfrm>
      </xdr:grpSpPr>
      <xdr:sp macro="" textlink="">
        <xdr:nvSpPr>
          <xdr:cNvPr id="17" name="TextBoxCalories">
            <a:extLst>
              <a:ext uri="{FF2B5EF4-FFF2-40B4-BE49-F238E27FC236}">
                <a16:creationId xmlns:a16="http://schemas.microsoft.com/office/drawing/2014/main" id="{00000000-0008-0000-0700-000011000000}"/>
              </a:ext>
            </a:extLst>
          </xdr:cNvPr>
          <xdr:cNvSpPr txBox="1"/>
        </xdr:nvSpPr>
        <xdr:spPr>
          <a:xfrm>
            <a:off x="100986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4" name="TextBoxHeadCalories">
            <a:extLst>
              <a:ext uri="{FF2B5EF4-FFF2-40B4-BE49-F238E27FC236}">
                <a16:creationId xmlns:a16="http://schemas.microsoft.com/office/drawing/2014/main" id="{00000000-0008-0000-0700-000004000000}"/>
              </a:ext>
            </a:extLst>
          </xdr:cNvPr>
          <xdr:cNvSpPr txBox="1"/>
        </xdr:nvSpPr>
        <xdr:spPr>
          <a:xfrm>
            <a:off x="100986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Calories</a:t>
            </a:r>
          </a:p>
        </xdr:txBody>
      </xdr:sp>
      <xdr:sp macro="" textlink="">
        <xdr:nvSpPr>
          <xdr:cNvPr id="38" name="TextBoxCaloriesInsight">
            <a:extLst>
              <a:ext uri="{FF2B5EF4-FFF2-40B4-BE49-F238E27FC236}">
                <a16:creationId xmlns:a16="http://schemas.microsoft.com/office/drawing/2014/main" id="{00000000-0008-0000-0700-000026000000}"/>
              </a:ext>
            </a:extLst>
          </xdr:cNvPr>
          <xdr:cNvSpPr txBox="1"/>
        </xdr:nvSpPr>
        <xdr:spPr>
          <a:xfrm>
            <a:off x="100986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Belgian Waffle</a:t>
            </a:r>
          </a:p>
        </xdr:txBody>
      </xdr:sp>
    </xdr:grpSp>
    <xdr:clientData/>
  </xdr:twoCellAnchor>
  <mc:AlternateContent xmlns:mc="http://schemas.openxmlformats.org/markup-compatibility/2006">
    <mc:Choice xmlns:a14="http://schemas.microsoft.com/office/drawing/2010/main" Requires="a14">
      <xdr:twoCellAnchor editAs="oneCell">
        <xdr:from>
          <xdr:col>17</xdr:col>
          <xdr:colOff>38100</xdr:colOff>
          <xdr:row>8</xdr:row>
          <xdr:rowOff>114300</xdr:rowOff>
        </xdr:from>
        <xdr:to>
          <xdr:col>21</xdr:col>
          <xdr:colOff>19050</xdr:colOff>
          <xdr:row>9</xdr:row>
          <xdr:rowOff>171450</xdr:rowOff>
        </xdr:to>
        <xdr:sp macro="" textlink="">
          <xdr:nvSpPr>
            <xdr:cNvPr id="25610" name="Pivot2ComboBox1" hidden="1">
              <a:extLst>
                <a:ext uri="{63B3BB69-23CF-44E3-9099-C40C66FF867C}">
                  <a14:compatExt spid="_x0000_s25610"/>
                </a:ext>
                <a:ext uri="{FF2B5EF4-FFF2-40B4-BE49-F238E27FC236}">
                  <a16:creationId xmlns:a16="http://schemas.microsoft.com/office/drawing/2014/main" id="{00000000-0008-0000-0700-00000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8</xdr:row>
          <xdr:rowOff>114300</xdr:rowOff>
        </xdr:from>
        <xdr:to>
          <xdr:col>5</xdr:col>
          <xdr:colOff>9525</xdr:colOff>
          <xdr:row>9</xdr:row>
          <xdr:rowOff>171450</xdr:rowOff>
        </xdr:to>
        <xdr:sp macro="" textlink="">
          <xdr:nvSpPr>
            <xdr:cNvPr id="25611" name="Pivot1ComboBox1" hidden="1">
              <a:extLst>
                <a:ext uri="{63B3BB69-23CF-44E3-9099-C40C66FF867C}">
                  <a14:compatExt spid="_x0000_s25611"/>
                </a:ext>
                <a:ext uri="{FF2B5EF4-FFF2-40B4-BE49-F238E27FC236}">
                  <a16:creationId xmlns:a16="http://schemas.microsoft.com/office/drawing/2014/main" id="{00000000-0008-0000-0700-00000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47625</xdr:rowOff>
        </xdr:from>
        <xdr:to>
          <xdr:col>5</xdr:col>
          <xdr:colOff>9525</xdr:colOff>
          <xdr:row>11</xdr:row>
          <xdr:rowOff>104775</xdr:rowOff>
        </xdr:to>
        <xdr:sp macro="" textlink="">
          <xdr:nvSpPr>
            <xdr:cNvPr id="25612" name="Pivot1ComboBox2" hidden="1">
              <a:extLst>
                <a:ext uri="{63B3BB69-23CF-44E3-9099-C40C66FF867C}">
                  <a14:compatExt spid="_x0000_s25612"/>
                </a:ext>
                <a:ext uri="{FF2B5EF4-FFF2-40B4-BE49-F238E27FC236}">
                  <a16:creationId xmlns:a16="http://schemas.microsoft.com/office/drawing/2014/main" id="{00000000-0008-0000-0700-00000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10</xdr:row>
          <xdr:rowOff>47625</xdr:rowOff>
        </xdr:from>
        <xdr:to>
          <xdr:col>21</xdr:col>
          <xdr:colOff>19050</xdr:colOff>
          <xdr:row>11</xdr:row>
          <xdr:rowOff>104775</xdr:rowOff>
        </xdr:to>
        <xdr:sp macro="" textlink="">
          <xdr:nvSpPr>
            <xdr:cNvPr id="25613" name="Pivot2ComboBox2" hidden="1">
              <a:extLst>
                <a:ext uri="{63B3BB69-23CF-44E3-9099-C40C66FF867C}">
                  <a14:compatExt spid="_x0000_s25613"/>
                </a:ext>
                <a:ext uri="{FF2B5EF4-FFF2-40B4-BE49-F238E27FC236}">
                  <a16:creationId xmlns:a16="http://schemas.microsoft.com/office/drawing/2014/main" id="{00000000-0008-0000-0700-00000D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17</xdr:row>
          <xdr:rowOff>114300</xdr:rowOff>
        </xdr:from>
        <xdr:to>
          <xdr:col>21</xdr:col>
          <xdr:colOff>19050</xdr:colOff>
          <xdr:row>18</xdr:row>
          <xdr:rowOff>171450</xdr:rowOff>
        </xdr:to>
        <xdr:sp macro="" textlink="">
          <xdr:nvSpPr>
            <xdr:cNvPr id="25614" name="Pivot4ComboBox1" hidden="1">
              <a:extLst>
                <a:ext uri="{63B3BB69-23CF-44E3-9099-C40C66FF867C}">
                  <a14:compatExt spid="_x0000_s25614"/>
                </a:ext>
                <a:ext uri="{FF2B5EF4-FFF2-40B4-BE49-F238E27FC236}">
                  <a16:creationId xmlns:a16="http://schemas.microsoft.com/office/drawing/2014/main" id="{00000000-0008-0000-0700-00000E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5</xdr:col>
          <xdr:colOff>9525</xdr:colOff>
          <xdr:row>20</xdr:row>
          <xdr:rowOff>104775</xdr:rowOff>
        </xdr:to>
        <xdr:sp macro="" textlink="">
          <xdr:nvSpPr>
            <xdr:cNvPr id="25616" name="Pivot3ComboBox2" hidden="1">
              <a:extLst>
                <a:ext uri="{63B3BB69-23CF-44E3-9099-C40C66FF867C}">
                  <a14:compatExt spid="_x0000_s25616"/>
                </a:ext>
                <a:ext uri="{FF2B5EF4-FFF2-40B4-BE49-F238E27FC236}">
                  <a16:creationId xmlns:a16="http://schemas.microsoft.com/office/drawing/2014/main" id="{00000000-0008-0000-0700-000010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114300</xdr:rowOff>
        </xdr:from>
        <xdr:to>
          <xdr:col>5</xdr:col>
          <xdr:colOff>9525</xdr:colOff>
          <xdr:row>18</xdr:row>
          <xdr:rowOff>171450</xdr:rowOff>
        </xdr:to>
        <xdr:sp macro="" textlink="">
          <xdr:nvSpPr>
            <xdr:cNvPr id="25617" name="Pivot3ComboBox1" hidden="1">
              <a:extLst>
                <a:ext uri="{63B3BB69-23CF-44E3-9099-C40C66FF867C}">
                  <a14:compatExt spid="_x0000_s25617"/>
                </a:ext>
                <a:ext uri="{FF2B5EF4-FFF2-40B4-BE49-F238E27FC236}">
                  <a16:creationId xmlns:a16="http://schemas.microsoft.com/office/drawing/2014/main" id="{00000000-0008-0000-0700-00001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2</xdr:row>
          <xdr:rowOff>19050</xdr:rowOff>
        </xdr:from>
        <xdr:to>
          <xdr:col>33</xdr:col>
          <xdr:colOff>47625</xdr:colOff>
          <xdr:row>3</xdr:row>
          <xdr:rowOff>47625</xdr:rowOff>
        </xdr:to>
        <xdr:sp macro="" textlink="">
          <xdr:nvSpPr>
            <xdr:cNvPr id="25618" name="AnalyticsResetButton" descr="Reset Analytics Sheet" hidden="1">
              <a:extLst>
                <a:ext uri="{63B3BB69-23CF-44E3-9099-C40C66FF867C}">
                  <a14:compatExt spid="_x0000_s25618"/>
                </a:ext>
                <a:ext uri="{FF2B5EF4-FFF2-40B4-BE49-F238E27FC236}">
                  <a16:creationId xmlns:a16="http://schemas.microsoft.com/office/drawing/2014/main" id="{00000000-0008-0000-0700-000012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5</xdr:row>
          <xdr:rowOff>38100</xdr:rowOff>
        </xdr:from>
        <xdr:to>
          <xdr:col>32</xdr:col>
          <xdr:colOff>57150</xdr:colOff>
          <xdr:row>6</xdr:row>
          <xdr:rowOff>66675</xdr:rowOff>
        </xdr:to>
        <xdr:sp macro="" textlink="">
          <xdr:nvSpPr>
            <xdr:cNvPr id="25620" name="AnalyticsTopButton" descr="Top 10" hidden="1">
              <a:extLst>
                <a:ext uri="{63B3BB69-23CF-44E3-9099-C40C66FF867C}">
                  <a14:compatExt spid="_x0000_s25620"/>
                </a:ext>
                <a:ext uri="{FF2B5EF4-FFF2-40B4-BE49-F238E27FC236}">
                  <a16:creationId xmlns:a16="http://schemas.microsoft.com/office/drawing/2014/main" id="{00000000-0008-0000-0700-000014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5</xdr:row>
          <xdr:rowOff>38100</xdr:rowOff>
        </xdr:from>
        <xdr:to>
          <xdr:col>33</xdr:col>
          <xdr:colOff>47625</xdr:colOff>
          <xdr:row>6</xdr:row>
          <xdr:rowOff>66675</xdr:rowOff>
        </xdr:to>
        <xdr:sp macro="" textlink="">
          <xdr:nvSpPr>
            <xdr:cNvPr id="25621" name="AnalyticsBottomButton" descr="Bottom 10" hidden="1">
              <a:extLst>
                <a:ext uri="{63B3BB69-23CF-44E3-9099-C40C66FF867C}">
                  <a14:compatExt spid="_x0000_s25621"/>
                </a:ext>
                <a:ext uri="{FF2B5EF4-FFF2-40B4-BE49-F238E27FC236}">
                  <a16:creationId xmlns:a16="http://schemas.microsoft.com/office/drawing/2014/main" id="{00000000-0008-0000-0700-000015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3</xdr:row>
          <xdr:rowOff>123825</xdr:rowOff>
        </xdr:from>
        <xdr:to>
          <xdr:col>33</xdr:col>
          <xdr:colOff>47625</xdr:colOff>
          <xdr:row>4</xdr:row>
          <xdr:rowOff>152400</xdr:rowOff>
        </xdr:to>
        <xdr:sp macro="" textlink="">
          <xdr:nvSpPr>
            <xdr:cNvPr id="25619" name="AnalyticsPlanButton" descr="Set Time Period to current plan" hidden="1">
              <a:extLst>
                <a:ext uri="{63B3BB69-23CF-44E3-9099-C40C66FF867C}">
                  <a14:compatExt spid="_x0000_s25619"/>
                </a:ext>
                <a:ext uri="{FF2B5EF4-FFF2-40B4-BE49-F238E27FC236}">
                  <a16:creationId xmlns:a16="http://schemas.microsoft.com/office/drawing/2014/main" id="{00000000-0008-0000-0700-000013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Plan</a:t>
              </a:r>
            </a:p>
          </xdr:txBody>
        </xdr:sp>
        <xdr:clientData/>
      </xdr:twoCellAnchor>
    </mc:Choice>
    <mc:Fallback/>
  </mc:AlternateContent>
  <xdr:twoCellAnchor>
    <xdr:from>
      <xdr:col>17</xdr:col>
      <xdr:colOff>38100</xdr:colOff>
      <xdr:row>11</xdr:row>
      <xdr:rowOff>171450</xdr:rowOff>
    </xdr:from>
    <xdr:to>
      <xdr:col>21</xdr:col>
      <xdr:colOff>2288</xdr:colOff>
      <xdr:row>16</xdr:row>
      <xdr:rowOff>137923</xdr:rowOff>
    </xdr:to>
    <xdr:grpSp>
      <xdr:nvGrpSpPr>
        <xdr:cNvPr id="25630" name="Group 25629">
          <a:extLst>
            <a:ext uri="{FF2B5EF4-FFF2-40B4-BE49-F238E27FC236}">
              <a16:creationId xmlns:a16="http://schemas.microsoft.com/office/drawing/2014/main" id="{00000000-0008-0000-0700-00001E640000}"/>
            </a:ext>
          </a:extLst>
        </xdr:cNvPr>
        <xdr:cNvGrpSpPr/>
      </xdr:nvGrpSpPr>
      <xdr:grpSpPr>
        <a:xfrm>
          <a:off x="6248400" y="2286000"/>
          <a:ext cx="1354838" cy="966598"/>
          <a:chOff x="6248398" y="2285999"/>
          <a:chExt cx="1354838" cy="966598"/>
        </a:xfrm>
      </xdr:grpSpPr>
      <xdr:sp macro="" textlink="">
        <xdr:nvSpPr>
          <xdr:cNvPr id="91" name="TextBoxHeadP2C1">
            <a:extLst>
              <a:ext uri="{FF2B5EF4-FFF2-40B4-BE49-F238E27FC236}">
                <a16:creationId xmlns:a16="http://schemas.microsoft.com/office/drawing/2014/main" id="{00000000-0008-0000-0700-00005B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Bike Cadence</a:t>
            </a:r>
          </a:p>
        </xdr:txBody>
      </xdr:sp>
      <xdr:sp macro="" textlink="">
        <xdr:nvSpPr>
          <xdr:cNvPr id="92" name="TextBoxValueP2C1">
            <a:extLst>
              <a:ext uri="{FF2B5EF4-FFF2-40B4-BE49-F238E27FC236}">
                <a16:creationId xmlns:a16="http://schemas.microsoft.com/office/drawing/2014/main" id="{00000000-0008-0000-0700-00005C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93" name="TextBoxHeadP2C2">
            <a:extLst>
              <a:ext uri="{FF2B5EF4-FFF2-40B4-BE49-F238E27FC236}">
                <a16:creationId xmlns:a16="http://schemas.microsoft.com/office/drawing/2014/main" id="{00000000-0008-0000-0700-00005D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94" name="TextBoxValueP2C2">
            <a:extLst>
              <a:ext uri="{FF2B5EF4-FFF2-40B4-BE49-F238E27FC236}">
                <a16:creationId xmlns:a16="http://schemas.microsoft.com/office/drawing/2014/main" id="{00000000-0008-0000-0700-00005E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45" name="TextBoxHeadP2">
            <a:extLst>
              <a:ext uri="{FF2B5EF4-FFF2-40B4-BE49-F238E27FC236}">
                <a16:creationId xmlns:a16="http://schemas.microsoft.com/office/drawing/2014/main" id="{00000000-0008-0000-0700-00002D000000}"/>
              </a:ext>
            </a:extLst>
          </xdr:cNvPr>
          <xdr:cNvSpPr txBox="1"/>
        </xdr:nvSpPr>
        <xdr:spPr>
          <a:xfrm>
            <a:off x="6248400" y="2285999"/>
            <a:ext cx="1343025"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11</xdr:row>
      <xdr:rowOff>171450</xdr:rowOff>
    </xdr:from>
    <xdr:to>
      <xdr:col>5</xdr:col>
      <xdr:colOff>5716</xdr:colOff>
      <xdr:row>16</xdr:row>
      <xdr:rowOff>137923</xdr:rowOff>
    </xdr:to>
    <xdr:grpSp>
      <xdr:nvGrpSpPr>
        <xdr:cNvPr id="105" name="Group 104">
          <a:extLst>
            <a:ext uri="{FF2B5EF4-FFF2-40B4-BE49-F238E27FC236}">
              <a16:creationId xmlns:a16="http://schemas.microsoft.com/office/drawing/2014/main" id="{00000000-0008-0000-0700-000069000000}"/>
            </a:ext>
          </a:extLst>
        </xdr:cNvPr>
        <xdr:cNvGrpSpPr/>
      </xdr:nvGrpSpPr>
      <xdr:grpSpPr>
        <a:xfrm>
          <a:off x="180974" y="2286000"/>
          <a:ext cx="1463042" cy="966598"/>
          <a:chOff x="6248398" y="2285999"/>
          <a:chExt cx="1354840" cy="966598"/>
        </a:xfrm>
      </xdr:grpSpPr>
      <xdr:sp macro="" textlink="">
        <xdr:nvSpPr>
          <xdr:cNvPr id="106" name="TextBoxHeadP1C1">
            <a:extLst>
              <a:ext uri="{FF2B5EF4-FFF2-40B4-BE49-F238E27FC236}">
                <a16:creationId xmlns:a16="http://schemas.microsoft.com/office/drawing/2014/main" id="{00000000-0008-0000-0700-00006A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Heart Rate</a:t>
            </a:r>
          </a:p>
        </xdr:txBody>
      </xdr:sp>
      <xdr:sp macro="" textlink="">
        <xdr:nvSpPr>
          <xdr:cNvPr id="107" name="TextBoxValueP1C1">
            <a:extLst>
              <a:ext uri="{FF2B5EF4-FFF2-40B4-BE49-F238E27FC236}">
                <a16:creationId xmlns:a16="http://schemas.microsoft.com/office/drawing/2014/main" id="{00000000-0008-0000-0700-00006B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08" name="TextBoxHeadP1C2">
            <a:extLst>
              <a:ext uri="{FF2B5EF4-FFF2-40B4-BE49-F238E27FC236}">
                <a16:creationId xmlns:a16="http://schemas.microsoft.com/office/drawing/2014/main" id="{00000000-0008-0000-0700-00006C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109" name="TextBoxValueP1C2">
            <a:extLst>
              <a:ext uri="{FF2B5EF4-FFF2-40B4-BE49-F238E27FC236}">
                <a16:creationId xmlns:a16="http://schemas.microsoft.com/office/drawing/2014/main" id="{00000000-0008-0000-0700-00006D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10" name="TextBoxHeadP1">
            <a:extLst>
              <a:ext uri="{FF2B5EF4-FFF2-40B4-BE49-F238E27FC236}">
                <a16:creationId xmlns:a16="http://schemas.microsoft.com/office/drawing/2014/main" id="{00000000-0008-0000-0700-00006E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21</xdr:row>
      <xdr:rowOff>0</xdr:rowOff>
    </xdr:from>
    <xdr:to>
      <xdr:col>5</xdr:col>
      <xdr:colOff>5716</xdr:colOff>
      <xdr:row>25</xdr:row>
      <xdr:rowOff>166498</xdr:rowOff>
    </xdr:to>
    <xdr:grpSp>
      <xdr:nvGrpSpPr>
        <xdr:cNvPr id="114" name="Group 113">
          <a:extLst>
            <a:ext uri="{FF2B5EF4-FFF2-40B4-BE49-F238E27FC236}">
              <a16:creationId xmlns:a16="http://schemas.microsoft.com/office/drawing/2014/main" id="{00000000-0008-0000-0700-000072000000}"/>
            </a:ext>
          </a:extLst>
        </xdr:cNvPr>
        <xdr:cNvGrpSpPr/>
      </xdr:nvGrpSpPr>
      <xdr:grpSpPr>
        <a:xfrm>
          <a:off x="180974" y="4114800"/>
          <a:ext cx="1463042" cy="966598"/>
          <a:chOff x="6248398" y="2285999"/>
          <a:chExt cx="1354840" cy="966598"/>
        </a:xfrm>
      </xdr:grpSpPr>
      <xdr:sp macro="" textlink="">
        <xdr:nvSpPr>
          <xdr:cNvPr id="115" name="TextBoxHeadP3C1">
            <a:extLst>
              <a:ext uri="{FF2B5EF4-FFF2-40B4-BE49-F238E27FC236}">
                <a16:creationId xmlns:a16="http://schemas.microsoft.com/office/drawing/2014/main" id="{00000000-0008-0000-0700-000073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Hrs/Activity</a:t>
            </a:r>
          </a:p>
        </xdr:txBody>
      </xdr:sp>
      <xdr:sp macro="" textlink="">
        <xdr:nvSpPr>
          <xdr:cNvPr id="116" name="TextBoxValueP3C1">
            <a:extLst>
              <a:ext uri="{FF2B5EF4-FFF2-40B4-BE49-F238E27FC236}">
                <a16:creationId xmlns:a16="http://schemas.microsoft.com/office/drawing/2014/main" id="{00000000-0008-0000-0700-000074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00:00</a:t>
            </a:r>
          </a:p>
        </xdr:txBody>
      </xdr:sp>
      <xdr:sp macro="" textlink="">
        <xdr:nvSpPr>
          <xdr:cNvPr id="117" name="TextBoxHeadP3C2">
            <a:extLst>
              <a:ext uri="{FF2B5EF4-FFF2-40B4-BE49-F238E27FC236}">
                <a16:creationId xmlns:a16="http://schemas.microsoft.com/office/drawing/2014/main" id="{00000000-0008-0000-0700-000075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Activity Calories</a:t>
            </a:r>
          </a:p>
        </xdr:txBody>
      </xdr:sp>
      <xdr:sp macro="" textlink="">
        <xdr:nvSpPr>
          <xdr:cNvPr id="118" name="TextBoxValueP3C2">
            <a:extLst>
              <a:ext uri="{FF2B5EF4-FFF2-40B4-BE49-F238E27FC236}">
                <a16:creationId xmlns:a16="http://schemas.microsoft.com/office/drawing/2014/main" id="{00000000-0008-0000-0700-000076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800" b="1">
              <a:solidFill>
                <a:srgbClr val="002060"/>
              </a:solidFill>
              <a:latin typeface="Arial Nova" panose="020B0504020202020204" pitchFamily="34" charset="0"/>
            </a:endParaRPr>
          </a:p>
        </xdr:txBody>
      </xdr:sp>
      <xdr:sp macro="" textlink="">
        <xdr:nvSpPr>
          <xdr:cNvPr id="119" name="TextBoxHeadP3">
            <a:extLst>
              <a:ext uri="{FF2B5EF4-FFF2-40B4-BE49-F238E27FC236}">
                <a16:creationId xmlns:a16="http://schemas.microsoft.com/office/drawing/2014/main" id="{00000000-0008-0000-0700-000077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31</xdr:col>
          <xdr:colOff>161925</xdr:colOff>
          <xdr:row>6</xdr:row>
          <xdr:rowOff>142875</xdr:rowOff>
        </xdr:from>
        <xdr:to>
          <xdr:col>33</xdr:col>
          <xdr:colOff>47625</xdr:colOff>
          <xdr:row>7</xdr:row>
          <xdr:rowOff>171450</xdr:rowOff>
        </xdr:to>
        <xdr:sp macro="" textlink="">
          <xdr:nvSpPr>
            <xdr:cNvPr id="25622" name="AnalyticsClearButton" descr="Set Time Period to current plan" hidden="1">
              <a:extLst>
                <a:ext uri="{63B3BB69-23CF-44E3-9099-C40C66FF867C}">
                  <a14:compatExt spid="_x0000_s25622"/>
                </a:ext>
                <a:ext uri="{FF2B5EF4-FFF2-40B4-BE49-F238E27FC236}">
                  <a16:creationId xmlns:a16="http://schemas.microsoft.com/office/drawing/2014/main" id="{00000000-0008-0000-0700-000016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Clear</a:t>
              </a:r>
            </a:p>
          </xdr:txBody>
        </xdr:sp>
        <xdr:clientData/>
      </xdr:twoCellAnchor>
    </mc:Choice>
    <mc:Fallback/>
  </mc:AlternateContent>
  <xdr:twoCellAnchor editAs="oneCell">
    <xdr:from>
      <xdr:col>1</xdr:col>
      <xdr:colOff>69850</xdr:colOff>
      <xdr:row>2</xdr:row>
      <xdr:rowOff>3175</xdr:rowOff>
    </xdr:from>
    <xdr:to>
      <xdr:col>4</xdr:col>
      <xdr:colOff>361950</xdr:colOff>
      <xdr:row>7</xdr:row>
      <xdr:rowOff>184150</xdr:rowOff>
    </xdr:to>
    <mc:AlternateContent xmlns:mc="http://schemas.openxmlformats.org/markup-compatibility/2006" xmlns:tsle="http://schemas.microsoft.com/office/drawing/2012/timeslicer">
      <mc:Choice Requires="tsle">
        <xdr:graphicFrame macro="">
          <xdr:nvGraphicFramePr>
            <xdr:cNvPr id="9" name="TimePeriodSlicerPivotAnalytics">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2/timeslicer">
              <tsle:timeslicer name="TimePeriodSlicerPivotAnalytics"/>
            </a:graphicData>
          </a:graphic>
        </xdr:graphicFrame>
      </mc:Choice>
      <mc:Fallback xmlns="">
        <xdr:sp macro="" textlink="">
          <xdr:nvSpPr>
            <xdr:cNvPr id="0" name=""/>
            <xdr:cNvSpPr>
              <a:spLocks noTextEdit="1"/>
            </xdr:cNvSpPr>
          </xdr:nvSpPr>
          <xdr:spPr>
            <a:xfrm>
              <a:off x="184150" y="317500"/>
              <a:ext cx="14351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21</xdr:col>
      <xdr:colOff>0</xdr:colOff>
      <xdr:row>8</xdr:row>
      <xdr:rowOff>0</xdr:rowOff>
    </xdr:from>
    <xdr:to>
      <xdr:col>33</xdr:col>
      <xdr:colOff>0</xdr:colOff>
      <xdr:row>17</xdr:row>
      <xdr:rowOff>0</xdr:rowOff>
    </xdr:to>
    <xdr:graphicFrame macro="">
      <xdr:nvGraphicFramePr>
        <xdr:cNvPr id="20" name="Analytics2Chart">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0</xdr:colOff>
      <xdr:row>17</xdr:row>
      <xdr:rowOff>0</xdr:rowOff>
    </xdr:from>
    <xdr:to>
      <xdr:col>33</xdr:col>
      <xdr:colOff>0</xdr:colOff>
      <xdr:row>26</xdr:row>
      <xdr:rowOff>0</xdr:rowOff>
    </xdr:to>
    <xdr:graphicFrame macro="">
      <xdr:nvGraphicFramePr>
        <xdr:cNvPr id="23" name="Analytics4Chart">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17</xdr:row>
      <xdr:rowOff>0</xdr:rowOff>
    </xdr:from>
    <xdr:to>
      <xdr:col>17</xdr:col>
      <xdr:colOff>0</xdr:colOff>
      <xdr:row>26</xdr:row>
      <xdr:rowOff>0</xdr:rowOff>
    </xdr:to>
    <xdr:graphicFrame macro="">
      <xdr:nvGraphicFramePr>
        <xdr:cNvPr id="24" name="Analytics3Chart">
          <a:extLst>
            <a:ext uri="{FF2B5EF4-FFF2-40B4-BE49-F238E27FC236}">
              <a16:creationId xmlns:a16="http://schemas.microsoft.com/office/drawing/2014/main" id="{00000000-0008-0000-07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0</xdr:colOff>
      <xdr:row>8</xdr:row>
      <xdr:rowOff>0</xdr:rowOff>
    </xdr:from>
    <xdr:to>
      <xdr:col>17</xdr:col>
      <xdr:colOff>0</xdr:colOff>
      <xdr:row>17</xdr:row>
      <xdr:rowOff>0</xdr:rowOff>
    </xdr:to>
    <xdr:graphicFrame macro="">
      <xdr:nvGraphicFramePr>
        <xdr:cNvPr id="26" name="Analytics1Chart">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6</xdr:col>
      <xdr:colOff>709166</xdr:colOff>
      <xdr:row>14</xdr:row>
      <xdr:rowOff>130131</xdr:rowOff>
    </xdr:from>
    <xdr:to>
      <xdr:col>10</xdr:col>
      <xdr:colOff>117159</xdr:colOff>
      <xdr:row>26</xdr:row>
      <xdr:rowOff>70417</xdr:rowOff>
    </xdr:to>
    <xdr:grpSp>
      <xdr:nvGrpSpPr>
        <xdr:cNvPr id="7" name="BMIGaugeGroup">
          <a:extLst>
            <a:ext uri="{FF2B5EF4-FFF2-40B4-BE49-F238E27FC236}">
              <a16:creationId xmlns:a16="http://schemas.microsoft.com/office/drawing/2014/main" id="{00000000-0008-0000-0A00-000007000000}"/>
            </a:ext>
          </a:extLst>
        </xdr:cNvPr>
        <xdr:cNvGrpSpPr/>
      </xdr:nvGrpSpPr>
      <xdr:grpSpPr>
        <a:xfrm>
          <a:off x="6881366" y="3054306"/>
          <a:ext cx="2017843" cy="2340586"/>
          <a:chOff x="6881366" y="3054306"/>
          <a:chExt cx="2017843" cy="2340586"/>
        </a:xfrm>
      </xdr:grpSpPr>
      <xdr:graphicFrame macro="">
        <xdr:nvGraphicFramePr>
          <xdr:cNvPr id="48" name="BMI_Chart">
            <a:extLst>
              <a:ext uri="{FF2B5EF4-FFF2-40B4-BE49-F238E27FC236}">
                <a16:creationId xmlns:a16="http://schemas.microsoft.com/office/drawing/2014/main" id="{00000000-0008-0000-0A00-000030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9" name="BMIGauge">
            <a:extLst>
              <a:ext uri="{FF2B5EF4-FFF2-40B4-BE49-F238E27FC236}">
                <a16:creationId xmlns:a16="http://schemas.microsoft.com/office/drawing/2014/main" id="{00000000-0008-0000-0A00-000031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5" name="BMITxtGroup">
            <a:extLst>
              <a:ext uri="{FF2B5EF4-FFF2-40B4-BE49-F238E27FC236}">
                <a16:creationId xmlns:a16="http://schemas.microsoft.com/office/drawing/2014/main" id="{00000000-0008-0000-0A00-000023000000}"/>
              </a:ext>
            </a:extLst>
          </xdr:cNvPr>
          <xdr:cNvGrpSpPr/>
        </xdr:nvGrpSpPr>
        <xdr:grpSpPr>
          <a:xfrm>
            <a:off x="7569027" y="4386824"/>
            <a:ext cx="528047" cy="702373"/>
            <a:chOff x="10903839" y="1447798"/>
            <a:chExt cx="579120" cy="717235"/>
          </a:xfrm>
        </xdr:grpSpPr>
        <xdr:sp macro="" textlink="Actual_BMI">
          <xdr:nvSpPr>
            <xdr:cNvPr id="36" name="BMITxtActual">
              <a:extLst>
                <a:ext uri="{FF2B5EF4-FFF2-40B4-BE49-F238E27FC236}">
                  <a16:creationId xmlns:a16="http://schemas.microsoft.com/office/drawing/2014/main" id="{00000000-0008-0000-0A00-000024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37" name="BMITxt">
              <a:extLst>
                <a:ext uri="{FF2B5EF4-FFF2-40B4-BE49-F238E27FC236}">
                  <a16:creationId xmlns:a16="http://schemas.microsoft.com/office/drawing/2014/main" id="{00000000-0008-0000-0A00-000025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38" name="BMITxtWeightUnit">
              <a:extLst>
                <a:ext uri="{FF2B5EF4-FFF2-40B4-BE49-F238E27FC236}">
                  <a16:creationId xmlns:a16="http://schemas.microsoft.com/office/drawing/2014/main" id="{00000000-0008-0000-0A00-000026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39" name="BMITxtWeight">
              <a:extLst>
                <a:ext uri="{FF2B5EF4-FFF2-40B4-BE49-F238E27FC236}">
                  <a16:creationId xmlns:a16="http://schemas.microsoft.com/office/drawing/2014/main" id="{00000000-0008-0000-0A00-000027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40" name="BMITxtObese">
            <a:extLst>
              <a:ext uri="{FF2B5EF4-FFF2-40B4-BE49-F238E27FC236}">
                <a16:creationId xmlns:a16="http://schemas.microsoft.com/office/drawing/2014/main" id="{00000000-0008-0000-0A00-000028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41" name="BMITxtOverWeight">
            <a:extLst>
              <a:ext uri="{FF2B5EF4-FFF2-40B4-BE49-F238E27FC236}">
                <a16:creationId xmlns:a16="http://schemas.microsoft.com/office/drawing/2014/main" id="{00000000-0008-0000-0A00-000029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42" name="BMITxtHealthy">
            <a:extLst>
              <a:ext uri="{FF2B5EF4-FFF2-40B4-BE49-F238E27FC236}">
                <a16:creationId xmlns:a16="http://schemas.microsoft.com/office/drawing/2014/main" id="{00000000-0008-0000-0A00-00002A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43" name="BMITxtGoal">
            <a:extLst>
              <a:ext uri="{FF2B5EF4-FFF2-40B4-BE49-F238E27FC236}">
                <a16:creationId xmlns:a16="http://schemas.microsoft.com/office/drawing/2014/main" id="{00000000-0008-0000-0A00-00002B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44" name="BMIBoxHealthy">
            <a:extLst>
              <a:ext uri="{FF2B5EF4-FFF2-40B4-BE49-F238E27FC236}">
                <a16:creationId xmlns:a16="http://schemas.microsoft.com/office/drawing/2014/main" id="{00000000-0008-0000-0A00-00002C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5" name="BMIBoxOverweight">
            <a:extLst>
              <a:ext uri="{FF2B5EF4-FFF2-40B4-BE49-F238E27FC236}">
                <a16:creationId xmlns:a16="http://schemas.microsoft.com/office/drawing/2014/main" id="{00000000-0008-0000-0A00-00002D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6" name="BMIBoxHealthy">
            <a:extLst>
              <a:ext uri="{FF2B5EF4-FFF2-40B4-BE49-F238E27FC236}">
                <a16:creationId xmlns:a16="http://schemas.microsoft.com/office/drawing/2014/main" id="{00000000-0008-0000-0A00-00002E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7" name="BMIBoxGoal">
            <a:extLst>
              <a:ext uri="{FF2B5EF4-FFF2-40B4-BE49-F238E27FC236}">
                <a16:creationId xmlns:a16="http://schemas.microsoft.com/office/drawing/2014/main" id="{00000000-0008-0000-0A00-00002F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200023</xdr:colOff>
      <xdr:row>7</xdr:row>
      <xdr:rowOff>112109</xdr:rowOff>
    </xdr:from>
    <xdr:to>
      <xdr:col>15</xdr:col>
      <xdr:colOff>380726</xdr:colOff>
      <xdr:row>9</xdr:row>
      <xdr:rowOff>22765</xdr:rowOff>
    </xdr:to>
    <xdr:grpSp>
      <xdr:nvGrpSpPr>
        <xdr:cNvPr id="3" name="Cal.ChLegGroup">
          <a:extLst>
            <a:ext uri="{FF2B5EF4-FFF2-40B4-BE49-F238E27FC236}">
              <a16:creationId xmlns:a16="http://schemas.microsoft.com/office/drawing/2014/main" id="{00000000-0008-0000-0A00-000003000000}"/>
            </a:ext>
          </a:extLst>
        </xdr:cNvPr>
        <xdr:cNvGrpSpPr/>
      </xdr:nvGrpSpPr>
      <xdr:grpSpPr>
        <a:xfrm>
          <a:off x="8982073" y="1636109"/>
          <a:ext cx="3752578" cy="310706"/>
          <a:chOff x="8982073" y="1636109"/>
          <a:chExt cx="3781153" cy="310706"/>
        </a:xfrm>
      </xdr:grpSpPr>
      <xdr:sp macro="" textlink="">
        <xdr:nvSpPr>
          <xdr:cNvPr id="62" name="Cal.ChLegBox1">
            <a:extLst>
              <a:ext uri="{FF2B5EF4-FFF2-40B4-BE49-F238E27FC236}">
                <a16:creationId xmlns:a16="http://schemas.microsoft.com/office/drawing/2014/main" id="{00000000-0008-0000-0A00-00003E000000}"/>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3" name="Cal.ChLegTxt1">
            <a:extLst>
              <a:ext uri="{FF2B5EF4-FFF2-40B4-BE49-F238E27FC236}">
                <a16:creationId xmlns:a16="http://schemas.microsoft.com/office/drawing/2014/main" id="{00000000-0008-0000-0A00-00003F000000}"/>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64" name="Cal.ChLegTxt3">
            <a:extLst>
              <a:ext uri="{FF2B5EF4-FFF2-40B4-BE49-F238E27FC236}">
                <a16:creationId xmlns:a16="http://schemas.microsoft.com/office/drawing/2014/main" id="{00000000-0008-0000-0A00-000040000000}"/>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65" name="Cal.ChLegBox3">
            <a:extLst>
              <a:ext uri="{FF2B5EF4-FFF2-40B4-BE49-F238E27FC236}">
                <a16:creationId xmlns:a16="http://schemas.microsoft.com/office/drawing/2014/main" id="{00000000-0008-0000-0A00-000041000000}"/>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6" name="Cal.ChLegTxt2">
            <a:extLst>
              <a:ext uri="{FF2B5EF4-FFF2-40B4-BE49-F238E27FC236}">
                <a16:creationId xmlns:a16="http://schemas.microsoft.com/office/drawing/2014/main" id="{00000000-0008-0000-0A00-000042000000}"/>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67" name="Cal.ChLegBox2">
            <a:extLst>
              <a:ext uri="{FF2B5EF4-FFF2-40B4-BE49-F238E27FC236}">
                <a16:creationId xmlns:a16="http://schemas.microsoft.com/office/drawing/2014/main" id="{00000000-0008-0000-0A00-000043000000}"/>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200027</xdr:colOff>
      <xdr:row>1</xdr:row>
      <xdr:rowOff>200024</xdr:rowOff>
    </xdr:from>
    <xdr:to>
      <xdr:col>13</xdr:col>
      <xdr:colOff>451000</xdr:colOff>
      <xdr:row>3</xdr:row>
      <xdr:rowOff>26193</xdr:rowOff>
    </xdr:to>
    <xdr:grpSp>
      <xdr:nvGrpSpPr>
        <xdr:cNvPr id="23" name="SpeedChLegGroup">
          <a:extLst>
            <a:ext uri="{FF2B5EF4-FFF2-40B4-BE49-F238E27FC236}">
              <a16:creationId xmlns:a16="http://schemas.microsoft.com/office/drawing/2014/main" id="{00000000-0008-0000-0A00-000017000000}"/>
            </a:ext>
          </a:extLst>
        </xdr:cNvPr>
        <xdr:cNvGrpSpPr/>
      </xdr:nvGrpSpPr>
      <xdr:grpSpPr>
        <a:xfrm>
          <a:off x="8982077" y="523874"/>
          <a:ext cx="2527448" cy="226219"/>
          <a:chOff x="8982077" y="523874"/>
          <a:chExt cx="2527448" cy="226219"/>
        </a:xfrm>
      </xdr:grpSpPr>
      <xdr:sp macro="" textlink="">
        <xdr:nvSpPr>
          <xdr:cNvPr id="69" name="SpeedChLegBox1">
            <a:extLst>
              <a:ext uri="{FF2B5EF4-FFF2-40B4-BE49-F238E27FC236}">
                <a16:creationId xmlns:a16="http://schemas.microsoft.com/office/drawing/2014/main" id="{00000000-0008-0000-0A00-000045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0" name="SpeedChLegTxt1">
            <a:extLst>
              <a:ext uri="{FF2B5EF4-FFF2-40B4-BE49-F238E27FC236}">
                <a16:creationId xmlns:a16="http://schemas.microsoft.com/office/drawing/2014/main" id="{00000000-0008-0000-0A00-000046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71" name="SpeedChLegTxt2">
            <a:extLst>
              <a:ext uri="{FF2B5EF4-FFF2-40B4-BE49-F238E27FC236}">
                <a16:creationId xmlns:a16="http://schemas.microsoft.com/office/drawing/2014/main" id="{00000000-0008-0000-0A00-000047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72" name="SpeedChLegBox2">
            <a:extLst>
              <a:ext uri="{FF2B5EF4-FFF2-40B4-BE49-F238E27FC236}">
                <a16:creationId xmlns:a16="http://schemas.microsoft.com/office/drawing/2014/main" id="{00000000-0008-0000-0A00-000048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200026</xdr:colOff>
      <xdr:row>5</xdr:row>
      <xdr:rowOff>14381</xdr:rowOff>
    </xdr:from>
    <xdr:to>
      <xdr:col>13</xdr:col>
      <xdr:colOff>460525</xdr:colOff>
      <xdr:row>6</xdr:row>
      <xdr:rowOff>40575</xdr:rowOff>
    </xdr:to>
    <xdr:grpSp>
      <xdr:nvGrpSpPr>
        <xdr:cNvPr id="25" name="WeightChLegGroup">
          <a:extLst>
            <a:ext uri="{FF2B5EF4-FFF2-40B4-BE49-F238E27FC236}">
              <a16:creationId xmlns:a16="http://schemas.microsoft.com/office/drawing/2014/main" id="{00000000-0008-0000-0A00-000019000000}"/>
            </a:ext>
          </a:extLst>
        </xdr:cNvPr>
        <xdr:cNvGrpSpPr/>
      </xdr:nvGrpSpPr>
      <xdr:grpSpPr>
        <a:xfrm>
          <a:off x="8982076" y="1138331"/>
          <a:ext cx="2536974" cy="226219"/>
          <a:chOff x="8982076" y="1138331"/>
          <a:chExt cx="2536974" cy="226219"/>
        </a:xfrm>
      </xdr:grpSpPr>
      <xdr:sp macro="" textlink="">
        <xdr:nvSpPr>
          <xdr:cNvPr id="74" name="WeightChLegBox1">
            <a:extLst>
              <a:ext uri="{FF2B5EF4-FFF2-40B4-BE49-F238E27FC236}">
                <a16:creationId xmlns:a16="http://schemas.microsoft.com/office/drawing/2014/main" id="{00000000-0008-0000-0A00-00004A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5" name="WeightChLegTxt1">
            <a:extLst>
              <a:ext uri="{FF2B5EF4-FFF2-40B4-BE49-F238E27FC236}">
                <a16:creationId xmlns:a16="http://schemas.microsoft.com/office/drawing/2014/main" id="{00000000-0008-0000-0A00-00004B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76" name="WeightChLegTxt2">
            <a:extLst>
              <a:ext uri="{FF2B5EF4-FFF2-40B4-BE49-F238E27FC236}">
                <a16:creationId xmlns:a16="http://schemas.microsoft.com/office/drawing/2014/main" id="{00000000-0008-0000-0A00-00004C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7" name="WeightChLegBox2">
            <a:extLst>
              <a:ext uri="{FF2B5EF4-FFF2-40B4-BE49-F238E27FC236}">
                <a16:creationId xmlns:a16="http://schemas.microsoft.com/office/drawing/2014/main" id="{00000000-0008-0000-0A00-00004D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6</xdr:col>
      <xdr:colOff>697709</xdr:colOff>
      <xdr:row>0</xdr:row>
      <xdr:rowOff>0</xdr:rowOff>
    </xdr:from>
    <xdr:to>
      <xdr:col>10</xdr:col>
      <xdr:colOff>955</xdr:colOff>
      <xdr:row>9</xdr:row>
      <xdr:rowOff>125254</xdr:rowOff>
    </xdr:to>
    <xdr:grpSp>
      <xdr:nvGrpSpPr>
        <xdr:cNvPr id="2" name="WeeksGaugeGroup">
          <a:extLst>
            <a:ext uri="{FF2B5EF4-FFF2-40B4-BE49-F238E27FC236}">
              <a16:creationId xmlns:a16="http://schemas.microsoft.com/office/drawing/2014/main" id="{00000000-0008-0000-0A00-000002000000}"/>
            </a:ext>
          </a:extLst>
        </xdr:cNvPr>
        <xdr:cNvGrpSpPr/>
      </xdr:nvGrpSpPr>
      <xdr:grpSpPr>
        <a:xfrm>
          <a:off x="6869909" y="0"/>
          <a:ext cx="1913096" cy="2049304"/>
          <a:chOff x="6869909" y="0"/>
          <a:chExt cx="1913096" cy="2049304"/>
        </a:xfrm>
      </xdr:grpSpPr>
      <xdr:sp macro="" textlink="CountdownTxt">
        <xdr:nvSpPr>
          <xdr:cNvPr id="79" name="CountDownTxtBox">
            <a:extLst>
              <a:ext uri="{FF2B5EF4-FFF2-40B4-BE49-F238E27FC236}">
                <a16:creationId xmlns:a16="http://schemas.microsoft.com/office/drawing/2014/main" id="{00000000-0008-0000-0A00-00004F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80" name="WeeksToRaceTxtBox">
            <a:extLst>
              <a:ext uri="{FF2B5EF4-FFF2-40B4-BE49-F238E27FC236}">
                <a16:creationId xmlns:a16="http://schemas.microsoft.com/office/drawing/2014/main" id="{00000000-0008-0000-0A00-000050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81" name="WeeksToRaceChart">
            <a:extLst>
              <a:ext uri="{FF2B5EF4-FFF2-40B4-BE49-F238E27FC236}">
                <a16:creationId xmlns:a16="http://schemas.microsoft.com/office/drawing/2014/main" id="{00000000-0008-0000-0A00-000051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10</xdr:col>
      <xdr:colOff>210117</xdr:colOff>
      <xdr:row>10</xdr:row>
      <xdr:rowOff>2287</xdr:rowOff>
    </xdr:from>
    <xdr:to>
      <xdr:col>13</xdr:col>
      <xdr:colOff>384324</xdr:colOff>
      <xdr:row>11</xdr:row>
      <xdr:rowOff>40006</xdr:rowOff>
    </xdr:to>
    <xdr:grpSp>
      <xdr:nvGrpSpPr>
        <xdr:cNvPr id="50" name="Cal.ChTgLegGroup">
          <a:extLst>
            <a:ext uri="{FF2B5EF4-FFF2-40B4-BE49-F238E27FC236}">
              <a16:creationId xmlns:a16="http://schemas.microsoft.com/office/drawing/2014/main" id="{00000000-0008-0000-0A00-000032000000}"/>
            </a:ext>
          </a:extLst>
        </xdr:cNvPr>
        <xdr:cNvGrpSpPr/>
      </xdr:nvGrpSpPr>
      <xdr:grpSpPr>
        <a:xfrm>
          <a:off x="8992167" y="2126362"/>
          <a:ext cx="2450682" cy="237744"/>
          <a:chOff x="5420292" y="551809"/>
          <a:chExt cx="2450682" cy="237744"/>
        </a:xfrm>
      </xdr:grpSpPr>
      <xdr:sp macro="" textlink="">
        <xdr:nvSpPr>
          <xdr:cNvPr id="51" name="Cal.ChLegBox1">
            <a:extLst>
              <a:ext uri="{FF2B5EF4-FFF2-40B4-BE49-F238E27FC236}">
                <a16:creationId xmlns:a16="http://schemas.microsoft.com/office/drawing/2014/main" id="{00000000-0008-0000-0A00-000033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2" name="Cal.ChLegTxt1">
            <a:extLst>
              <a:ext uri="{FF2B5EF4-FFF2-40B4-BE49-F238E27FC236}">
                <a16:creationId xmlns:a16="http://schemas.microsoft.com/office/drawing/2014/main" id="{00000000-0008-0000-0A00-000034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53" name="Cal.ChLegTxt2">
            <a:extLst>
              <a:ext uri="{FF2B5EF4-FFF2-40B4-BE49-F238E27FC236}">
                <a16:creationId xmlns:a16="http://schemas.microsoft.com/office/drawing/2014/main" id="{00000000-0008-0000-0A00-000035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54" name="Cal.ChLegBox2">
            <a:extLst>
              <a:ext uri="{FF2B5EF4-FFF2-40B4-BE49-F238E27FC236}">
                <a16:creationId xmlns:a16="http://schemas.microsoft.com/office/drawing/2014/main" id="{00000000-0008-0000-0A00-000036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14</xdr:row>
      <xdr:rowOff>37584</xdr:rowOff>
    </xdr:from>
    <xdr:to>
      <xdr:col>13</xdr:col>
      <xdr:colOff>463092</xdr:colOff>
      <xdr:row>15</xdr:row>
      <xdr:rowOff>38727</xdr:rowOff>
    </xdr:to>
    <xdr:grpSp>
      <xdr:nvGrpSpPr>
        <xdr:cNvPr id="55" name="WeightChTgLegGroup">
          <a:extLst>
            <a:ext uri="{FF2B5EF4-FFF2-40B4-BE49-F238E27FC236}">
              <a16:creationId xmlns:a16="http://schemas.microsoft.com/office/drawing/2014/main" id="{00000000-0008-0000-0A00-000037000000}"/>
            </a:ext>
          </a:extLst>
        </xdr:cNvPr>
        <xdr:cNvGrpSpPr/>
      </xdr:nvGrpSpPr>
      <xdr:grpSpPr>
        <a:xfrm>
          <a:off x="8982075" y="2961759"/>
          <a:ext cx="2539542" cy="201168"/>
          <a:chOff x="9153525" y="549522"/>
          <a:chExt cx="2539542" cy="201168"/>
        </a:xfrm>
      </xdr:grpSpPr>
      <xdr:sp macro="" textlink="">
        <xdr:nvSpPr>
          <xdr:cNvPr id="56" name="WeightChLegBox1">
            <a:extLst>
              <a:ext uri="{FF2B5EF4-FFF2-40B4-BE49-F238E27FC236}">
                <a16:creationId xmlns:a16="http://schemas.microsoft.com/office/drawing/2014/main" id="{00000000-0008-0000-0A00-000038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7" name="WeightChLegTxt1">
            <a:extLst>
              <a:ext uri="{FF2B5EF4-FFF2-40B4-BE49-F238E27FC236}">
                <a16:creationId xmlns:a16="http://schemas.microsoft.com/office/drawing/2014/main" id="{00000000-0008-0000-0A00-000039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58" name="WeightChLegTxt2">
            <a:extLst>
              <a:ext uri="{FF2B5EF4-FFF2-40B4-BE49-F238E27FC236}">
                <a16:creationId xmlns:a16="http://schemas.microsoft.com/office/drawing/2014/main" id="{00000000-0008-0000-0A00-00003A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59" name="WeightChLegBox2">
            <a:extLst>
              <a:ext uri="{FF2B5EF4-FFF2-40B4-BE49-F238E27FC236}">
                <a16:creationId xmlns:a16="http://schemas.microsoft.com/office/drawing/2014/main" id="{00000000-0008-0000-0A00-00003B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18</xdr:row>
      <xdr:rowOff>36305</xdr:rowOff>
    </xdr:from>
    <xdr:to>
      <xdr:col>13</xdr:col>
      <xdr:colOff>460524</xdr:colOff>
      <xdr:row>19</xdr:row>
      <xdr:rowOff>62499</xdr:rowOff>
    </xdr:to>
    <xdr:grpSp>
      <xdr:nvGrpSpPr>
        <xdr:cNvPr id="60" name="HRChTgLegGroup">
          <a:extLst>
            <a:ext uri="{FF2B5EF4-FFF2-40B4-BE49-F238E27FC236}">
              <a16:creationId xmlns:a16="http://schemas.microsoft.com/office/drawing/2014/main" id="{00000000-0008-0000-0A00-00003C000000}"/>
            </a:ext>
          </a:extLst>
        </xdr:cNvPr>
        <xdr:cNvGrpSpPr/>
      </xdr:nvGrpSpPr>
      <xdr:grpSpPr>
        <a:xfrm>
          <a:off x="8982075" y="3760580"/>
          <a:ext cx="2536974" cy="226219"/>
          <a:chOff x="5419725" y="2781300"/>
          <a:chExt cx="2536974" cy="226219"/>
        </a:xfrm>
      </xdr:grpSpPr>
      <xdr:sp macro="" textlink="">
        <xdr:nvSpPr>
          <xdr:cNvPr id="61" name="HRChLegBox1">
            <a:extLst>
              <a:ext uri="{FF2B5EF4-FFF2-40B4-BE49-F238E27FC236}">
                <a16:creationId xmlns:a16="http://schemas.microsoft.com/office/drawing/2014/main" id="{00000000-0008-0000-0A00-00003D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8" name="HRChLegTxt1">
            <a:extLst>
              <a:ext uri="{FF2B5EF4-FFF2-40B4-BE49-F238E27FC236}">
                <a16:creationId xmlns:a16="http://schemas.microsoft.com/office/drawing/2014/main" id="{00000000-0008-0000-0A00-000044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3" name="HRChLegTxt2">
            <a:extLst>
              <a:ext uri="{FF2B5EF4-FFF2-40B4-BE49-F238E27FC236}">
                <a16:creationId xmlns:a16="http://schemas.microsoft.com/office/drawing/2014/main" id="{00000000-0008-0000-0A00-000049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78" name="HRChLegBox2">
            <a:extLst>
              <a:ext uri="{FF2B5EF4-FFF2-40B4-BE49-F238E27FC236}">
                <a16:creationId xmlns:a16="http://schemas.microsoft.com/office/drawing/2014/main" id="{00000000-0008-0000-0A00-00004E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22</xdr:row>
      <xdr:rowOff>60078</xdr:rowOff>
    </xdr:from>
    <xdr:to>
      <xdr:col>13</xdr:col>
      <xdr:colOff>460524</xdr:colOff>
      <xdr:row>23</xdr:row>
      <xdr:rowOff>86272</xdr:rowOff>
    </xdr:to>
    <xdr:grpSp>
      <xdr:nvGrpSpPr>
        <xdr:cNvPr id="82" name="PowerChTgLegGroup">
          <a:extLst>
            <a:ext uri="{FF2B5EF4-FFF2-40B4-BE49-F238E27FC236}">
              <a16:creationId xmlns:a16="http://schemas.microsoft.com/office/drawing/2014/main" id="{00000000-0008-0000-0A00-000052000000}"/>
            </a:ext>
          </a:extLst>
        </xdr:cNvPr>
        <xdr:cNvGrpSpPr/>
      </xdr:nvGrpSpPr>
      <xdr:grpSpPr>
        <a:xfrm>
          <a:off x="8982075" y="4584453"/>
          <a:ext cx="2536974" cy="226219"/>
          <a:chOff x="9153525" y="3009900"/>
          <a:chExt cx="2536974" cy="226219"/>
        </a:xfrm>
      </xdr:grpSpPr>
      <xdr:sp macro="" textlink="">
        <xdr:nvSpPr>
          <xdr:cNvPr id="83" name="PowerChLegBox1">
            <a:extLst>
              <a:ext uri="{FF2B5EF4-FFF2-40B4-BE49-F238E27FC236}">
                <a16:creationId xmlns:a16="http://schemas.microsoft.com/office/drawing/2014/main" id="{00000000-0008-0000-0A00-000053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4" name="PowerChLegTxt1">
            <a:extLst>
              <a:ext uri="{FF2B5EF4-FFF2-40B4-BE49-F238E27FC236}">
                <a16:creationId xmlns:a16="http://schemas.microsoft.com/office/drawing/2014/main" id="{00000000-0008-0000-0A00-000054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85" name="PowerChLegTxt2">
            <a:extLst>
              <a:ext uri="{FF2B5EF4-FFF2-40B4-BE49-F238E27FC236}">
                <a16:creationId xmlns:a16="http://schemas.microsoft.com/office/drawing/2014/main" id="{00000000-0008-0000-0A00-000055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86" name="PowerChLegBox2">
            <a:extLst>
              <a:ext uri="{FF2B5EF4-FFF2-40B4-BE49-F238E27FC236}">
                <a16:creationId xmlns:a16="http://schemas.microsoft.com/office/drawing/2014/main" id="{00000000-0008-0000-0A00-000056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oneCell">
    <xdr:from>
      <xdr:col>8</xdr:col>
      <xdr:colOff>0</xdr:colOff>
      <xdr:row>27</xdr:row>
      <xdr:rowOff>0</xdr:rowOff>
    </xdr:from>
    <xdr:to>
      <xdr:col>10</xdr:col>
      <xdr:colOff>228560</xdr:colOff>
      <xdr:row>32</xdr:row>
      <xdr:rowOff>131430</xdr:rowOff>
    </xdr:to>
    <xdr:pic>
      <xdr:nvPicPr>
        <xdr:cNvPr id="87" name="BikeRiderImg">
          <a:extLst>
            <a:ext uri="{FF2B5EF4-FFF2-40B4-BE49-F238E27FC236}">
              <a16:creationId xmlns:a16="http://schemas.microsoft.com/office/drawing/2014/main" id="{00000000-0008-0000-0A00-00005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57975" y="5524500"/>
          <a:ext cx="1390610" cy="1350630"/>
        </a:xfrm>
        <a:prstGeom prst="rect">
          <a:avLst/>
        </a:prstGeom>
      </xdr:spPr>
    </xdr:pic>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53587268517" createdVersion="3" refreshedVersion="6" minRefreshableVersion="3" recordCount="41" xr:uid="{E0754AAA-9837-49D9-A523-6357479E1822}">
  <cacheSource type="worksheet">
    <worksheetSource ref="B11:E12" sheet="Weight"/>
  </cacheSource>
  <cacheFields count="5">
    <cacheField name="Date" numFmtId="185">
      <sharedItems containsNonDate="0" containsDate="1" containsString="0" containsBlank="1" minDate="2021-03-22T00:00:00" maxDate="2021-03-23T00:00:00" count="2">
        <d v="2021-03-22T00:00:00"/>
        <m/>
      </sharedItems>
      <fieldGroup par="4" base="0">
        <rangePr groupBy="months" startDate="2021-03-22T00:00:00" endDate="2021-03-23T00:00:00"/>
        <groupItems count="14">
          <s v="(blank)"/>
          <s v="Jan"/>
          <s v="Feb"/>
          <s v="Mar"/>
          <s v="Apr"/>
          <s v="May"/>
          <s v="Jun"/>
          <s v="Jul"/>
          <s v="Aug"/>
          <s v="Sep"/>
          <s v="Oct"/>
          <s v="Nov"/>
          <s v="Dec"/>
          <s v="&gt;3/23/2021"/>
        </groupItems>
      </fieldGroup>
    </cacheField>
    <cacheField name="lb" numFmtId="166">
      <sharedItems containsString="0" containsBlank="1" containsNumber="1" containsInteger="1" minValue="189" maxValue="189"/>
    </cacheField>
    <cacheField name="kg" numFmtId="166">
      <sharedItems containsString="0" containsBlank="1" containsNumber="1" minValue="85.729059883335907" maxValue="85.729059883335907"/>
    </cacheField>
    <cacheField name="Wk" numFmtId="1">
      <sharedItems containsString="0" containsBlank="1" containsNumber="1" containsInteger="1" minValue="4" maxValue="4" count="2">
        <n v="4"/>
        <m/>
      </sharedItems>
    </cacheField>
    <cacheField name="Years" numFmtId="0" databaseField="0">
      <fieldGroup base="0">
        <rangePr groupBy="years" startDate="2021-03-22T00:00:00" endDate="2021-03-23T00:00:00"/>
        <groupItems count="3">
          <s v="&lt;3/22/2021"/>
          <s v="2021"/>
          <s v="&gt;3/23/2021"/>
        </groupItems>
      </fieldGroup>
    </cacheField>
  </cacheFields>
  <extLst>
    <ext xmlns:x14="http://schemas.microsoft.com/office/spreadsheetml/2009/9/main" uri="{725AE2AE-9491-48be-B2B4-4EB974FC3084}">
      <x14:pivotCacheDefinition pivotCacheId="20944124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53961342589" createdVersion="3" refreshedVersion="6" minRefreshableVersion="3" recordCount="1" xr:uid="{E3795B7D-6B4C-4FDD-A982-C7DD3BD9EF81}">
  <cacheSource type="worksheet">
    <worksheetSource ref="B5:X6" sheet="Load"/>
  </cacheSource>
  <cacheFields count="23">
    <cacheField name="Time Period" numFmtId="14">
      <sharedItems containsNonDate="0" containsDate="1" containsString="0" containsBlank="1" minDate="2011-12-26T00:00:00" maxDate="2021-03-23T00:00:00" count="379">
        <m/>
        <d v="2018-12-17T00:00:00" u="1"/>
        <d v="2014-10-27T00:00:00" u="1"/>
        <d v="2015-11-23T00:00:00" u="1"/>
        <d v="2020-11-23T00:00:00" u="1"/>
        <d v="2012-10-29T00:00:00" u="1"/>
        <d v="2015-12-21T00:00:00" u="1"/>
        <d v="2020-12-21T00:00:00" u="1"/>
        <d v="2012-01-02T00:00:00" u="1"/>
        <d v="2013-12-23T00:00:00" u="1"/>
        <d v="2017-11-27T00:00:00" u="1"/>
        <d v="2019-12-23T00:00:00" u="1"/>
        <d v="2016-01-04T00:00:00" u="1"/>
        <d v="2021-01-04T00:00:00" u="1"/>
        <d v="2014-01-06T00:00:00" u="1"/>
        <d v="2015-02-02T00:00:00" u="1"/>
        <d v="2020-01-06T00:00:00" u="1"/>
        <d v="2013-02-04T00:00:00" u="1"/>
        <d v="2018-01-08T00:00:00" u="1"/>
        <d v="2019-02-04T00:00:00" u="1"/>
        <d v="2014-12-29T00:00:00" u="1"/>
        <d v="2015-03-02T00:00:00" u="1"/>
        <d v="2020-03-02T00:00:00" u="1"/>
        <d v="2012-12-31T00:00:00" u="1"/>
        <d v="2018-12-31T00:00:00" u="1"/>
        <d v="2015-01-12T00:00:00" u="1"/>
        <d v="2013-03-04T00:00:00" u="1"/>
        <d v="2016-02-08T00:00:00" u="1"/>
        <d v="2019-03-04T00:00:00" u="1"/>
        <d v="2021-02-08T00:00:00" u="1"/>
        <d v="2013-01-14T00:00:00" u="1"/>
        <d v="2014-02-10T00:00:00" u="1"/>
        <d v="2019-01-14T00:00:00" u="1"/>
        <d v="2018-04-02T00:00:00" u="1"/>
        <d v="2012-01-16T00:00:00" u="1"/>
        <d v="2018-02-12T00:00:00" u="1"/>
        <d v="2016-04-04T00:00:00" u="1"/>
        <d v="2021-03-08T00:00:00" u="1"/>
        <d v="2016-01-18T00:00:00" u="1"/>
        <d v="2014-03-10T00:00:00" u="1"/>
        <d v="2015-04-06T00:00:00" u="1"/>
        <d v="2021-01-18T00:00:00" u="1"/>
        <d v="2016-05-02T00:00:00" u="1"/>
        <d v="2020-04-06T00:00:00" u="1"/>
        <d v="2014-01-20T00:00:00" u="1"/>
        <d v="2015-02-16T00:00:00" u="1"/>
        <d v="2020-01-20T00:00:00" u="1"/>
        <d v="2018-03-12T00:00:00" u="1"/>
        <d v="2015-05-04T00:00:00" u="1"/>
        <d v="2019-04-08T00:00:00" u="1"/>
        <d v="2020-05-04T00:00:00" u="1"/>
        <d v="2013-02-18T00:00:00" u="1"/>
        <d v="2018-01-22T00:00:00" u="1"/>
        <d v="2016-03-14T00:00:00" u="1"/>
        <d v="2013-05-06T00:00:00" u="1"/>
        <d v="2019-02-18T00:00:00" u="1"/>
        <d v="2014-06-02T00:00:00" u="1"/>
        <d v="2015-03-16T00:00:00" u="1"/>
        <d v="2012-06-04T00:00:00" u="1"/>
        <d v="2020-03-16T00:00:00" u="1"/>
        <d v="2018-06-04T00:00:00" u="1"/>
        <d v="2015-01-26T00:00:00" u="1"/>
        <d v="2013-03-18T00:00:00" u="1"/>
        <d v="2016-02-22T00:00:00" u="1"/>
        <d v="2014-04-14T00:00:00" u="1"/>
        <d v="2019-03-18T00:00:00" u="1"/>
        <d v="2021-02-22T00:00:00" u="1"/>
        <d v="2012-07-02T00:00:00" u="1"/>
        <d v="2016-06-06T00:00:00" u="1"/>
        <d v="2018-07-02T00:00:00" u="1"/>
        <d v="2013-01-28T00:00:00" u="1"/>
        <d v="2014-02-24T00:00:00" u="1"/>
        <d v="2012-04-16T00:00:00" u="1"/>
        <d v="2019-01-28T00:00:00" u="1"/>
        <d v="2014-05-12T00:00:00" u="1"/>
        <d v="2018-04-16T00:00:00" u="1"/>
        <d v="2015-06-08T00:00:00" u="1"/>
        <d v="2020-06-08T00:00:00" u="1"/>
        <d v="2012-05-14T00:00:00" u="1"/>
        <d v="2018-02-26T00:00:00" u="1"/>
        <d v="2021-03-22T00:00:00" u="1"/>
        <d v="2018-05-14T00:00:00" u="1"/>
        <d v="2015-07-06T00:00:00" u="1"/>
        <d v="2019-06-10T00:00:00" u="1"/>
        <d v="2020-07-06T00:00:00" u="1"/>
        <d v="2014-03-24T00:00:00" u="1"/>
        <d v="2015-04-20T00:00:00" u="1"/>
        <d v="2013-07-08T00:00:00" u="1"/>
        <d v="2020-04-20T00:00:00" u="1"/>
        <d v="2017-06-12T00:00:00" u="1"/>
        <d v="2014-08-04T00:00:00" u="1"/>
        <d v="2019-07-08T00:00:00" u="1"/>
        <d v="2013-04-22T00:00:00" u="1"/>
        <d v="2018-03-26T00:00:00" u="1"/>
        <d v="2015-05-18T00:00:00" u="1"/>
        <d v="2019-04-22T00:00:00" u="1"/>
        <d v="2020-05-18T00:00:00" u="1"/>
        <d v="2013-09-02T00:00:00" u="1"/>
        <d v="2017-07-10T00:00:00" u="1"/>
        <d v="2018-08-06T00:00:00" u="1"/>
        <d v="2019-09-02T00:00:00" u="1"/>
        <d v="2013-05-20T00:00:00" u="1"/>
        <d v="2014-06-16T00:00:00" u="1"/>
        <d v="2019-05-20T00:00:00" u="1"/>
        <d v="2016-08-08T00:00:00" u="1"/>
        <d v="2017-09-04T00:00:00" u="1"/>
        <d v="2015-03-30T00:00:00" u="1"/>
        <d v="2012-06-18T00:00:00" u="1"/>
        <d v="2020-03-30T00:00:00" u="1"/>
        <d v="2017-05-22T00:00:00" u="1"/>
        <d v="2014-07-14T00:00:00" u="1"/>
        <d v="2015-08-10T00:00:00" u="1"/>
        <d v="2020-08-10T00:00:00" u="1"/>
        <d v="2017-10-02T00:00:00" u="1"/>
        <d v="2014-04-28T00:00:00" u="1"/>
        <d v="2012-07-16T00:00:00" u="1"/>
        <d v="2013-08-12T00:00:00" u="1"/>
        <d v="2014-09-08T00:00:00" u="1"/>
        <d v="2018-07-16T00:00:00" u="1"/>
        <d v="2019-08-12T00:00:00" u="1"/>
        <d v="2012-04-30T00:00:00" u="1"/>
        <d v="2014-05-26T00:00:00" u="1"/>
        <d v="2018-04-30T00:00:00" u="1"/>
        <d v="2015-06-22T00:00:00" u="1"/>
        <d v="2020-06-22T00:00:00" u="1"/>
        <d v="2017-08-14T00:00:00" u="1"/>
        <d v="2014-10-06T00:00:00" u="1"/>
        <d v="2018-09-10T00:00:00" u="1"/>
        <d v="2015-11-02T00:00:00" u="1"/>
        <d v="2020-11-02T00:00:00" u="1"/>
        <d v="2018-05-28T00:00:00" u="1"/>
        <d v="2015-07-20T00:00:00" u="1"/>
        <d v="2019-06-24T00:00:00" u="1"/>
        <d v="2012-10-08T00:00:00" u="1"/>
        <d v="2016-09-12T00:00:00" u="1"/>
        <d v="2020-07-20T00:00:00" u="1"/>
        <d v="2013-11-04T00:00:00" u="1"/>
        <d v="2018-10-08T00:00:00" u="1"/>
        <d v="2013-07-22T00:00:00" u="1"/>
        <d v="2017-06-26T00:00:00" u="1"/>
        <d v="2014-08-18T00:00:00" u="1"/>
        <d v="2019-07-22T00:00:00" u="1"/>
        <d v="2016-10-10T00:00:00" u="1"/>
        <d v="2013-12-02T00:00:00" u="1"/>
        <d v="2020-09-14T00:00:00" u="1"/>
        <d v="2017-11-06T00:00:00" u="1"/>
        <d v="2019-12-02T00:00:00" u="1"/>
        <d v="2013-09-16T00:00:00" u="1"/>
        <d v="2017-07-24T00:00:00" u="1"/>
        <d v="2018-08-20T00:00:00" u="1"/>
        <d v="2015-10-12T00:00:00" u="1"/>
        <d v="2019-09-16T00:00:00" u="1"/>
        <d v="2020-10-12T00:00:00" u="1"/>
        <d v="2017-12-04T00:00:00" u="1"/>
        <d v="2014-06-30T00:00:00" u="1"/>
        <d v="2016-08-22T00:00:00" u="1"/>
        <d v="2013-10-14T00:00:00" u="1"/>
        <d v="2017-09-18T00:00:00" u="1"/>
        <d v="2014-11-10T00:00:00" u="1"/>
        <d v="2014-07-28T00:00:00" u="1"/>
        <d v="2015-08-24T00:00:00" u="1"/>
        <d v="2012-11-12T00:00:00" u="1"/>
        <d v="2020-08-24T00:00:00" u="1"/>
        <d v="2017-10-16T00:00:00" u="1"/>
        <d v="2014-12-08T00:00:00" u="1"/>
        <d v="2018-11-12T00:00:00" u="1"/>
        <d v="2013-08-26T00:00:00" u="1"/>
        <d v="2014-09-22T00:00:00" u="1"/>
        <d v="2018-07-30T00:00:00" u="1"/>
        <d v="2019-08-26T00:00:00" u="1"/>
        <d v="2018-12-10T00:00:00" u="1"/>
        <d v="2017-08-28T00:00:00" u="1"/>
        <d v="2014-10-20T00:00:00" u="1"/>
        <d v="2018-09-24T00:00:00" u="1"/>
        <d v="2015-11-16T00:00:00" u="1"/>
        <d v="2020-11-16T00:00:00" u="1"/>
        <d v="2016-09-26T00:00:00" u="1"/>
        <d v="2013-11-18T00:00:00" u="1"/>
        <d v="2015-12-14T00:00:00" u="1"/>
        <d v="2020-12-14T00:00:00" u="1"/>
        <d v="2015-09-28T00:00:00" u="1"/>
        <d v="2013-12-16T00:00:00" u="1"/>
        <d v="2020-09-28T00:00:00" u="1"/>
        <d v="2017-11-20T00:00:00" u="1"/>
        <d v="2019-12-16T00:00:00" u="1"/>
        <d v="2013-09-30T00:00:00" u="1"/>
        <d v="2015-10-26T00:00:00" u="1"/>
        <d v="2019-09-30T00:00:00" u="1"/>
        <d v="2020-10-26T00:00:00" u="1"/>
        <d v="2017-12-18T00:00:00" u="1"/>
        <d v="2013-10-28T00:00:00" u="1"/>
        <d v="2014-11-24T00:00:00" u="1"/>
        <d v="2019-10-28T00:00:00" u="1"/>
        <d v="2017-10-30T00:00:00" u="1"/>
        <d v="2014-12-22T00:00:00" u="1"/>
        <d v="2018-11-26T00:00:00" u="1"/>
        <d v="2012-12-24T00:00:00" u="1"/>
        <d v="2018-12-24T00:00:00" u="1"/>
        <d v="2015-01-05T00:00:00" u="1"/>
        <d v="2016-02-01T00:00:00" u="1"/>
        <d v="2021-02-01T00:00:00" u="1"/>
        <d v="2011-12-26T00:00:00" u="1"/>
        <d v="2015-11-30T00:00:00" u="1"/>
        <d v="2020-11-30T00:00:00" u="1"/>
        <d v="2014-02-03T00:00:00" u="1"/>
        <d v="2019-01-07T00:00:00" u="1"/>
        <d v="2020-02-03T00:00:00" u="1"/>
        <d v="2015-12-28T00:00:00" u="1"/>
        <d v="2020-12-28T00:00:00" u="1"/>
        <d v="2012-01-09T00:00:00" u="1"/>
        <d v="2018-02-05T00:00:00" u="1"/>
        <d v="2021-03-01T00:00:00" u="1"/>
        <d v="2013-12-30T00:00:00" u="1"/>
        <d v="2019-12-30T00:00:00" u="1"/>
        <d v="2016-01-11T00:00:00" u="1"/>
        <d v="2014-03-03T00:00:00" u="1"/>
        <d v="2021-01-11T00:00:00" u="1"/>
        <d v="2014-01-13T00:00:00" u="1"/>
        <d v="2015-02-09T00:00:00" u="1"/>
        <d v="2020-01-13T00:00:00" u="1"/>
        <d v="2018-03-05T00:00:00" u="1"/>
        <d v="2019-04-01T00:00:00" u="1"/>
        <d v="2013-02-11T00:00:00" u="1"/>
        <d v="2018-01-15T00:00:00" u="1"/>
        <d v="2016-03-07T00:00:00" u="1"/>
        <d v="2019-02-11T00:00:00" u="1"/>
        <d v="2015-03-09T00:00:00" u="1"/>
        <d v="2020-03-09T00:00:00" u="1"/>
        <d v="2015-01-19T00:00:00" u="1"/>
        <d v="2016-02-15T00:00:00" u="1"/>
        <d v="2014-04-07T00:00:00" u="1"/>
        <d v="2019-03-11T00:00:00" u="1"/>
        <d v="2021-02-15T00:00:00" u="1"/>
        <d v="2013-01-21T00:00:00" u="1"/>
        <d v="2014-02-17T00:00:00" u="1"/>
        <d v="2012-04-09T00:00:00" u="1"/>
        <d v="2019-01-21T00:00:00" u="1"/>
        <d v="2014-05-05T00:00:00" u="1"/>
        <d v="2020-02-17T00:00:00" u="1"/>
        <d v="2018-04-09T00:00:00" u="1"/>
        <d v="2015-06-01T00:00:00" u="1"/>
        <d v="2020-06-01T00:00:00" u="1"/>
        <d v="2012-01-23T00:00:00" u="1"/>
        <d v="2018-02-19T00:00:00" u="1"/>
        <d v="2013-06-03T00:00:00" u="1"/>
        <d v="2021-03-15T00:00:00" u="1"/>
        <d v="2018-05-07T00:00:00" u="1"/>
        <d v="2019-06-03T00:00:00" u="1"/>
        <d v="2016-01-25T00:00:00" u="1"/>
        <d v="2014-03-17T00:00:00" u="1"/>
        <d v="2015-04-13T00:00:00" u="1"/>
        <d v="2020-04-13T00:00:00" u="1"/>
        <d v="2017-06-05T00:00:00" u="1"/>
        <d v="2019-07-01T00:00:00" u="1"/>
        <d v="2014-01-27T00:00:00" u="1"/>
        <d v="2012-03-19T00:00:00" u="1"/>
        <d v="2015-02-23T00:00:00" u="1"/>
        <d v="2013-04-15T00:00:00" u="1"/>
        <d v="2020-01-27T00:00:00" u="1"/>
        <d v="2018-03-19T00:00:00" u="1"/>
        <d v="2015-05-11T00:00:00" u="1"/>
        <d v="2019-04-15T00:00:00" u="1"/>
        <d v="2020-05-11T00:00:00" u="1"/>
        <d v="2017-07-03T00:00:00" u="1"/>
        <d v="2013-02-25T00:00:00" u="1"/>
        <d v="2018-01-29T00:00:00" u="1"/>
        <d v="2013-05-13T00:00:00" u="1"/>
        <d v="2019-02-25T00:00:00" u="1"/>
        <d v="2014-06-09T00:00:00" u="1"/>
        <d v="2019-05-13T00:00:00" u="1"/>
        <d v="2015-03-23T00:00:00" u="1"/>
        <d v="2012-06-11T00:00:00" u="1"/>
        <d v="2020-03-23T00:00:00" u="1"/>
        <d v="2017-05-15T00:00:00" u="1"/>
        <d v="2014-07-07T00:00:00" u="1"/>
        <d v="2015-08-03T00:00:00" u="1"/>
        <d v="2020-08-03T00:00:00" u="1"/>
        <d v="2013-03-25T00:00:00" u="1"/>
        <d v="2016-02-29T00:00:00" u="1"/>
        <d v="2014-04-21T00:00:00" u="1"/>
        <d v="2019-03-25T00:00:00" u="1"/>
        <d v="2012-07-09T00:00:00" u="1"/>
        <d v="2018-07-09T00:00:00" u="1"/>
        <d v="2019-08-05T00:00:00" u="1"/>
        <d v="2014-05-19T00:00:00" u="1"/>
        <d v="2018-04-23T00:00:00" u="1"/>
        <d v="2015-06-15T00:00:00" u="1"/>
        <d v="2012-09-03T00:00:00" u="1"/>
        <d v="2020-06-15T00:00:00" u="1"/>
        <d v="2017-08-07T00:00:00" u="1"/>
        <d v="2018-09-03T00:00:00" u="1"/>
        <d v="2012-05-21T00:00:00" u="1"/>
        <d v="2016-04-25T00:00:00" u="1"/>
        <d v="2018-05-21T00:00:00" u="1"/>
        <d v="2015-07-13T00:00:00" u="1"/>
        <d v="2019-06-17T00:00:00" u="1"/>
        <d v="2016-09-05T00:00:00" u="1"/>
        <d v="2020-07-13T00:00:00" u="1"/>
        <d v="2018-10-01T00:00:00" u="1"/>
        <d v="2014-03-31T00:00:00" u="1"/>
        <d v="2015-04-27T00:00:00" u="1"/>
        <d v="2020-04-27T00:00:00" u="1"/>
        <d v="2017-06-19T00:00:00" u="1"/>
        <d v="2014-08-11T00:00:00" u="1"/>
        <d v="2019-07-15T00:00:00" u="1"/>
        <d v="2016-10-03T00:00:00" u="1"/>
        <d v="2020-09-07T00:00:00" u="1"/>
        <d v="2013-04-29T00:00:00" u="1"/>
        <d v="2015-05-25T00:00:00" u="1"/>
        <d v="2019-04-29T00:00:00" u="1"/>
        <d v="2012-08-13T00:00:00" u="1"/>
        <d v="2020-05-25T00:00:00" u="1"/>
        <d v="2013-09-09T00:00:00" u="1"/>
        <d v="2017-07-17T00:00:00" u="1"/>
        <d v="2018-08-13T00:00:00" u="1"/>
        <d v="2015-10-05T00:00:00" u="1"/>
        <d v="2019-09-09T00:00:00" u="1"/>
        <d v="2020-10-05T00:00:00" u="1"/>
        <d v="2013-05-27T00:00:00" u="1"/>
        <d v="2014-06-23T00:00:00" u="1"/>
        <d v="2019-05-27T00:00:00" u="1"/>
        <d v="2016-08-15T00:00:00" u="1"/>
        <d v="2013-10-07T00:00:00" u="1"/>
        <d v="2017-09-11T00:00:00" u="1"/>
        <d v="2014-11-03T00:00:00" u="1"/>
        <d v="2017-05-29T00:00:00" u="1"/>
        <d v="2014-07-21T00:00:00" u="1"/>
        <d v="2018-06-25T00:00:00" u="1"/>
        <d v="2015-08-17T00:00:00" u="1"/>
        <d v="2020-08-17T00:00:00" u="1"/>
        <d v="2017-10-09T00:00:00" u="1"/>
        <d v="2014-12-01T00:00:00" u="1"/>
        <d v="2018-11-05T00:00:00" u="1"/>
        <d v="2012-07-23T00:00:00" u="1"/>
        <d v="2013-08-19T00:00:00" u="1"/>
        <d v="2014-09-15T00:00:00" u="1"/>
        <d v="2018-07-23T00:00:00" u="1"/>
        <d v="2019-08-19T00:00:00" u="1"/>
        <d v="2012-12-03T00:00:00" u="1"/>
        <d v="2018-12-03T00:00:00" u="1"/>
        <d v="2020-06-29T00:00:00" u="1"/>
        <d v="2017-08-21T00:00:00" u="1"/>
        <d v="2014-10-13T00:00:00" u="1"/>
        <d v="2018-09-17T00:00:00" u="1"/>
        <d v="2015-11-09T00:00:00" u="1"/>
        <d v="2020-11-09T00:00:00" u="1"/>
        <d v="2015-07-27T00:00:00" u="1"/>
        <d v="2016-09-19T00:00:00" u="1"/>
        <d v="2020-07-27T00:00:00" u="1"/>
        <d v="2013-11-11T00:00:00" u="1"/>
        <d v="2015-12-07T00:00:00" u="1"/>
        <d v="2020-12-07T00:00:00" u="1"/>
        <d v="2013-07-29T00:00:00" u="1"/>
        <d v="2014-08-25T00:00:00" u="1"/>
        <d v="2019-07-29T00:00:00" u="1"/>
        <d v="2016-10-17T00:00:00" u="1"/>
        <d v="2013-12-09T00:00:00" u="1"/>
        <d v="2020-09-21T00:00:00" u="1"/>
        <d v="2017-11-13T00:00:00" u="1"/>
        <d v="2019-12-09T00:00:00" u="1"/>
        <d v="2012-08-27T00:00:00" u="1"/>
        <d v="2013-09-23T00:00:00" u="1"/>
        <d v="2017-07-31T00:00:00" u="1"/>
        <d v="2018-08-27T00:00:00" u="1"/>
        <d v="2015-10-19T00:00:00" u="1"/>
        <d v="2019-09-23T00:00:00" u="1"/>
        <d v="2020-10-19T00:00:00" u="1"/>
        <d v="2017-12-11T00:00:00" u="1"/>
        <d v="2016-08-29T00:00:00" u="1"/>
        <d v="2013-10-21T00:00:00" u="1"/>
        <d v="2017-09-25T00:00:00" u="1"/>
        <d v="2014-11-17T00:00:00" u="1"/>
        <d v="2019-10-21T00:00:00" u="1"/>
        <d v="2015-08-31T00:00:00" u="1"/>
        <d v="2012-11-19T00:00:00" u="1"/>
        <d v="2020-08-31T00:00:00" u="1"/>
        <d v="2017-10-23T00:00:00" u="1"/>
        <d v="2014-12-15T00:00:00" u="1"/>
        <d v="2018-11-19T00:00:00" u="1"/>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149696212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53961458335" createdVersion="3" refreshedVersion="6" minRefreshableVersion="3" recordCount="1" xr:uid="{0BFCD540-6E81-451E-BC91-F3D8FED7E4E4}">
  <cacheSource type="worksheet">
    <worksheetSource ref="B5:X6" sheet="Load"/>
  </cacheSource>
  <cacheFields count="23">
    <cacheField name="Time Period" numFmtId="14">
      <sharedItems containsNonDate="0" containsString="0" containsBlank="1" count="1">
        <m/>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120560602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62863194445" createdVersion="3" refreshedVersion="6" minRefreshableVersion="3" recordCount="12" xr:uid="{7F609D7D-9975-4742-BCE2-672C28B08676}">
  <cacheSource type="worksheet">
    <worksheetSource ref="B15:AL27" sheet="Calendar"/>
  </cacheSource>
  <cacheFields count="37">
    <cacheField name="Wk" numFmtId="1">
      <sharedItems containsSemiMixedTypes="0" containsString="0" containsNumber="1" containsInteger="1" minValue="1" maxValue="12"/>
    </cacheField>
    <cacheField name="Date" numFmtId="168">
      <sharedItems containsSemiMixedTypes="0" containsNonDate="0" containsDate="1" containsString="0" minDate="2021-03-22T00:00:00" maxDate="2021-06-08T00:00:00" count="12">
        <d v="2021-03-22T00:00:00"/>
        <d v="2021-03-29T00:00:00"/>
        <d v="2021-04-05T00:00:00"/>
        <d v="2021-04-12T00:00:00"/>
        <d v="2021-04-19T00:00:00"/>
        <d v="2021-04-26T00:00:00"/>
        <d v="2021-05-03T00:00:00"/>
        <d v="2021-05-10T00:00:00"/>
        <d v="2021-05-17T00:00:00"/>
        <d v="2021-05-24T00:00:00"/>
        <d v="2021-05-31T00:00:00"/>
        <d v="2021-06-07T00:00:00"/>
      </sharedItems>
    </cacheField>
    <cacheField name="Period" numFmtId="0">
      <sharedItems containsBlank="1" count="6">
        <s v="Base III"/>
        <s v="Build I"/>
        <s v="Build II"/>
        <s v="Peak"/>
        <s v="Race"/>
        <m u="1"/>
      </sharedItems>
    </cacheField>
    <cacheField name="Event" numFmtId="0">
      <sharedItems containsBlank="1"/>
    </cacheField>
    <cacheField name="Event Date" numFmtId="179">
      <sharedItems containsNonDate="0" containsDate="1" containsString="0" containsBlank="1" minDate="2021-03-22T00:00:00" maxDate="2021-06-08T00:00:00"/>
    </cacheField>
    <cacheField name="Plan. Hrs" numFmtId="164">
      <sharedItems containsSemiMixedTypes="0" containsNonDate="0" containsDate="1" containsString="0" minDate="1899-12-30T04:45:00" maxDate="1899-12-30T10:00:00"/>
    </cacheField>
    <cacheField name="Mon" numFmtId="181">
      <sharedItems containsSemiMixedTypes="0" containsNonDate="0" containsDate="1" containsString="0" minDate="1899-12-30T00:00:00" maxDate="1899-12-31T00:00:00"/>
    </cacheField>
    <cacheField name="Tue" numFmtId="181">
      <sharedItems containsSemiMixedTypes="0" containsNonDate="0" containsDate="1" containsString="0" minDate="1899-12-30T01:00:00" maxDate="1899-12-30T02:15:00"/>
    </cacheField>
    <cacheField name="Wed" numFmtId="181">
      <sharedItems containsSemiMixedTypes="0" containsNonDate="0" containsDate="1" containsString="0" minDate="1899-12-30T00:30:00" maxDate="1899-12-30T01:00:00"/>
    </cacheField>
    <cacheField name="Thu" numFmtId="181">
      <sharedItems containsSemiMixedTypes="0" containsNonDate="0" containsDate="1" containsString="0" minDate="1899-12-30T00:45:00" maxDate="1899-12-30T01:45:00"/>
    </cacheField>
    <cacheField name="Fri" numFmtId="181">
      <sharedItems containsSemiMixedTypes="0" containsNonDate="0" containsDate="1" containsString="0" minDate="1899-12-30T00:30:00" maxDate="1899-12-30T01:00:00"/>
    </cacheField>
    <cacheField name="Sat" numFmtId="181">
      <sharedItems containsSemiMixedTypes="0" containsNonDate="0" containsDate="1" containsString="0" minDate="1899-12-30T01:15:00" maxDate="1899-12-30T02:30:00"/>
    </cacheField>
    <cacheField name="Sun" numFmtId="181">
      <sharedItems containsSemiMixedTypes="0" containsNonDate="0" containsDate="1" containsString="0" minDate="1899-12-30T00:45:00" maxDate="1899-12-30T01:30:00"/>
    </cacheField>
    <cacheField name="Actual Hrs" numFmtId="164">
      <sharedItems/>
    </cacheField>
    <cacheField name="Cal." numFmtId="3">
      <sharedItems/>
    </cacheField>
    <cacheField name="Cal. Goal" numFmtId="3">
      <sharedItems/>
    </cacheField>
    <cacheField name="Power" numFmtId="3">
      <sharedItems/>
    </cacheField>
    <cacheField name="Power Goal" numFmtId="3">
      <sharedItems/>
    </cacheField>
    <cacheField name="Weight" numFmtId="182">
      <sharedItems/>
    </cacheField>
    <cacheField name="Weight Goal" numFmtId="182">
      <sharedItems/>
    </cacheField>
    <cacheField name="HR" numFmtId="1">
      <sharedItems/>
    </cacheField>
    <cacheField name="HR Goal" numFmtId="1">
      <sharedItems/>
    </cacheField>
    <cacheField name="Period2" numFmtId="0">
      <sharedItems containsMixedTypes="1" containsNumber="1" containsInteger="1" minValue="0" maxValue="0" count="6">
        <s v="Base III"/>
        <s v="Build I"/>
        <s v="Build II"/>
        <s v="Peak"/>
        <s v="Race"/>
        <n v="0" u="1"/>
      </sharedItems>
    </cacheField>
    <cacheField name="Plan. Hrs Chart" numFmtId="183">
      <sharedItems containsSemiMixedTypes="0" containsString="0" containsNumber="1" minValue="0.19791666666666666" maxValue="0.41666666666666663"/>
    </cacheField>
    <cacheField name="Cal. Goal Chart" numFmtId="3">
      <sharedItems/>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acheField>
    <cacheField name="Speed" numFmtId="182">
      <sharedItems/>
    </cacheField>
    <cacheField name="Elevation" numFmtId="3">
      <sharedItems/>
    </cacheField>
    <cacheField name="Distance" numFmtId="3">
      <sharedItems/>
    </cacheField>
    <cacheField name="Climber Index" numFmtId="3">
      <sharedItems/>
    </cacheField>
    <cacheField name="Cal/hour" numFmtId="3">
      <sharedItems/>
    </cacheField>
    <cacheField name="Today Week" numFmtId="166">
      <sharedItems containsSemiMixedTypes="0" containsString="0" containsNumber="1" minValue="-1" maxValue="0.4375" count="2">
        <n v="0.4375"/>
        <n v="-1"/>
      </sharedItems>
    </cacheField>
    <cacheField name="Plan. Hrs2" numFmtId="166">
      <sharedItems containsSemiMixedTypes="0" containsString="0" containsNumber="1" minValue="0.19791666666666666" maxValue="0.41666666666666663"/>
    </cacheField>
    <cacheField name="Actual Hrs2" numFmtId="166">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62915740741" createdVersion="3" refreshedVersion="6" minRefreshableVersion="3" recordCount="12" xr:uid="{847129BC-4AAD-4231-894D-5D17AEFD3D1F}">
  <cacheSource type="worksheet">
    <worksheetSource ref="B15:AL27" sheet="Calendar"/>
  </cacheSource>
  <cacheFields count="37">
    <cacheField name="Wk" numFmtId="1">
      <sharedItems containsSemiMixedTypes="0" containsString="0" containsNumber="1" containsInteger="1" minValue="1" maxValue="12" count="12">
        <n v="1"/>
        <n v="2"/>
        <n v="3"/>
        <n v="4"/>
        <n v="5"/>
        <n v="6"/>
        <n v="7"/>
        <n v="8"/>
        <n v="9"/>
        <n v="10"/>
        <n v="11"/>
        <n v="12"/>
      </sharedItems>
    </cacheField>
    <cacheField name="Date" numFmtId="168">
      <sharedItems containsSemiMixedTypes="0" containsNonDate="0" containsDate="1" containsString="0" minDate="2021-03-22T00:00:00" maxDate="2021-06-08T00:00:00" count="12">
        <d v="2021-03-22T00:00:00"/>
        <d v="2021-03-29T00:00:00"/>
        <d v="2021-04-05T00:00:00"/>
        <d v="2021-04-12T00:00:00"/>
        <d v="2021-04-19T00:00:00"/>
        <d v="2021-04-26T00:00:00"/>
        <d v="2021-05-03T00:00:00"/>
        <d v="2021-05-10T00:00:00"/>
        <d v="2021-05-17T00:00:00"/>
        <d v="2021-05-24T00:00:00"/>
        <d v="2021-05-31T00:00:00"/>
        <d v="2021-06-07T00:00:00"/>
      </sharedItems>
    </cacheField>
    <cacheField name="Period" numFmtId="0">
      <sharedItems count="5">
        <s v="Base III"/>
        <s v="Build I"/>
        <s v="Build II"/>
        <s v="Peak"/>
        <s v="Race"/>
      </sharedItems>
    </cacheField>
    <cacheField name="Event" numFmtId="0">
      <sharedItems containsBlank="1" count="6">
        <s v="Base III"/>
        <s v="Build I"/>
        <m/>
        <s v="Build II"/>
        <s v="Peak"/>
        <s v="Race"/>
      </sharedItems>
    </cacheField>
    <cacheField name="Event Date" numFmtId="179">
      <sharedItems containsNonDate="0" containsDate="1" containsString="0" containsBlank="1" minDate="2021-03-22T00:00:00" maxDate="2021-06-08T00:00:00" count="6">
        <d v="2021-03-22T00:00:00"/>
        <d v="2021-03-29T00:00:00"/>
        <m/>
        <d v="2021-04-26T00:00:00"/>
        <d v="2021-05-24T00:00:00"/>
        <d v="2021-06-07T00:00:00"/>
      </sharedItems>
    </cacheField>
    <cacheField name="Plan. Hrs" numFmtId="164">
      <sharedItems containsSemiMixedTypes="0" containsNonDate="0" containsDate="1" containsString="0" minDate="1899-12-30T04:45:00" maxDate="1899-12-30T10:00:00" count="5">
        <d v="1899-12-30T08:30:00"/>
        <d v="1899-12-30T10:00:00"/>
        <d v="1899-12-30T05:00:00"/>
        <d v="1899-12-30T04:45:00"/>
        <d v="1899-12-30T06:15:00"/>
      </sharedItems>
    </cacheField>
    <cacheField name="Mon" numFmtId="181">
      <sharedItems containsSemiMixedTypes="0" containsNonDate="0" containsDate="1" containsString="0" minDate="1899-12-30T00:00:00" maxDate="1899-12-31T00:00:00" count="1">
        <d v="1899-12-30T00:00:00"/>
      </sharedItems>
    </cacheField>
    <cacheField name="Tue" numFmtId="181">
      <sharedItems containsSemiMixedTypes="0" containsNonDate="0" containsDate="1" containsString="0" minDate="1899-12-30T01:00:00" maxDate="1899-12-30T02:15:00" count="4">
        <d v="1899-12-30T02:00:00"/>
        <d v="1899-12-30T02:15:00"/>
        <d v="1899-12-30T01:00:00"/>
        <d v="1899-12-30T01:15:00"/>
      </sharedItems>
    </cacheField>
    <cacheField name="Wed" numFmtId="181">
      <sharedItems containsSemiMixedTypes="0" containsNonDate="0" containsDate="1" containsString="0" minDate="1899-12-30T00:30:00" maxDate="1899-12-30T01:00:00" count="3">
        <d v="1899-12-30T00:45:00"/>
        <d v="1899-12-30T01:00:00"/>
        <d v="1899-12-30T00:30:00"/>
      </sharedItems>
    </cacheField>
    <cacheField name="Thu" numFmtId="181">
      <sharedItems containsSemiMixedTypes="0" containsNonDate="0" containsDate="1" containsString="0" minDate="1899-12-30T00:45:00" maxDate="1899-12-30T01:45:00" count="5">
        <d v="1899-12-30T01:30:00"/>
        <d v="1899-12-30T01:45:00"/>
        <d v="1899-12-30T01:00:00"/>
        <d v="1899-12-30T00:45:00"/>
        <d v="1899-12-30T01:15:00"/>
      </sharedItems>
    </cacheField>
    <cacheField name="Fri" numFmtId="181">
      <sharedItems containsSemiMixedTypes="0" containsNonDate="0" containsDate="1" containsString="0" minDate="1899-12-30T00:30:00" maxDate="1899-12-30T01:00:00" count="3">
        <d v="1899-12-30T00:45:00"/>
        <d v="1899-12-30T01:00:00"/>
        <d v="1899-12-30T00:30:00"/>
      </sharedItems>
    </cacheField>
    <cacheField name="Sat" numFmtId="181">
      <sharedItems containsSemiMixedTypes="0" containsNonDate="0" containsDate="1" containsString="0" minDate="1899-12-30T01:15:00" maxDate="1899-12-30T02:30:00" count="4">
        <d v="1899-12-30T02:15:00"/>
        <d v="1899-12-30T02:30:00"/>
        <d v="1899-12-30T01:15:00"/>
        <d v="1899-12-30T01:45:00"/>
      </sharedItems>
    </cacheField>
    <cacheField name="Sun" numFmtId="181">
      <sharedItems containsSemiMixedTypes="0" containsNonDate="0" containsDate="1" containsString="0" minDate="1899-12-30T00:45:00" maxDate="1899-12-30T01:30:00" count="4">
        <d v="1899-12-30T01:15:00"/>
        <d v="1899-12-30T01:30:00"/>
        <d v="1899-12-30T00:45:00"/>
        <d v="1899-12-30T01:00:00"/>
      </sharedItems>
    </cacheField>
    <cacheField name="Actual Hrs" numFmtId="164">
      <sharedItems count="1">
        <e v="#N/A"/>
      </sharedItems>
    </cacheField>
    <cacheField name="Cal." numFmtId="3">
      <sharedItems count="1">
        <e v="#N/A"/>
      </sharedItems>
    </cacheField>
    <cacheField name="Cal. Goal" numFmtId="3">
      <sharedItems count="1">
        <e v="#N/A"/>
      </sharedItems>
    </cacheField>
    <cacheField name="Power" numFmtId="3">
      <sharedItems count="1">
        <e v="#N/A"/>
      </sharedItems>
    </cacheField>
    <cacheField name="Power Goal" numFmtId="3">
      <sharedItems count="1">
        <e v="#N/A"/>
      </sharedItems>
    </cacheField>
    <cacheField name="Weight" numFmtId="182">
      <sharedItems count="1">
        <e v="#N/A"/>
      </sharedItems>
    </cacheField>
    <cacheField name="Weight Goal" numFmtId="182">
      <sharedItems count="1">
        <e v="#N/A"/>
      </sharedItems>
    </cacheField>
    <cacheField name="HR" numFmtId="1">
      <sharedItems count="1">
        <e v="#N/A"/>
      </sharedItems>
    </cacheField>
    <cacheField name="HR Goal" numFmtId="1">
      <sharedItems count="1">
        <e v="#N/A"/>
      </sharedItems>
    </cacheField>
    <cacheField name="Period2" numFmtId="0">
      <sharedItems count="5">
        <s v="Base III"/>
        <s v="Build I"/>
        <s v="Build II"/>
        <s v="Peak"/>
        <s v="Race"/>
      </sharedItems>
    </cacheField>
    <cacheField name="Plan. Hrs Chart" numFmtId="183">
      <sharedItems containsSemiMixedTypes="0" containsString="0" containsNumber="1" minValue="0.19791666666666666" maxValue="0.41666666666666663" count="5">
        <n v="0.35416666666666669"/>
        <n v="0.41666666666666663"/>
        <n v="0.20833333333333331"/>
        <n v="0.19791666666666666"/>
        <n v="0.26041666666666669"/>
      </sharedItems>
    </cacheField>
    <cacheField name="Cal. Goal Chart" numFmtId="3">
      <sharedItems count="1">
        <e v="#N/A"/>
      </sharedItems>
    </cacheField>
    <cacheField name="HR Goal Chart" numFmtId="1">
      <sharedItems containsNonDate="0" containsString="0" containsBlank="1" count="1">
        <m/>
      </sharedItems>
    </cacheField>
    <cacheField name="Weight Goal Chart" numFmtId="182">
      <sharedItems containsNonDate="0" containsString="0" containsBlank="1" count="1">
        <m/>
      </sharedItems>
    </cacheField>
    <cacheField name="Power Goal Chart" numFmtId="3">
      <sharedItems containsNonDate="0" containsString="0" containsBlank="1" count="1">
        <m/>
      </sharedItems>
    </cacheField>
    <cacheField name="BMI" numFmtId="182">
      <sharedItems count="1">
        <e v="#N/A"/>
      </sharedItems>
    </cacheField>
    <cacheField name="Speed" numFmtId="182">
      <sharedItems count="1">
        <e v="#N/A"/>
      </sharedItems>
    </cacheField>
    <cacheField name="Elevation" numFmtId="3">
      <sharedItems count="1">
        <e v="#N/A"/>
      </sharedItems>
    </cacheField>
    <cacheField name="Distance" numFmtId="3">
      <sharedItems count="1">
        <e v="#N/A"/>
      </sharedItems>
    </cacheField>
    <cacheField name="Climber Index" numFmtId="3">
      <sharedItems count="1">
        <e v="#N/A"/>
      </sharedItems>
    </cacheField>
    <cacheField name="Cal/hour" numFmtId="3">
      <sharedItems count="1">
        <e v="#N/A"/>
      </sharedItems>
    </cacheField>
    <cacheField name="Today Week" numFmtId="166">
      <sharedItems containsSemiMixedTypes="0" containsString="0" containsNumber="1" minValue="-1" maxValue="0.4375" count="2">
        <n v="0.4375"/>
        <n v="-1"/>
      </sharedItems>
    </cacheField>
    <cacheField name="Plan. Hrs2" numFmtId="166">
      <sharedItems containsSemiMixedTypes="0" containsString="0" containsNumber="1" minValue="0.19791666666666666" maxValue="0.41666666666666663" count="5">
        <n v="0.35416666666666669"/>
        <n v="0.41666666666666663"/>
        <n v="0.20833333333333331"/>
        <n v="0.19791666666666666"/>
        <n v="0.26041666666666669"/>
      </sharedItems>
    </cacheField>
    <cacheField name="Actual Hrs2" numFmtId="166">
      <sharedItems count="1">
        <e v="#N/A"/>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77.863046412036" createdVersion="3" refreshedVersion="6" minRefreshableVersion="3" recordCount="12" xr:uid="{5C6BD3EC-9373-4B2D-86E9-9D070EF48BD0}">
  <cacheSource type="worksheet">
    <worksheetSource ref="B15:AL27" sheet="Calendar"/>
  </cacheSource>
  <cacheFields count="37">
    <cacheField name="Wk" numFmtId="1">
      <sharedItems containsSemiMixedTypes="0" containsString="0" containsNumber="1" containsInteger="1" minValue="1" maxValue="12"/>
    </cacheField>
    <cacheField name="Date" numFmtId="168">
      <sharedItems containsSemiMixedTypes="0" containsNonDate="0" containsDate="1" containsString="0" minDate="2021-03-22T00:00:00" maxDate="2021-06-08T00:00:00" count="12">
        <d v="2021-03-22T00:00:00"/>
        <d v="2021-03-29T00:00:00"/>
        <d v="2021-04-05T00:00:00"/>
        <d v="2021-04-12T00:00:00"/>
        <d v="2021-04-19T00:00:00"/>
        <d v="2021-04-26T00:00:00"/>
        <d v="2021-05-03T00:00:00"/>
        <d v="2021-05-10T00:00:00"/>
        <d v="2021-05-17T00:00:00"/>
        <d v="2021-05-24T00:00:00"/>
        <d v="2021-05-31T00:00:00"/>
        <d v="2021-06-07T00:00:00"/>
      </sharedItems>
    </cacheField>
    <cacheField name="Period" numFmtId="0">
      <sharedItems containsBlank="1" count="6">
        <s v="Base III"/>
        <s v="Build I"/>
        <s v="Build II"/>
        <s v="Peak"/>
        <s v="Race"/>
        <m u="1"/>
      </sharedItems>
    </cacheField>
    <cacheField name="Event" numFmtId="0">
      <sharedItems containsBlank="1"/>
    </cacheField>
    <cacheField name="Event Date" numFmtId="179">
      <sharedItems containsNonDate="0" containsDate="1" containsString="0" containsBlank="1" minDate="2021-03-22T00:00:00" maxDate="2021-06-08T00:00:00"/>
    </cacheField>
    <cacheField name="Plan. Hrs" numFmtId="164">
      <sharedItems containsSemiMixedTypes="0" containsNonDate="0" containsDate="1" containsString="0" minDate="1899-12-30T04:45:00" maxDate="1899-12-30T10:00:00"/>
    </cacheField>
    <cacheField name="Mon" numFmtId="181">
      <sharedItems containsSemiMixedTypes="0" containsNonDate="0" containsDate="1" containsString="0" minDate="1899-12-30T00:00:00" maxDate="1899-12-31T00:00:00"/>
    </cacheField>
    <cacheField name="Tue" numFmtId="181">
      <sharedItems containsSemiMixedTypes="0" containsNonDate="0" containsDate="1" containsString="0" minDate="1899-12-30T01:00:00" maxDate="1899-12-30T02:15:00"/>
    </cacheField>
    <cacheField name="Wed" numFmtId="181">
      <sharedItems containsSemiMixedTypes="0" containsNonDate="0" containsDate="1" containsString="0" minDate="1899-12-30T00:30:00" maxDate="1899-12-30T01:00:00"/>
    </cacheField>
    <cacheField name="Thu" numFmtId="181">
      <sharedItems containsSemiMixedTypes="0" containsNonDate="0" containsDate="1" containsString="0" minDate="1899-12-30T00:45:00" maxDate="1899-12-30T01:45:00"/>
    </cacheField>
    <cacheField name="Fri" numFmtId="181">
      <sharedItems containsSemiMixedTypes="0" containsNonDate="0" containsDate="1" containsString="0" minDate="1899-12-30T00:30:00" maxDate="1899-12-30T01:00:00"/>
    </cacheField>
    <cacheField name="Sat" numFmtId="181">
      <sharedItems containsSemiMixedTypes="0" containsNonDate="0" containsDate="1" containsString="0" minDate="1899-12-30T01:15:00" maxDate="1899-12-30T02:30:00"/>
    </cacheField>
    <cacheField name="Sun" numFmtId="181">
      <sharedItems containsSemiMixedTypes="0" containsNonDate="0" containsDate="1" containsString="0" minDate="1899-12-30T00:45:00" maxDate="1899-12-30T01:30:00"/>
    </cacheField>
    <cacheField name="Actual Hrs" numFmtId="164">
      <sharedItems/>
    </cacheField>
    <cacheField name="Cal." numFmtId="3">
      <sharedItems count="1">
        <e v="#N/A"/>
      </sharedItems>
    </cacheField>
    <cacheField name="Cal. Goal" numFmtId="3">
      <sharedItems count="1">
        <e v="#N/A"/>
      </sharedItems>
    </cacheField>
    <cacheField name="Power" numFmtId="3">
      <sharedItems count="1">
        <e v="#N/A"/>
      </sharedItems>
    </cacheField>
    <cacheField name="Power Goal" numFmtId="3">
      <sharedItems count="1">
        <e v="#N/A"/>
      </sharedItems>
    </cacheField>
    <cacheField name="Weight" numFmtId="182">
      <sharedItems count="1">
        <e v="#N/A"/>
      </sharedItems>
    </cacheField>
    <cacheField name="Weight Goal" numFmtId="182">
      <sharedItems count="1">
        <e v="#N/A"/>
      </sharedItems>
    </cacheField>
    <cacheField name="HR" numFmtId="1">
      <sharedItems count="1">
        <e v="#N/A"/>
      </sharedItems>
    </cacheField>
    <cacheField name="HR Goal" numFmtId="1">
      <sharedItems count="1">
        <e v="#N/A"/>
      </sharedItems>
    </cacheField>
    <cacheField name="Period2" numFmtId="0">
      <sharedItems count="5">
        <s v="Base III"/>
        <s v="Build I"/>
        <s v="Build II"/>
        <s v="Peak"/>
        <s v="Race"/>
      </sharedItems>
    </cacheField>
    <cacheField name="Plan. Hrs Chart" numFmtId="183">
      <sharedItems containsSemiMixedTypes="0" containsString="0" containsNumber="1" minValue="0.19791666666666666" maxValue="0.41666666666666663"/>
    </cacheField>
    <cacheField name="Cal. Goal Chart" numFmtId="3">
      <sharedItems/>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acheField>
    <cacheField name="Speed" numFmtId="182">
      <sharedItems/>
    </cacheField>
    <cacheField name="Elevation" numFmtId="3">
      <sharedItems/>
    </cacheField>
    <cacheField name="Distance" numFmtId="3">
      <sharedItems/>
    </cacheField>
    <cacheField name="Climber Index" numFmtId="3">
      <sharedItems/>
    </cacheField>
    <cacheField name="Cal/hour" numFmtId="3">
      <sharedItems/>
    </cacheField>
    <cacheField name="Today Week" numFmtId="166">
      <sharedItems containsSemiMixedTypes="0" containsString="0" containsNumber="1" minValue="-1" maxValue="0.4375"/>
    </cacheField>
    <cacheField name="Plan. Hrs2" numFmtId="166">
      <sharedItems containsSemiMixedTypes="0" containsString="0" containsNumber="1" minValue="0.19791666666666666" maxValue="0.41666666666666663"/>
    </cacheField>
    <cacheField name="Actual Hrs2" numFmtId="16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n v="189"/>
    <n v="85.729059883335907"/>
    <x v="0"/>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x v="0"/>
    <s v="Base III"/>
    <d v="2021-03-22T00:00:00"/>
    <d v="1899-12-30T08:30:00"/>
    <d v="1899-12-30T00:00:00"/>
    <d v="1899-12-30T02:00:00"/>
    <d v="1899-12-30T00:45:00"/>
    <d v="1899-12-30T01:30:00"/>
    <d v="1899-12-30T00:45:00"/>
    <d v="1899-12-30T02:15:00"/>
    <d v="1899-12-30T01:15:00"/>
    <e v="#N/A"/>
    <e v="#N/A"/>
    <e v="#N/A"/>
    <e v="#N/A"/>
    <e v="#N/A"/>
    <e v="#N/A"/>
    <e v="#N/A"/>
    <e v="#N/A"/>
    <e v="#N/A"/>
    <x v="0"/>
    <n v="0.35416666666666669"/>
    <e v="#N/A"/>
    <m/>
    <m/>
    <m/>
    <e v="#N/A"/>
    <e v="#N/A"/>
    <e v="#N/A"/>
    <e v="#N/A"/>
    <e v="#N/A"/>
    <e v="#N/A"/>
    <x v="0"/>
    <n v="0.35416666666666669"/>
    <e v="#N/A"/>
  </r>
  <r>
    <n v="2"/>
    <x v="1"/>
    <x v="1"/>
    <s v="Build I"/>
    <d v="2021-03-29T00:00:00"/>
    <d v="1899-12-30T10:00:00"/>
    <d v="1899-12-30T00:00:00"/>
    <d v="1899-12-30T02:15:00"/>
    <d v="1899-12-30T01:00:00"/>
    <d v="1899-12-30T01:45:00"/>
    <d v="1899-12-30T01:00:00"/>
    <d v="1899-12-30T02:30:00"/>
    <d v="1899-12-30T01:30:00"/>
    <e v="#N/A"/>
    <e v="#N/A"/>
    <e v="#N/A"/>
    <e v="#N/A"/>
    <e v="#N/A"/>
    <e v="#N/A"/>
    <e v="#N/A"/>
    <e v="#N/A"/>
    <e v="#N/A"/>
    <x v="1"/>
    <n v="0.41666666666666663"/>
    <e v="#N/A"/>
    <m/>
    <m/>
    <m/>
    <e v="#N/A"/>
    <e v="#N/A"/>
    <e v="#N/A"/>
    <e v="#N/A"/>
    <e v="#N/A"/>
    <e v="#N/A"/>
    <x v="1"/>
    <n v="0.41666666666666663"/>
    <e v="#N/A"/>
  </r>
  <r>
    <n v="3"/>
    <x v="2"/>
    <x v="1"/>
    <m/>
    <m/>
    <d v="1899-12-30T10:00:00"/>
    <d v="1899-12-30T00:00:00"/>
    <d v="1899-12-30T02:15:00"/>
    <d v="1899-12-30T01:00:00"/>
    <d v="1899-12-30T01:45:00"/>
    <d v="1899-12-30T01:00:00"/>
    <d v="1899-12-30T02:30:00"/>
    <d v="1899-12-30T01:30:00"/>
    <e v="#N/A"/>
    <e v="#N/A"/>
    <e v="#N/A"/>
    <e v="#N/A"/>
    <e v="#N/A"/>
    <e v="#N/A"/>
    <e v="#N/A"/>
    <e v="#N/A"/>
    <e v="#N/A"/>
    <x v="1"/>
    <n v="0.41666666666666663"/>
    <e v="#N/A"/>
    <m/>
    <m/>
    <m/>
    <e v="#N/A"/>
    <e v="#N/A"/>
    <e v="#N/A"/>
    <e v="#N/A"/>
    <e v="#N/A"/>
    <e v="#N/A"/>
    <x v="1"/>
    <n v="0.41666666666666663"/>
    <e v="#N/A"/>
  </r>
  <r>
    <n v="4"/>
    <x v="3"/>
    <x v="1"/>
    <m/>
    <m/>
    <d v="1899-12-30T10:00:00"/>
    <d v="1899-12-30T00:00:00"/>
    <d v="1899-12-30T02:15:00"/>
    <d v="1899-12-30T01:00:00"/>
    <d v="1899-12-30T01:45:00"/>
    <d v="1899-12-30T01:00:00"/>
    <d v="1899-12-30T02:30:00"/>
    <d v="1899-12-30T01:30:00"/>
    <e v="#N/A"/>
    <e v="#N/A"/>
    <e v="#N/A"/>
    <e v="#N/A"/>
    <e v="#N/A"/>
    <e v="#N/A"/>
    <e v="#N/A"/>
    <e v="#N/A"/>
    <e v="#N/A"/>
    <x v="1"/>
    <n v="0.41666666666666663"/>
    <e v="#N/A"/>
    <m/>
    <m/>
    <m/>
    <e v="#N/A"/>
    <e v="#N/A"/>
    <e v="#N/A"/>
    <e v="#N/A"/>
    <e v="#N/A"/>
    <e v="#N/A"/>
    <x v="1"/>
    <n v="0.41666666666666663"/>
    <e v="#N/A"/>
  </r>
  <r>
    <n v="5"/>
    <x v="4"/>
    <x v="1"/>
    <m/>
    <m/>
    <d v="1899-12-30T05:00:00"/>
    <d v="1899-12-30T00:00:00"/>
    <d v="1899-12-30T01:00:00"/>
    <d v="1899-12-30T00:30:00"/>
    <d v="1899-12-30T01:00:00"/>
    <d v="1899-12-30T00:30:00"/>
    <d v="1899-12-30T01:15:00"/>
    <d v="1899-12-30T00:45:00"/>
    <e v="#N/A"/>
    <e v="#N/A"/>
    <e v="#N/A"/>
    <e v="#N/A"/>
    <e v="#N/A"/>
    <e v="#N/A"/>
    <e v="#N/A"/>
    <e v="#N/A"/>
    <e v="#N/A"/>
    <x v="1"/>
    <n v="0.20833333333333331"/>
    <e v="#N/A"/>
    <m/>
    <m/>
    <m/>
    <e v="#N/A"/>
    <e v="#N/A"/>
    <e v="#N/A"/>
    <e v="#N/A"/>
    <e v="#N/A"/>
    <e v="#N/A"/>
    <x v="1"/>
    <n v="0.20833333333333331"/>
    <e v="#N/A"/>
  </r>
  <r>
    <n v="6"/>
    <x v="5"/>
    <x v="2"/>
    <s v="Build II"/>
    <d v="2021-04-26T00:00:00"/>
    <d v="1899-12-30T08:30:00"/>
    <d v="1899-12-30T00:00:00"/>
    <d v="1899-12-30T02:00:00"/>
    <d v="1899-12-30T00:45:00"/>
    <d v="1899-12-30T01:30:00"/>
    <d v="1899-12-30T00:45:00"/>
    <d v="1899-12-30T02:15:00"/>
    <d v="1899-12-30T01:15:00"/>
    <e v="#N/A"/>
    <e v="#N/A"/>
    <e v="#N/A"/>
    <e v="#N/A"/>
    <e v="#N/A"/>
    <e v="#N/A"/>
    <e v="#N/A"/>
    <e v="#N/A"/>
    <e v="#N/A"/>
    <x v="2"/>
    <n v="0.35416666666666669"/>
    <e v="#N/A"/>
    <m/>
    <m/>
    <m/>
    <e v="#N/A"/>
    <e v="#N/A"/>
    <e v="#N/A"/>
    <e v="#N/A"/>
    <e v="#N/A"/>
    <e v="#N/A"/>
    <x v="1"/>
    <n v="0.35416666666666669"/>
    <e v="#N/A"/>
  </r>
  <r>
    <n v="7"/>
    <x v="6"/>
    <x v="2"/>
    <m/>
    <m/>
    <d v="1899-12-30T08:30:00"/>
    <d v="1899-12-30T00:00:00"/>
    <d v="1899-12-30T02:00:00"/>
    <d v="1899-12-30T00:45:00"/>
    <d v="1899-12-30T01:30:00"/>
    <d v="1899-12-30T00:45:00"/>
    <d v="1899-12-30T02:15:00"/>
    <d v="1899-12-30T01:15:00"/>
    <e v="#N/A"/>
    <e v="#N/A"/>
    <e v="#N/A"/>
    <e v="#N/A"/>
    <e v="#N/A"/>
    <e v="#N/A"/>
    <e v="#N/A"/>
    <e v="#N/A"/>
    <e v="#N/A"/>
    <x v="2"/>
    <n v="0.35416666666666669"/>
    <e v="#N/A"/>
    <m/>
    <m/>
    <m/>
    <e v="#N/A"/>
    <e v="#N/A"/>
    <e v="#N/A"/>
    <e v="#N/A"/>
    <e v="#N/A"/>
    <e v="#N/A"/>
    <x v="1"/>
    <n v="0.35416666666666669"/>
    <e v="#N/A"/>
  </r>
  <r>
    <n v="8"/>
    <x v="7"/>
    <x v="2"/>
    <m/>
    <m/>
    <d v="1899-12-30T08:30:00"/>
    <d v="1899-12-30T00:00:00"/>
    <d v="1899-12-30T02:00:00"/>
    <d v="1899-12-30T00:45:00"/>
    <d v="1899-12-30T01:30:00"/>
    <d v="1899-12-30T00:45:00"/>
    <d v="1899-12-30T02:15:00"/>
    <d v="1899-12-30T01:15:00"/>
    <e v="#N/A"/>
    <e v="#N/A"/>
    <e v="#N/A"/>
    <e v="#N/A"/>
    <e v="#N/A"/>
    <e v="#N/A"/>
    <e v="#N/A"/>
    <e v="#N/A"/>
    <e v="#N/A"/>
    <x v="2"/>
    <n v="0.35416666666666669"/>
    <e v="#N/A"/>
    <m/>
    <m/>
    <m/>
    <e v="#N/A"/>
    <e v="#N/A"/>
    <e v="#N/A"/>
    <e v="#N/A"/>
    <e v="#N/A"/>
    <e v="#N/A"/>
    <x v="1"/>
    <n v="0.35416666666666669"/>
    <e v="#N/A"/>
  </r>
  <r>
    <n v="9"/>
    <x v="8"/>
    <x v="2"/>
    <m/>
    <m/>
    <d v="1899-12-30T04:45:00"/>
    <d v="1899-12-30T00:00:00"/>
    <d v="1899-12-30T01:00:00"/>
    <d v="1899-12-30T00:30:00"/>
    <d v="1899-12-30T00:45:00"/>
    <d v="1899-12-30T00:30:00"/>
    <d v="1899-12-30T01:15:00"/>
    <d v="1899-12-30T00:45:00"/>
    <e v="#N/A"/>
    <e v="#N/A"/>
    <e v="#N/A"/>
    <e v="#N/A"/>
    <e v="#N/A"/>
    <e v="#N/A"/>
    <e v="#N/A"/>
    <e v="#N/A"/>
    <e v="#N/A"/>
    <x v="2"/>
    <n v="0.19791666666666666"/>
    <e v="#N/A"/>
    <m/>
    <m/>
    <m/>
    <e v="#N/A"/>
    <e v="#N/A"/>
    <e v="#N/A"/>
    <e v="#N/A"/>
    <e v="#N/A"/>
    <e v="#N/A"/>
    <x v="1"/>
    <n v="0.19791666666666666"/>
    <e v="#N/A"/>
  </r>
  <r>
    <n v="10"/>
    <x v="9"/>
    <x v="3"/>
    <s v="Peak"/>
    <d v="2021-05-24T00:00:00"/>
    <d v="1899-12-30T08:30:00"/>
    <d v="1899-12-30T00:00:00"/>
    <d v="1899-12-30T02:00:00"/>
    <d v="1899-12-30T00:45:00"/>
    <d v="1899-12-30T01:30:00"/>
    <d v="1899-12-30T00:45:00"/>
    <d v="1899-12-30T02:15:00"/>
    <d v="1899-12-30T01:15:00"/>
    <e v="#N/A"/>
    <e v="#N/A"/>
    <e v="#N/A"/>
    <e v="#N/A"/>
    <e v="#N/A"/>
    <e v="#N/A"/>
    <e v="#N/A"/>
    <e v="#N/A"/>
    <e v="#N/A"/>
    <x v="3"/>
    <n v="0.35416666666666669"/>
    <e v="#N/A"/>
    <m/>
    <m/>
    <m/>
    <e v="#N/A"/>
    <e v="#N/A"/>
    <e v="#N/A"/>
    <e v="#N/A"/>
    <e v="#N/A"/>
    <e v="#N/A"/>
    <x v="1"/>
    <n v="0.35416666666666669"/>
    <e v="#N/A"/>
  </r>
  <r>
    <n v="11"/>
    <x v="10"/>
    <x v="3"/>
    <m/>
    <m/>
    <d v="1899-12-30T06:15:00"/>
    <d v="1899-12-30T00:00:00"/>
    <d v="1899-12-30T01:15:00"/>
    <d v="1899-12-30T00:30:00"/>
    <d v="1899-12-30T01:15:00"/>
    <d v="1899-12-30T00:30:00"/>
    <d v="1899-12-30T01:45:00"/>
    <d v="1899-12-30T01:00:00"/>
    <e v="#N/A"/>
    <e v="#N/A"/>
    <e v="#N/A"/>
    <e v="#N/A"/>
    <e v="#N/A"/>
    <e v="#N/A"/>
    <e v="#N/A"/>
    <e v="#N/A"/>
    <e v="#N/A"/>
    <x v="3"/>
    <n v="0.26041666666666669"/>
    <e v="#N/A"/>
    <m/>
    <m/>
    <m/>
    <e v="#N/A"/>
    <e v="#N/A"/>
    <e v="#N/A"/>
    <e v="#N/A"/>
    <e v="#N/A"/>
    <e v="#N/A"/>
    <x v="1"/>
    <n v="0.26041666666666669"/>
    <e v="#N/A"/>
  </r>
  <r>
    <n v="12"/>
    <x v="11"/>
    <x v="4"/>
    <s v="Race"/>
    <d v="2021-06-07T00:00:00"/>
    <d v="1899-12-30T04:45:00"/>
    <d v="1899-12-30T00:00:00"/>
    <d v="1899-12-30T01:00:00"/>
    <d v="1899-12-30T00:30:00"/>
    <d v="1899-12-30T00:45:00"/>
    <d v="1899-12-30T00:30:00"/>
    <d v="1899-12-30T01:15:00"/>
    <d v="1899-12-30T00:45:00"/>
    <e v="#N/A"/>
    <e v="#N/A"/>
    <e v="#N/A"/>
    <e v="#N/A"/>
    <e v="#N/A"/>
    <e v="#N/A"/>
    <e v="#N/A"/>
    <e v="#N/A"/>
    <e v="#N/A"/>
    <x v="4"/>
    <n v="0.19791666666666666"/>
    <e v="#N/A"/>
    <m/>
    <m/>
    <m/>
    <e v="#N/A"/>
    <e v="#N/A"/>
    <e v="#N/A"/>
    <e v="#N/A"/>
    <e v="#N/A"/>
    <e v="#N/A"/>
    <x v="1"/>
    <n v="0.19791666666666666"/>
    <e v="#N/A"/>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x v="0"/>
    <x v="0"/>
    <x v="0"/>
    <x v="0"/>
    <x v="0"/>
    <x v="0"/>
    <x v="0"/>
    <x v="0"/>
    <x v="0"/>
    <x v="0"/>
    <x v="0"/>
    <x v="0"/>
    <x v="0"/>
    <x v="0"/>
    <x v="0"/>
    <x v="0"/>
    <x v="0"/>
    <x v="0"/>
    <x v="0"/>
    <x v="0"/>
    <x v="0"/>
    <x v="0"/>
    <x v="0"/>
    <x v="0"/>
    <x v="0"/>
    <x v="0"/>
    <x v="0"/>
    <x v="0"/>
    <x v="0"/>
    <x v="0"/>
    <x v="0"/>
    <x v="0"/>
    <x v="0"/>
  </r>
  <r>
    <x v="1"/>
    <x v="1"/>
    <x v="1"/>
    <x v="1"/>
    <x v="1"/>
    <x v="1"/>
    <x v="0"/>
    <x v="1"/>
    <x v="1"/>
    <x v="1"/>
    <x v="1"/>
    <x v="1"/>
    <x v="1"/>
    <x v="0"/>
    <x v="0"/>
    <x v="0"/>
    <x v="0"/>
    <x v="0"/>
    <x v="0"/>
    <x v="0"/>
    <x v="0"/>
    <x v="0"/>
    <x v="1"/>
    <x v="1"/>
    <x v="0"/>
    <x v="0"/>
    <x v="0"/>
    <x v="0"/>
    <x v="0"/>
    <x v="0"/>
    <x v="0"/>
    <x v="0"/>
    <x v="0"/>
    <x v="0"/>
    <x v="1"/>
    <x v="1"/>
    <x v="0"/>
  </r>
  <r>
    <x v="2"/>
    <x v="2"/>
    <x v="1"/>
    <x v="2"/>
    <x v="2"/>
    <x v="1"/>
    <x v="0"/>
    <x v="1"/>
    <x v="1"/>
    <x v="1"/>
    <x v="1"/>
    <x v="1"/>
    <x v="1"/>
    <x v="0"/>
    <x v="0"/>
    <x v="0"/>
    <x v="0"/>
    <x v="0"/>
    <x v="0"/>
    <x v="0"/>
    <x v="0"/>
    <x v="0"/>
    <x v="1"/>
    <x v="1"/>
    <x v="0"/>
    <x v="0"/>
    <x v="0"/>
    <x v="0"/>
    <x v="0"/>
    <x v="0"/>
    <x v="0"/>
    <x v="0"/>
    <x v="0"/>
    <x v="0"/>
    <x v="1"/>
    <x v="1"/>
    <x v="0"/>
  </r>
  <r>
    <x v="3"/>
    <x v="3"/>
    <x v="1"/>
    <x v="2"/>
    <x v="2"/>
    <x v="1"/>
    <x v="0"/>
    <x v="1"/>
    <x v="1"/>
    <x v="1"/>
    <x v="1"/>
    <x v="1"/>
    <x v="1"/>
    <x v="0"/>
    <x v="0"/>
    <x v="0"/>
    <x v="0"/>
    <x v="0"/>
    <x v="0"/>
    <x v="0"/>
    <x v="0"/>
    <x v="0"/>
    <x v="1"/>
    <x v="1"/>
    <x v="0"/>
    <x v="0"/>
    <x v="0"/>
    <x v="0"/>
    <x v="0"/>
    <x v="0"/>
    <x v="0"/>
    <x v="0"/>
    <x v="0"/>
    <x v="0"/>
    <x v="1"/>
    <x v="1"/>
    <x v="0"/>
  </r>
  <r>
    <x v="4"/>
    <x v="4"/>
    <x v="1"/>
    <x v="2"/>
    <x v="2"/>
    <x v="2"/>
    <x v="0"/>
    <x v="2"/>
    <x v="2"/>
    <x v="2"/>
    <x v="2"/>
    <x v="2"/>
    <x v="2"/>
    <x v="0"/>
    <x v="0"/>
    <x v="0"/>
    <x v="0"/>
    <x v="0"/>
    <x v="0"/>
    <x v="0"/>
    <x v="0"/>
    <x v="0"/>
    <x v="1"/>
    <x v="2"/>
    <x v="0"/>
    <x v="0"/>
    <x v="0"/>
    <x v="0"/>
    <x v="0"/>
    <x v="0"/>
    <x v="0"/>
    <x v="0"/>
    <x v="0"/>
    <x v="0"/>
    <x v="1"/>
    <x v="2"/>
    <x v="0"/>
  </r>
  <r>
    <x v="5"/>
    <x v="5"/>
    <x v="2"/>
    <x v="3"/>
    <x v="3"/>
    <x v="0"/>
    <x v="0"/>
    <x v="0"/>
    <x v="0"/>
    <x v="0"/>
    <x v="0"/>
    <x v="0"/>
    <x v="0"/>
    <x v="0"/>
    <x v="0"/>
    <x v="0"/>
    <x v="0"/>
    <x v="0"/>
    <x v="0"/>
    <x v="0"/>
    <x v="0"/>
    <x v="0"/>
    <x v="2"/>
    <x v="0"/>
    <x v="0"/>
    <x v="0"/>
    <x v="0"/>
    <x v="0"/>
    <x v="0"/>
    <x v="0"/>
    <x v="0"/>
    <x v="0"/>
    <x v="0"/>
    <x v="0"/>
    <x v="1"/>
    <x v="0"/>
    <x v="0"/>
  </r>
  <r>
    <x v="6"/>
    <x v="6"/>
    <x v="2"/>
    <x v="2"/>
    <x v="2"/>
    <x v="0"/>
    <x v="0"/>
    <x v="0"/>
    <x v="0"/>
    <x v="0"/>
    <x v="0"/>
    <x v="0"/>
    <x v="0"/>
    <x v="0"/>
    <x v="0"/>
    <x v="0"/>
    <x v="0"/>
    <x v="0"/>
    <x v="0"/>
    <x v="0"/>
    <x v="0"/>
    <x v="0"/>
    <x v="2"/>
    <x v="0"/>
    <x v="0"/>
    <x v="0"/>
    <x v="0"/>
    <x v="0"/>
    <x v="0"/>
    <x v="0"/>
    <x v="0"/>
    <x v="0"/>
    <x v="0"/>
    <x v="0"/>
    <x v="1"/>
    <x v="0"/>
    <x v="0"/>
  </r>
  <r>
    <x v="7"/>
    <x v="7"/>
    <x v="2"/>
    <x v="2"/>
    <x v="2"/>
    <x v="0"/>
    <x v="0"/>
    <x v="0"/>
    <x v="0"/>
    <x v="0"/>
    <x v="0"/>
    <x v="0"/>
    <x v="0"/>
    <x v="0"/>
    <x v="0"/>
    <x v="0"/>
    <x v="0"/>
    <x v="0"/>
    <x v="0"/>
    <x v="0"/>
    <x v="0"/>
    <x v="0"/>
    <x v="2"/>
    <x v="0"/>
    <x v="0"/>
    <x v="0"/>
    <x v="0"/>
    <x v="0"/>
    <x v="0"/>
    <x v="0"/>
    <x v="0"/>
    <x v="0"/>
    <x v="0"/>
    <x v="0"/>
    <x v="1"/>
    <x v="0"/>
    <x v="0"/>
  </r>
  <r>
    <x v="8"/>
    <x v="8"/>
    <x v="2"/>
    <x v="2"/>
    <x v="2"/>
    <x v="3"/>
    <x v="0"/>
    <x v="2"/>
    <x v="2"/>
    <x v="3"/>
    <x v="2"/>
    <x v="2"/>
    <x v="2"/>
    <x v="0"/>
    <x v="0"/>
    <x v="0"/>
    <x v="0"/>
    <x v="0"/>
    <x v="0"/>
    <x v="0"/>
    <x v="0"/>
    <x v="0"/>
    <x v="2"/>
    <x v="3"/>
    <x v="0"/>
    <x v="0"/>
    <x v="0"/>
    <x v="0"/>
    <x v="0"/>
    <x v="0"/>
    <x v="0"/>
    <x v="0"/>
    <x v="0"/>
    <x v="0"/>
    <x v="1"/>
    <x v="3"/>
    <x v="0"/>
  </r>
  <r>
    <x v="9"/>
    <x v="9"/>
    <x v="3"/>
    <x v="4"/>
    <x v="4"/>
    <x v="0"/>
    <x v="0"/>
    <x v="0"/>
    <x v="0"/>
    <x v="0"/>
    <x v="0"/>
    <x v="0"/>
    <x v="0"/>
    <x v="0"/>
    <x v="0"/>
    <x v="0"/>
    <x v="0"/>
    <x v="0"/>
    <x v="0"/>
    <x v="0"/>
    <x v="0"/>
    <x v="0"/>
    <x v="3"/>
    <x v="0"/>
    <x v="0"/>
    <x v="0"/>
    <x v="0"/>
    <x v="0"/>
    <x v="0"/>
    <x v="0"/>
    <x v="0"/>
    <x v="0"/>
    <x v="0"/>
    <x v="0"/>
    <x v="1"/>
    <x v="0"/>
    <x v="0"/>
  </r>
  <r>
    <x v="10"/>
    <x v="10"/>
    <x v="3"/>
    <x v="2"/>
    <x v="2"/>
    <x v="4"/>
    <x v="0"/>
    <x v="3"/>
    <x v="2"/>
    <x v="4"/>
    <x v="2"/>
    <x v="3"/>
    <x v="3"/>
    <x v="0"/>
    <x v="0"/>
    <x v="0"/>
    <x v="0"/>
    <x v="0"/>
    <x v="0"/>
    <x v="0"/>
    <x v="0"/>
    <x v="0"/>
    <x v="3"/>
    <x v="4"/>
    <x v="0"/>
    <x v="0"/>
    <x v="0"/>
    <x v="0"/>
    <x v="0"/>
    <x v="0"/>
    <x v="0"/>
    <x v="0"/>
    <x v="0"/>
    <x v="0"/>
    <x v="1"/>
    <x v="4"/>
    <x v="0"/>
  </r>
  <r>
    <x v="11"/>
    <x v="11"/>
    <x v="4"/>
    <x v="5"/>
    <x v="5"/>
    <x v="3"/>
    <x v="0"/>
    <x v="2"/>
    <x v="2"/>
    <x v="3"/>
    <x v="2"/>
    <x v="2"/>
    <x v="2"/>
    <x v="0"/>
    <x v="0"/>
    <x v="0"/>
    <x v="0"/>
    <x v="0"/>
    <x v="0"/>
    <x v="0"/>
    <x v="0"/>
    <x v="0"/>
    <x v="4"/>
    <x v="3"/>
    <x v="0"/>
    <x v="0"/>
    <x v="0"/>
    <x v="0"/>
    <x v="0"/>
    <x v="0"/>
    <x v="0"/>
    <x v="0"/>
    <x v="0"/>
    <x v="0"/>
    <x v="1"/>
    <x v="3"/>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x v="0"/>
    <s v="Base III"/>
    <d v="2021-03-22T00:00:00"/>
    <d v="1899-12-30T08:30:00"/>
    <d v="1899-12-30T00:00:00"/>
    <d v="1899-12-30T02:00:00"/>
    <d v="1899-12-30T00:45:00"/>
    <d v="1899-12-30T01:30:00"/>
    <d v="1899-12-30T00:45:00"/>
    <d v="1899-12-30T02:15:00"/>
    <d v="1899-12-30T01:15:00"/>
    <e v="#N/A"/>
    <x v="0"/>
    <x v="0"/>
    <x v="0"/>
    <x v="0"/>
    <x v="0"/>
    <x v="0"/>
    <x v="0"/>
    <x v="0"/>
    <x v="0"/>
    <n v="0.35416666666666669"/>
    <e v="#N/A"/>
    <m/>
    <m/>
    <m/>
    <e v="#N/A"/>
    <e v="#N/A"/>
    <e v="#N/A"/>
    <e v="#N/A"/>
    <e v="#N/A"/>
    <e v="#N/A"/>
    <n v="0.4375"/>
    <n v="0.35416666666666669"/>
    <e v="#N/A"/>
  </r>
  <r>
    <n v="2"/>
    <x v="1"/>
    <x v="1"/>
    <s v="Build I"/>
    <d v="2021-03-29T00:00:00"/>
    <d v="1899-12-30T10:00:00"/>
    <d v="1899-12-30T00:00:00"/>
    <d v="1899-12-30T02:15:00"/>
    <d v="1899-12-30T01:00:00"/>
    <d v="1899-12-30T01:45:00"/>
    <d v="1899-12-30T01:00:00"/>
    <d v="1899-12-30T02:30:00"/>
    <d v="1899-12-30T01:30:00"/>
    <e v="#N/A"/>
    <x v="0"/>
    <x v="0"/>
    <x v="0"/>
    <x v="0"/>
    <x v="0"/>
    <x v="0"/>
    <x v="0"/>
    <x v="0"/>
    <x v="1"/>
    <n v="0.41666666666666663"/>
    <e v="#N/A"/>
    <m/>
    <m/>
    <m/>
    <e v="#N/A"/>
    <e v="#N/A"/>
    <e v="#N/A"/>
    <e v="#N/A"/>
    <e v="#N/A"/>
    <e v="#N/A"/>
    <n v="-1"/>
    <n v="0.41666666666666663"/>
    <e v="#N/A"/>
  </r>
  <r>
    <n v="3"/>
    <x v="2"/>
    <x v="1"/>
    <m/>
    <m/>
    <d v="1899-12-30T10:00:00"/>
    <d v="1899-12-30T00:00:00"/>
    <d v="1899-12-30T02:15:00"/>
    <d v="1899-12-30T01:00:00"/>
    <d v="1899-12-30T01:45:00"/>
    <d v="1899-12-30T01:00:00"/>
    <d v="1899-12-30T02:30:00"/>
    <d v="1899-12-30T01:30:00"/>
    <e v="#N/A"/>
    <x v="0"/>
    <x v="0"/>
    <x v="0"/>
    <x v="0"/>
    <x v="0"/>
    <x v="0"/>
    <x v="0"/>
    <x v="0"/>
    <x v="1"/>
    <n v="0.41666666666666663"/>
    <e v="#N/A"/>
    <m/>
    <m/>
    <m/>
    <e v="#N/A"/>
    <e v="#N/A"/>
    <e v="#N/A"/>
    <e v="#N/A"/>
    <e v="#N/A"/>
    <e v="#N/A"/>
    <n v="-1"/>
    <n v="0.41666666666666663"/>
    <e v="#N/A"/>
  </r>
  <r>
    <n v="4"/>
    <x v="3"/>
    <x v="1"/>
    <m/>
    <m/>
    <d v="1899-12-30T10:00:00"/>
    <d v="1899-12-30T00:00:00"/>
    <d v="1899-12-30T02:15:00"/>
    <d v="1899-12-30T01:00:00"/>
    <d v="1899-12-30T01:45:00"/>
    <d v="1899-12-30T01:00:00"/>
    <d v="1899-12-30T02:30:00"/>
    <d v="1899-12-30T01:30:00"/>
    <e v="#N/A"/>
    <x v="0"/>
    <x v="0"/>
    <x v="0"/>
    <x v="0"/>
    <x v="0"/>
    <x v="0"/>
    <x v="0"/>
    <x v="0"/>
    <x v="1"/>
    <n v="0.41666666666666663"/>
    <e v="#N/A"/>
    <m/>
    <m/>
    <m/>
    <e v="#N/A"/>
    <e v="#N/A"/>
    <e v="#N/A"/>
    <e v="#N/A"/>
    <e v="#N/A"/>
    <e v="#N/A"/>
    <n v="-1"/>
    <n v="0.41666666666666663"/>
    <e v="#N/A"/>
  </r>
  <r>
    <n v="5"/>
    <x v="4"/>
    <x v="1"/>
    <m/>
    <m/>
    <d v="1899-12-30T05:00:00"/>
    <d v="1899-12-30T00:00:00"/>
    <d v="1899-12-30T01:00:00"/>
    <d v="1899-12-30T00:30:00"/>
    <d v="1899-12-30T01:00:00"/>
    <d v="1899-12-30T00:30:00"/>
    <d v="1899-12-30T01:15:00"/>
    <d v="1899-12-30T00:45:00"/>
    <e v="#N/A"/>
    <x v="0"/>
    <x v="0"/>
    <x v="0"/>
    <x v="0"/>
    <x v="0"/>
    <x v="0"/>
    <x v="0"/>
    <x v="0"/>
    <x v="1"/>
    <n v="0.20833333333333331"/>
    <e v="#N/A"/>
    <m/>
    <m/>
    <m/>
    <e v="#N/A"/>
    <e v="#N/A"/>
    <e v="#N/A"/>
    <e v="#N/A"/>
    <e v="#N/A"/>
    <e v="#N/A"/>
    <n v="-1"/>
    <n v="0.20833333333333331"/>
    <e v="#N/A"/>
  </r>
  <r>
    <n v="6"/>
    <x v="5"/>
    <x v="2"/>
    <s v="Build II"/>
    <d v="2021-04-26T00:00:00"/>
    <d v="1899-12-30T08:30:00"/>
    <d v="1899-12-30T00:00:00"/>
    <d v="1899-12-30T02:00:00"/>
    <d v="1899-12-30T00:45:00"/>
    <d v="1899-12-30T01:30:00"/>
    <d v="1899-12-30T00:45:00"/>
    <d v="1899-12-30T02:15:00"/>
    <d v="1899-12-30T01:15:00"/>
    <e v="#N/A"/>
    <x v="0"/>
    <x v="0"/>
    <x v="0"/>
    <x v="0"/>
    <x v="0"/>
    <x v="0"/>
    <x v="0"/>
    <x v="0"/>
    <x v="2"/>
    <n v="0.35416666666666669"/>
    <e v="#N/A"/>
    <m/>
    <m/>
    <m/>
    <e v="#N/A"/>
    <e v="#N/A"/>
    <e v="#N/A"/>
    <e v="#N/A"/>
    <e v="#N/A"/>
    <e v="#N/A"/>
    <n v="-1"/>
    <n v="0.35416666666666669"/>
    <e v="#N/A"/>
  </r>
  <r>
    <n v="7"/>
    <x v="6"/>
    <x v="2"/>
    <m/>
    <m/>
    <d v="1899-12-30T08:30:00"/>
    <d v="1899-12-30T00:00:00"/>
    <d v="1899-12-30T02:00:00"/>
    <d v="1899-12-30T00:45:00"/>
    <d v="1899-12-30T01:30:00"/>
    <d v="1899-12-30T00:45:00"/>
    <d v="1899-12-30T02:15:00"/>
    <d v="1899-12-30T01:15:00"/>
    <e v="#N/A"/>
    <x v="0"/>
    <x v="0"/>
    <x v="0"/>
    <x v="0"/>
    <x v="0"/>
    <x v="0"/>
    <x v="0"/>
    <x v="0"/>
    <x v="2"/>
    <n v="0.35416666666666669"/>
    <e v="#N/A"/>
    <m/>
    <m/>
    <m/>
    <e v="#N/A"/>
    <e v="#N/A"/>
    <e v="#N/A"/>
    <e v="#N/A"/>
    <e v="#N/A"/>
    <e v="#N/A"/>
    <n v="-1"/>
    <n v="0.35416666666666669"/>
    <e v="#N/A"/>
  </r>
  <r>
    <n v="8"/>
    <x v="7"/>
    <x v="2"/>
    <m/>
    <m/>
    <d v="1899-12-30T08:30:00"/>
    <d v="1899-12-30T00:00:00"/>
    <d v="1899-12-30T02:00:00"/>
    <d v="1899-12-30T00:45:00"/>
    <d v="1899-12-30T01:30:00"/>
    <d v="1899-12-30T00:45:00"/>
    <d v="1899-12-30T02:15:00"/>
    <d v="1899-12-30T01:15:00"/>
    <e v="#N/A"/>
    <x v="0"/>
    <x v="0"/>
    <x v="0"/>
    <x v="0"/>
    <x v="0"/>
    <x v="0"/>
    <x v="0"/>
    <x v="0"/>
    <x v="2"/>
    <n v="0.35416666666666669"/>
    <e v="#N/A"/>
    <m/>
    <m/>
    <m/>
    <e v="#N/A"/>
    <e v="#N/A"/>
    <e v="#N/A"/>
    <e v="#N/A"/>
    <e v="#N/A"/>
    <e v="#N/A"/>
    <n v="-1"/>
    <n v="0.35416666666666669"/>
    <e v="#N/A"/>
  </r>
  <r>
    <n v="9"/>
    <x v="8"/>
    <x v="2"/>
    <m/>
    <m/>
    <d v="1899-12-30T04:45:00"/>
    <d v="1899-12-30T00:00:00"/>
    <d v="1899-12-30T01:00:00"/>
    <d v="1899-12-30T00:30:00"/>
    <d v="1899-12-30T00:45:00"/>
    <d v="1899-12-30T00:30:00"/>
    <d v="1899-12-30T01:15:00"/>
    <d v="1899-12-30T00:45:00"/>
    <e v="#N/A"/>
    <x v="0"/>
    <x v="0"/>
    <x v="0"/>
    <x v="0"/>
    <x v="0"/>
    <x v="0"/>
    <x v="0"/>
    <x v="0"/>
    <x v="2"/>
    <n v="0.19791666666666666"/>
    <e v="#N/A"/>
    <m/>
    <m/>
    <m/>
    <e v="#N/A"/>
    <e v="#N/A"/>
    <e v="#N/A"/>
    <e v="#N/A"/>
    <e v="#N/A"/>
    <e v="#N/A"/>
    <n v="-1"/>
    <n v="0.19791666666666666"/>
    <e v="#N/A"/>
  </r>
  <r>
    <n v="10"/>
    <x v="9"/>
    <x v="3"/>
    <s v="Peak"/>
    <d v="2021-05-24T00:00:00"/>
    <d v="1899-12-30T08:30:00"/>
    <d v="1899-12-30T00:00:00"/>
    <d v="1899-12-30T02:00:00"/>
    <d v="1899-12-30T00:45:00"/>
    <d v="1899-12-30T01:30:00"/>
    <d v="1899-12-30T00:45:00"/>
    <d v="1899-12-30T02:15:00"/>
    <d v="1899-12-30T01:15:00"/>
    <e v="#N/A"/>
    <x v="0"/>
    <x v="0"/>
    <x v="0"/>
    <x v="0"/>
    <x v="0"/>
    <x v="0"/>
    <x v="0"/>
    <x v="0"/>
    <x v="3"/>
    <n v="0.35416666666666669"/>
    <e v="#N/A"/>
    <m/>
    <m/>
    <m/>
    <e v="#N/A"/>
    <e v="#N/A"/>
    <e v="#N/A"/>
    <e v="#N/A"/>
    <e v="#N/A"/>
    <e v="#N/A"/>
    <n v="-1"/>
    <n v="0.35416666666666669"/>
    <e v="#N/A"/>
  </r>
  <r>
    <n v="11"/>
    <x v="10"/>
    <x v="3"/>
    <m/>
    <m/>
    <d v="1899-12-30T06:15:00"/>
    <d v="1899-12-30T00:00:00"/>
    <d v="1899-12-30T01:15:00"/>
    <d v="1899-12-30T00:30:00"/>
    <d v="1899-12-30T01:15:00"/>
    <d v="1899-12-30T00:30:00"/>
    <d v="1899-12-30T01:45:00"/>
    <d v="1899-12-30T01:00:00"/>
    <e v="#N/A"/>
    <x v="0"/>
    <x v="0"/>
    <x v="0"/>
    <x v="0"/>
    <x v="0"/>
    <x v="0"/>
    <x v="0"/>
    <x v="0"/>
    <x v="3"/>
    <n v="0.26041666666666669"/>
    <e v="#N/A"/>
    <m/>
    <m/>
    <m/>
    <e v="#N/A"/>
    <e v="#N/A"/>
    <e v="#N/A"/>
    <e v="#N/A"/>
    <e v="#N/A"/>
    <e v="#N/A"/>
    <n v="-1"/>
    <n v="0.26041666666666669"/>
    <e v="#N/A"/>
  </r>
  <r>
    <n v="12"/>
    <x v="11"/>
    <x v="4"/>
    <s v="Race"/>
    <d v="2021-06-07T00:00:00"/>
    <d v="1899-12-30T04:45:00"/>
    <d v="1899-12-30T00:00:00"/>
    <d v="1899-12-30T01:00:00"/>
    <d v="1899-12-30T00:30:00"/>
    <d v="1899-12-30T00:45:00"/>
    <d v="1899-12-30T00:30:00"/>
    <d v="1899-12-30T01:15:00"/>
    <d v="1899-12-30T00:45:00"/>
    <e v="#N/A"/>
    <x v="0"/>
    <x v="0"/>
    <x v="0"/>
    <x v="0"/>
    <x v="0"/>
    <x v="0"/>
    <x v="0"/>
    <x v="0"/>
    <x v="4"/>
    <n v="0.19791666666666666"/>
    <e v="#N/A"/>
    <m/>
    <m/>
    <m/>
    <e v="#N/A"/>
    <e v="#N/A"/>
    <e v="#N/A"/>
    <e v="#N/A"/>
    <e v="#N/A"/>
    <e v="#N/A"/>
    <n v="-1"/>
    <n v="0.19791666666666666"/>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3D1A70-1DAD-4748-B5B7-EF83D2AC90CB}" name="PivotAnalytics4" cacheId="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5">
  <location ref="A1:B3" firstHeaderRow="1" firstDataRow="1" firstDataCol="1"/>
  <pivotFields count="23">
    <pivotField axis="axisRow" numFmtId="168" showAll="0" defaultSubtotal="0">
      <items count="1">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Items count="1">
    <i/>
  </colItems>
  <dataFields count="1">
    <dataField name="Average of Cal/hour" fld="11" subtotal="average" baseField="0" baseItem="0" numFmtId="1"/>
  </dataFields>
  <chartFormats count="1">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19C0FA-35AB-48F7-A82B-156C481BA2BA}" name="PivotAnalytics" cacheId="1"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location ref="A1:H3" firstHeaderRow="1" firstDataRow="2" firstDataCol="1"/>
  <pivotFields count="23">
    <pivotField axis="axisRow" numFmtId="168" showAll="0"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dataField="1" showAll="0" defaultSubtotal="0"/>
    <pivotField dataField="1" showAll="0" defaultSubtotal="0"/>
    <pivotField dataField="1" numFmtId="190"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1">
    <i t="grand">
      <x/>
    </i>
  </rowItems>
  <colFields count="1">
    <field x="-2"/>
  </colFields>
  <colItems count="7">
    <i>
      <x/>
    </i>
    <i i="1">
      <x v="1"/>
    </i>
    <i i="2">
      <x v="2"/>
    </i>
    <i i="3">
      <x v="3"/>
    </i>
    <i i="4">
      <x v="4"/>
    </i>
    <i i="5">
      <x v="5"/>
    </i>
    <i i="6">
      <x v="6"/>
    </i>
  </colItems>
  <dataFields count="7">
    <dataField name="Count of Activities" fld="1" subtotal="count" baseField="0" baseItem="0" numFmtId="177"/>
    <dataField name="Sum of Activity Time" fld="3" baseField="0" baseItem="0" numFmtId="164"/>
    <dataField name="Sum of Activities" fld="1" baseField="0" baseItem="0" numFmtId="177"/>
    <dataField name="Sum of Distance" fld="2" baseField="0" baseItem="0" numFmtId="177"/>
    <dataField name="Average of Hrs/Activity" fld="12" subtotal="average" baseField="0" baseItem="0" numFmtId="164"/>
    <dataField name="Sum of Activity Calories" fld="4" baseField="0" baseItem="0" numFmtId="177"/>
    <dataField name="Sum of Elev Gain" fld="5" baseField="0" baseItem="0" numFmtId="177"/>
  </dataFields>
  <pivotTableStyleInfo showRowHeaders="1" showColHeaders="1" showRowStripes="0" showColStripes="0" showLastColumn="1"/>
  <filters count="1">
    <filter fld="0" type="dateBetween" evalOrder="-1" id="31" name="Time Period">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1FAA3F-3BA0-4F07-8F9D-498B33BCEE5E}" name="PivotAnalytics1" cacheId="1"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2">
  <location ref="A1:C3" firstHeaderRow="1" firstDataRow="2" firstDataCol="1"/>
  <pivotFields count="23">
    <pivotField axis="axisRow" numFmtId="168" showAll="0"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1">
    <i t="grand">
      <x/>
    </i>
  </rowItems>
  <colFields count="1">
    <field x="-2"/>
  </colFields>
  <colItems count="2">
    <i>
      <x/>
    </i>
    <i i="1">
      <x v="1"/>
    </i>
  </colItems>
  <dataFields count="2">
    <dataField name="Average of Heart Rate" fld="7" subtotal="average" baseField="0" baseItem="0" numFmtId="1"/>
    <dataField name="Average of Cal/hour" fld="11" subtotal="average" baseField="0" baseItem="0" numFmtId="1"/>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1">
    <filter fld="0" type="dateBetween" evalOrder="-1" id="31" name="Time Period">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EE2E92-761B-4E08-8F02-A0C4050AE162}" name="PivotAnalytics2" cacheId="1"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1">
  <location ref="A1:C3" firstHeaderRow="1" firstDataRow="2" firstDataCol="1"/>
  <pivotFields count="23">
    <pivotField axis="axisRow" numFmtId="168" showAll="0"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1">
    <i t="grand">
      <x/>
    </i>
  </rowItems>
  <colFields count="1">
    <field x="-2"/>
  </colFields>
  <colItems count="2">
    <i>
      <x/>
    </i>
    <i i="1">
      <x v="1"/>
    </i>
  </colItems>
  <dataFields count="2">
    <dataField name="Average of Bike Cadence" fld="8" subtotal="average" baseField="0" baseItem="0" numFmtId="1"/>
    <dataField name="Average of Cal/hour" fld="1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1">
    <filter fld="0" type="dateBetween" evalOrder="-1" id="31" name="Time Period">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7A3B00E-A491-4875-B826-5B985DF2E6FB}" name="PivotAnalytics3" cacheId="1"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2">
  <location ref="A1:C3" firstHeaderRow="1" firstDataRow="2" firstDataCol="1"/>
  <pivotFields count="23">
    <pivotField axis="axisRow" numFmtId="168" showAll="0"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1">
    <i t="grand">
      <x/>
    </i>
  </rowItems>
  <colFields count="1">
    <field x="-2"/>
  </colFields>
  <colItems count="2">
    <i>
      <x/>
    </i>
    <i i="1">
      <x v="1"/>
    </i>
  </colItems>
  <dataFields count="2">
    <dataField name="Average of Hrs/Activity" fld="12" subtotal="average" baseField="0" baseItem="0" numFmtId="164"/>
    <dataField name="Sum of Activity Calories" fld="4"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filters count="1">
    <filter fld="0" type="dateBetween" evalOrder="-1" id="31" name="Time Period">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F1F77C8-F1C3-41C2-B72A-01DCDF5EE645}" name="PivotPlan" cacheId="66"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P21" firstHeaderRow="1" firstDataRow="3" firstDataCol="1"/>
  <pivotFields count="37">
    <pivotField numFmtId="1" showAll="0" defaultSubtotal="0">
      <items count="12">
        <item x="0"/>
        <item x="1"/>
        <item x="2"/>
        <item x="3"/>
        <item x="4"/>
        <item x="5"/>
        <item x="6"/>
        <item x="7"/>
        <item x="8"/>
        <item x="9"/>
        <item x="10"/>
        <item x="11"/>
      </items>
    </pivotField>
    <pivotField axis="axisRow" numFmtId="188" showAll="0" defaultSubtotal="0">
      <items count="12">
        <item x="0"/>
        <item x="1"/>
        <item x="2"/>
        <item x="3"/>
        <item x="4"/>
        <item x="5"/>
        <item x="6"/>
        <item x="7"/>
        <item x="8"/>
        <item x="9"/>
        <item x="10"/>
        <item x="11"/>
      </items>
    </pivotField>
    <pivotField axis="axisRow" showAll="0" defaultSubtotal="0">
      <items count="5">
        <item x="0"/>
        <item x="1"/>
        <item x="2"/>
        <item x="3"/>
        <item x="4"/>
      </items>
    </pivotField>
    <pivotField showAll="0" defaultSubtotal="0">
      <items count="6">
        <item x="0"/>
        <item x="1"/>
        <item x="3"/>
        <item x="4"/>
        <item x="5"/>
        <item x="2"/>
      </items>
    </pivotField>
    <pivotField showAll="0" defaultSubtotal="0">
      <items count="6">
        <item x="0"/>
        <item x="1"/>
        <item x="3"/>
        <item x="4"/>
        <item x="5"/>
        <item x="2"/>
      </items>
    </pivotField>
    <pivotField numFmtId="164" showAll="0" defaultSubtotal="0">
      <items count="5">
        <item x="3"/>
        <item x="2"/>
        <item x="4"/>
        <item x="0"/>
        <item x="1"/>
      </items>
    </pivotField>
    <pivotField numFmtId="181" showAll="0" defaultSubtotal="0">
      <items count="1">
        <item x="0"/>
      </items>
    </pivotField>
    <pivotField numFmtId="181" showAll="0" defaultSubtotal="0">
      <items count="4">
        <item x="2"/>
        <item x="3"/>
        <item x="0"/>
        <item x="1"/>
      </items>
    </pivotField>
    <pivotField numFmtId="181" showAll="0" defaultSubtotal="0">
      <items count="3">
        <item x="2"/>
        <item x="0"/>
        <item x="1"/>
      </items>
    </pivotField>
    <pivotField numFmtId="181" showAll="0" defaultSubtotal="0">
      <items count="5">
        <item x="3"/>
        <item x="2"/>
        <item x="4"/>
        <item x="0"/>
        <item x="1"/>
      </items>
    </pivotField>
    <pivotField numFmtId="181" showAll="0" defaultSubtotal="0">
      <items count="3">
        <item x="2"/>
        <item x="0"/>
        <item x="1"/>
      </items>
    </pivotField>
    <pivotField numFmtId="181" showAll="0" defaultSubtotal="0">
      <items count="4">
        <item x="2"/>
        <item x="3"/>
        <item x="0"/>
        <item x="1"/>
      </items>
    </pivotField>
    <pivotField numFmtId="181" showAll="0" defaultSubtotal="0">
      <items count="4">
        <item x="2"/>
        <item x="3"/>
        <item x="0"/>
        <item x="1"/>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axis="axisCol" showAll="0" defaultSubtotal="0">
      <items count="5">
        <item x="0"/>
        <item x="1"/>
        <item x="2"/>
        <item x="3"/>
        <item x="4"/>
      </items>
    </pivotField>
    <pivotField dataField="1" numFmtId="183" showAll="0" defaultSubtotal="0">
      <items count="5">
        <item x="3"/>
        <item x="2"/>
        <item x="4"/>
        <item x="0"/>
        <item x="1"/>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dataField="1" numFmtId="166" showAll="0" defaultSubtotal="0">
      <items count="2">
        <item x="1"/>
        <item x="0"/>
      </items>
    </pivotField>
    <pivotField numFmtId="166" showAll="0" defaultSubtotal="0">
      <items count="5">
        <item x="3"/>
        <item x="2"/>
        <item x="4"/>
        <item x="0"/>
        <item x="1"/>
      </items>
    </pivotField>
    <pivotField dataField="1" showAll="0" defaultSubtotal="0">
      <items count="1">
        <item x="0"/>
      </items>
    </pivotField>
  </pivotFields>
  <rowFields count="2">
    <field x="2"/>
    <field x="1"/>
  </rowFields>
  <rowItems count="18">
    <i>
      <x/>
    </i>
    <i r="1">
      <x/>
    </i>
    <i>
      <x v="1"/>
    </i>
    <i r="1">
      <x v="1"/>
    </i>
    <i r="1">
      <x v="2"/>
    </i>
    <i r="1">
      <x v="3"/>
    </i>
    <i r="1">
      <x v="4"/>
    </i>
    <i>
      <x v="2"/>
    </i>
    <i r="1">
      <x v="5"/>
    </i>
    <i r="1">
      <x v="6"/>
    </i>
    <i r="1">
      <x v="7"/>
    </i>
    <i r="1">
      <x v="8"/>
    </i>
    <i>
      <x v="3"/>
    </i>
    <i r="1">
      <x v="9"/>
    </i>
    <i r="1">
      <x v="10"/>
    </i>
    <i>
      <x v="4"/>
    </i>
    <i r="1">
      <x v="11"/>
    </i>
    <i t="grand">
      <x/>
    </i>
  </rowItems>
  <colFields count="2">
    <field x="-2"/>
    <field x="22"/>
  </colFields>
  <colItems count="15">
    <i>
      <x/>
      <x/>
    </i>
    <i r="1">
      <x v="1"/>
    </i>
    <i r="1">
      <x v="2"/>
    </i>
    <i r="1">
      <x v="3"/>
    </i>
    <i r="1">
      <x v="4"/>
    </i>
    <i i="1">
      <x v="1"/>
      <x/>
    </i>
    <i r="1" i="1">
      <x v="1"/>
    </i>
    <i r="1" i="1">
      <x v="2"/>
    </i>
    <i r="1" i="1">
      <x v="3"/>
    </i>
    <i r="1" i="1">
      <x v="4"/>
    </i>
    <i i="2">
      <x v="2"/>
      <x/>
    </i>
    <i r="1" i="2">
      <x v="1"/>
    </i>
    <i r="1" i="2">
      <x v="2"/>
    </i>
    <i r="1" i="2">
      <x v="3"/>
    </i>
    <i r="1" i="2">
      <x v="4"/>
    </i>
  </colItems>
  <dataFields count="3">
    <dataField name="Sum of Today Week" fld="34" baseField="0" baseItem="0" numFmtId="189"/>
    <dataField name="Sum of Actual Hrs2" fld="36" baseField="0" baseItem="0" numFmtId="189"/>
    <dataField name="Sum of Plan. Hrs Chart" fld="23" baseField="0" baseItem="0" numFmtId="189"/>
  </dataFields>
  <chartFormats count="15">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0" format="2" series="1">
      <pivotArea type="data" outline="0" fieldPosition="0">
        <references count="2">
          <reference field="4294967294" count="1" selected="0">
            <x v="0"/>
          </reference>
          <reference field="22" count="1" selected="0">
            <x v="2"/>
          </reference>
        </references>
      </pivotArea>
    </chartFormat>
    <chartFormat chart="0" format="3" series="1">
      <pivotArea type="data" outline="0" fieldPosition="0">
        <references count="2">
          <reference field="4294967294" count="1" selected="0">
            <x v="0"/>
          </reference>
          <reference field="22" count="1" selected="0">
            <x v="3"/>
          </reference>
        </references>
      </pivotArea>
    </chartFormat>
    <chartFormat chart="0" format="4" series="1">
      <pivotArea type="data" outline="0" fieldPosition="0">
        <references count="2">
          <reference field="4294967294" count="1" selected="0">
            <x v="0"/>
          </reference>
          <reference field="22" count="1" selected="0">
            <x v="4"/>
          </reference>
        </references>
      </pivotArea>
    </chartFormat>
    <chartFormat chart="0" format="5" series="1">
      <pivotArea type="data" outline="0" fieldPosition="0">
        <references count="2">
          <reference field="4294967294" count="1" selected="0">
            <x v="1"/>
          </reference>
          <reference field="22" count="1" selected="0">
            <x v="0"/>
          </reference>
        </references>
      </pivotArea>
    </chartFormat>
    <chartFormat chart="0" format="6" series="1">
      <pivotArea type="data" outline="0" fieldPosition="0">
        <references count="2">
          <reference field="4294967294" count="1" selected="0">
            <x v="1"/>
          </reference>
          <reference field="22" count="1" selected="0">
            <x v="1"/>
          </reference>
        </references>
      </pivotArea>
    </chartFormat>
    <chartFormat chart="0" format="7" series="1">
      <pivotArea type="data" outline="0" fieldPosition="0">
        <references count="2">
          <reference field="4294967294" count="1" selected="0">
            <x v="1"/>
          </reference>
          <reference field="22" count="1" selected="0">
            <x v="2"/>
          </reference>
        </references>
      </pivotArea>
    </chartFormat>
    <chartFormat chart="0" format="8" series="1">
      <pivotArea type="data" outline="0" fieldPosition="0">
        <references count="2">
          <reference field="4294967294" count="1" selected="0">
            <x v="1"/>
          </reference>
          <reference field="22" count="1" selected="0">
            <x v="3"/>
          </reference>
        </references>
      </pivotArea>
    </chartFormat>
    <chartFormat chart="0" format="9" series="1">
      <pivotArea type="data" outline="0" fieldPosition="0">
        <references count="2">
          <reference field="4294967294" count="1" selected="0">
            <x v="1"/>
          </reference>
          <reference field="22" count="1" selected="0">
            <x v="4"/>
          </reference>
        </references>
      </pivotArea>
    </chartFormat>
    <chartFormat chart="0" format="10" series="1">
      <pivotArea type="data" outline="0" fieldPosition="0">
        <references count="2">
          <reference field="4294967294" count="1" selected="0">
            <x v="2"/>
          </reference>
          <reference field="22" count="1" selected="0">
            <x v="0"/>
          </reference>
        </references>
      </pivotArea>
    </chartFormat>
    <chartFormat chart="0" format="11" series="1">
      <pivotArea type="data" outline="0" fieldPosition="0">
        <references count="2">
          <reference field="4294967294" count="1" selected="0">
            <x v="2"/>
          </reference>
          <reference field="22" count="1" selected="0">
            <x v="1"/>
          </reference>
        </references>
      </pivotArea>
    </chartFormat>
    <chartFormat chart="0" format="12" series="1">
      <pivotArea type="data" outline="0" fieldPosition="0">
        <references count="2">
          <reference field="4294967294" count="1" selected="0">
            <x v="2"/>
          </reference>
          <reference field="22" count="1" selected="0">
            <x v="2"/>
          </reference>
        </references>
      </pivotArea>
    </chartFormat>
    <chartFormat chart="0" format="13" series="1">
      <pivotArea type="data" outline="0" fieldPosition="0">
        <references count="2">
          <reference field="4294967294" count="1" selected="0">
            <x v="2"/>
          </reference>
          <reference field="22" count="1" selected="0">
            <x v="3"/>
          </reference>
        </references>
      </pivotArea>
    </chartFormat>
    <chartFormat chart="0" format="14" series="1">
      <pivotArea type="data" outline="0" fieldPosition="0">
        <references count="2">
          <reference field="4294967294" count="1" selected="0">
            <x v="2"/>
          </reference>
          <reference field="22"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FBBF64-4022-4981-97D1-F9D17C2D6801}" name="PivotCal" cacheId="27"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
  <location ref="A1:D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x="4"/>
        <item m="1" x="5"/>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4"/>
    </i>
    <i r="1">
      <x v="11"/>
    </i>
    <i t="grand">
      <x/>
    </i>
  </rowItems>
  <colFields count="1">
    <field x="-2"/>
  </colFields>
  <colItems count="3">
    <i>
      <x/>
    </i>
    <i i="1">
      <x v="1"/>
    </i>
    <i i="2">
      <x v="2"/>
    </i>
  </colItems>
  <dataFields count="3">
    <dataField name="Sum of Cal." fld="14" baseField="0" baseItem="0" numFmtId="177"/>
    <dataField name="Sum of Cal. Goal Chart" fld="24" baseField="0" baseItem="0" numFmtId="177"/>
    <dataField name="Sum of Cal/hour" fld="33" baseField="0" baseItem="0" numFmtId="186"/>
  </dataField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BFC8E54-B91D-4BF9-98F2-86B7E32ACE30}" name="PivotSpeed" cacheId="27"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x="4"/>
        <item m="1" x="5"/>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4"/>
    </i>
    <i r="1">
      <x v="11"/>
    </i>
    <i t="grand">
      <x/>
    </i>
  </rowItems>
  <colFields count="1">
    <field x="-2"/>
  </colFields>
  <colItems count="2">
    <i>
      <x/>
    </i>
    <i i="1">
      <x v="1"/>
    </i>
  </colItems>
  <dataFields count="2">
    <dataField name="Sum of Speed" fld="29" baseField="0" baseItem="0" numFmtId="166"/>
    <dataField name="Sum of Climber Index" fld="32"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97C241-942F-4CEC-9EE4-C953A74BA097}" name="PivotWeight" cacheId="27"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x="4"/>
        <item m="1" x="5"/>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dataField="1"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4"/>
    </i>
    <i r="1">
      <x v="11"/>
    </i>
    <i t="grand">
      <x/>
    </i>
  </rowItems>
  <colFields count="1">
    <field x="-2"/>
  </colFields>
  <colItems count="2">
    <i>
      <x/>
    </i>
    <i i="1">
      <x v="1"/>
    </i>
  </colItems>
  <dataFields count="2">
    <dataField name="Sum of Weight" fld="18" baseField="0" baseItem="0" numFmtId="166"/>
    <dataField name="Sum of HR" fld="20"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765FD8E-0C10-4DC5-AE71-472054D36C58}" name="PivotAddWeight" cacheId="0" applyNumberFormats="0" applyBorderFormats="0" applyFontFormats="0" applyPatternFormats="0" applyAlignmentFormats="0" applyWidthHeightFormats="1" dataCaption="Values" updatedVersion="6" minRefreshableVersion="3" showCalcMbrs="0" rowGrandTotals="0" colGrandTotals="0" itemPrintTitles="1" createdVersion="3" indent="0" outline="1" outlineData="1" multipleFieldFilters="0" chartFormat="1">
  <location ref="A1:B3" firstHeaderRow="1" firstDataRow="2" firstDataCol="1"/>
  <pivotFields count="5">
    <pivotField axis="axisRow" showAll="0" sortType="ascending" defaultSubtotal="0">
      <items count="14">
        <item sd="0" x="1"/>
        <item sd="0" x="2"/>
        <item sd="0" x="3"/>
        <item sd="0" x="4"/>
        <item sd="0" x="5"/>
        <item sd="0" x="6"/>
        <item sd="0" x="7"/>
        <item sd="0" x="8"/>
        <item sd="0" x="9"/>
        <item sd="0" x="10"/>
        <item sd="0" x="11"/>
        <item sd="0" x="12"/>
        <item sd="0" x="0"/>
        <item sd="0" x="13"/>
      </items>
    </pivotField>
    <pivotField dataField="1" showAll="0" defaultSubtotal="0"/>
    <pivotField showAll="0" defaultSubtotal="0"/>
    <pivotField axis="axisRow" showAll="0" defaultSubtotal="0">
      <items count="2">
        <item x="0"/>
        <item x="1"/>
      </items>
    </pivotField>
    <pivotField axis="axisCol" showAll="0">
      <items count="4">
        <item x="1"/>
        <item h="1" x="2"/>
        <item h="1" x="0"/>
        <item t="default"/>
      </items>
    </pivotField>
  </pivotFields>
  <rowFields count="2">
    <field x="0"/>
    <field x="3"/>
  </rowFields>
  <rowItems count="1">
    <i>
      <x v="2"/>
    </i>
  </rowItems>
  <colFields count="1">
    <field x="4"/>
  </colFields>
  <colItems count="1">
    <i>
      <x/>
    </i>
  </colItems>
  <dataFields count="1">
    <dataField name="Average of lb" fld="1" subtotal="average" baseField="0" baseItem="0" numFmtId="186"/>
  </dataFields>
  <chartFormats count="3">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2"/>
          </reference>
        </references>
      </pivotArea>
    </chartFormat>
    <chartFormat chart="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3ED11A0-2DC6-43B7-A76D-909C2D1ED778}" name="PivotWeightTarget" cacheId="79"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h="1" m="1" x="5"/>
        <item x="3"/>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dataField="1" showAll="0" defaultSubtotal="0">
      <items count="1">
        <item x="0"/>
      </items>
    </pivotField>
    <pivotField showAll="0" defaultSubtotal="0"/>
    <pivotField showAll="0" defaultSubtotal="0"/>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4"/>
    </i>
    <i r="1">
      <x v="9"/>
    </i>
    <i r="1">
      <x v="10"/>
    </i>
    <i>
      <x v="5"/>
    </i>
    <i r="1">
      <x v="11"/>
    </i>
    <i t="grand">
      <x/>
    </i>
  </rowItems>
  <colFields count="1">
    <field x="-2"/>
  </colFields>
  <colItems count="2">
    <i>
      <x/>
    </i>
    <i i="1">
      <x v="1"/>
    </i>
  </colItems>
  <dataFields count="2">
    <dataField name="Sum of Weight" fld="18" baseField="0" baseItem="0" numFmtId="166"/>
    <dataField name="Sum of Weight Goal" fld="19" baseField="0" baseItem="0" numFmtId="166"/>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1ABA211-21CD-4C61-8EE4-A367784E5753}" name="PivotCalTarget" cacheId="79"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h="1" m="1" x="5"/>
        <item x="3"/>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1"/>
        <item x="2"/>
        <item x="3"/>
        <item x="4"/>
      </items>
    </pivotField>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4"/>
    </i>
    <i r="1">
      <x v="9"/>
    </i>
    <i r="1">
      <x v="10"/>
    </i>
    <i>
      <x v="5"/>
    </i>
    <i r="1">
      <x v="11"/>
    </i>
    <i t="grand">
      <x/>
    </i>
  </rowItems>
  <colFields count="1">
    <field x="-2"/>
  </colFields>
  <colItems count="2">
    <i>
      <x/>
    </i>
    <i i="1">
      <x v="1"/>
    </i>
  </colItems>
  <dataFields count="2">
    <dataField name="Sum of Cal." fld="14" baseField="0" baseItem="0" numFmtId="177"/>
    <dataField name="Sum of Cal. Goal Chart" fld="24"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358A29-47EE-4769-8B7E-AB61EE0297AA}" name="PivotHRTarget" cacheId="79"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h="1" m="1" x="5"/>
        <item x="3"/>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dataField="1" showAll="0" defaultSubtotal="0">
      <items count="1">
        <item x="0"/>
      </items>
    </pivotField>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4"/>
    </i>
    <i r="1">
      <x v="9"/>
    </i>
    <i r="1">
      <x v="10"/>
    </i>
    <i>
      <x v="5"/>
    </i>
    <i r="1">
      <x v="11"/>
    </i>
    <i t="grand">
      <x/>
    </i>
  </rowItems>
  <colFields count="1">
    <field x="-2"/>
  </colFields>
  <colItems count="2">
    <i>
      <x/>
    </i>
    <i i="1">
      <x v="1"/>
    </i>
  </colItems>
  <dataFields count="2">
    <dataField name="Sum of HR" fld="20" baseField="0" baseItem="0" numFmtId="177"/>
    <dataField name="Sum of HR Goal" fld="21"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B279410-6DB8-413A-829B-84CAF2D18769}" name="PivotPowerTarget" cacheId="79"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h="1" m="1" x="5"/>
        <item x="3"/>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dataField="1" showAll="0" defaultSubtotal="0">
      <items count="1">
        <item x="0"/>
      </items>
    </pivotField>
    <pivotField dataField="1" showAll="0" defaultSubtotal="0">
      <items count="1">
        <item x="0"/>
      </items>
    </pivotField>
    <pivotField showAll="0" defaultSubtotal="0"/>
    <pivotField showAll="0" defaultSubtotal="0"/>
    <pivotField showAll="0" defaultSubtotal="0"/>
    <pivotField showAll="0" defaultSubtotal="0"/>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4"/>
    </i>
    <i r="1">
      <x v="9"/>
    </i>
    <i r="1">
      <x v="10"/>
    </i>
    <i>
      <x v="5"/>
    </i>
    <i r="1">
      <x v="11"/>
    </i>
    <i t="grand">
      <x/>
    </i>
  </rowItems>
  <colFields count="1">
    <field x="-2"/>
  </colFields>
  <colItems count="2">
    <i>
      <x/>
    </i>
    <i i="1">
      <x v="1"/>
    </i>
  </colItems>
  <dataFields count="2">
    <dataField name="Sum of Power" fld="16" baseField="0" baseItem="0" numFmtId="177"/>
    <dataField name="Sum of Power Goal" fld="17"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1" xr16:uid="{29374EFC-9AC4-4CED-958C-DCDCD4C1446E}" autoFormatId="16" applyNumberFormats="0" applyBorderFormats="0" applyFontFormats="0" applyPatternFormats="0" applyAlignmentFormats="0" applyWidthHeightFormats="0">
  <queryTableRefresh nextId="22">
    <queryTableFields count="8">
      <queryTableField id="18" name="Date" tableColumnId="10"/>
      <queryTableField id="19" name="Event" tableColumnId="11"/>
      <queryTableField id="12" name="City / Venue" tableColumnId="4"/>
      <queryTableField id="13" name="State" tableColumnId="5"/>
      <queryTableField id="14" name="Country" tableColumnId="6"/>
      <queryTableField id="15" name="Category" tableColumnId="7"/>
      <queryTableField id="16" name="Class" tableColumnId="8"/>
      <queryTableField id="17" name="Website" tableColumnId="9"/>
    </queryTableFields>
    <queryTableDeletedFields count="2">
      <deletedField name="Date"/>
      <deletedField name="Event"/>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5" xr16:uid="{6ACCE07A-1AA8-4D79-B660-D986A87DB771}" autoFormatId="16" applyNumberFormats="0" applyBorderFormats="0" applyFontFormats="0" applyPatternFormats="0" applyAlignmentFormats="0" applyWidthHeightFormats="0">
  <queryTableRefresh nextId="6">
    <queryTableFields count="4">
      <queryTableField id="1" name="Date" tableColumnId="1"/>
      <queryTableField id="2" name="Event" tableColumnId="2"/>
      <queryTableField id="3" name="City / Venue" tableColumnId="3"/>
      <queryTableField id="4" name="State"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9" xr16:uid="{B9786FDB-475D-4D14-B210-8C2587AADAA6}" autoFormatId="16" applyNumberFormats="0" applyBorderFormats="0" applyFontFormats="0" applyPatternFormats="0" applyAlignmentFormats="0" applyWidthHeightFormats="0">
  <queryTableRefresh nextId="49">
    <queryTableFields count="23">
      <queryTableField id="47" name="Time Period" tableColumnId="1"/>
      <queryTableField id="2" name="Activities" tableColumnId="2"/>
      <queryTableField id="29" name="Distance" tableColumnId="3"/>
      <queryTableField id="30" name="Activity Time" tableColumnId="4"/>
      <queryTableField id="5" name="Activity Calories" tableColumnId="5"/>
      <queryTableField id="31" name="Elev Gain" tableColumnId="6"/>
      <queryTableField id="32" name="Speed" tableColumnId="7"/>
      <queryTableField id="33" name="Heart Rate" tableColumnId="8"/>
      <queryTableField id="34" name="Bike Cadence" tableColumnId="9"/>
      <queryTableField id="35" name="Power" tableColumnId="10"/>
      <queryTableField id="11" name="Climber Index" tableColumnId="11"/>
      <queryTableField id="45" name="Cal/hour" tableColumnId="12"/>
      <queryTableField id="36" name="Hrs/Activity" tableColumnId="21"/>
      <queryTableField id="13" name="Distance Unit" tableColumnId="13"/>
      <queryTableField id="14" name="Time Unit" tableColumnId="14"/>
      <queryTableField id="15" name="Calories Unit" tableColumnId="15"/>
      <queryTableField id="16" name="Elevation Unit" tableColumnId="16"/>
      <queryTableField id="17" name="Speed Unit" tableColumnId="17"/>
      <queryTableField id="18" name="Heart Rate Unit" tableColumnId="18"/>
      <queryTableField id="19" name="Cadence Unit" tableColumnId="19"/>
      <queryTableField id="20" name="Power Unit" tableColumnId="20"/>
      <queryTableField id="25" name="WeightTable.lb" tableColumnId="23"/>
      <queryTableField id="26" name="WeightTable.kg" tableColumnId="24"/>
    </queryTableFields>
    <queryTableDeletedFields count="1">
      <deletedField name="Time Period"/>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headers="0" growShrinkType="overwriteClear" adjustColumnWidth="0" connectionId="4" xr16:uid="{5E84949E-6AC6-4DFD-8713-3058CA113088}" autoFormatId="16" applyNumberFormats="0" applyBorderFormats="0" applyFontFormats="0" applyPatternFormats="0" applyAlignmentFormats="0" applyWidthHeightFormats="0">
  <queryTableRefresh headersInLastRefresh="0" nextId="3">
    <queryTableFields count="2">
      <queryTableField id="1" name="Event Date" tableColumnId="1"/>
      <queryTableField id="2" name="Event"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YearsSlicerPivotAddWeightCache" xr10:uid="{A9CE78EF-52EA-4A58-BB42-739102611A32}" sourceName="Years">
  <pivotTables>
    <pivotTable tabId="35" name="PivotAddWeight"/>
  </pivotTables>
  <data>
    <tabular pivotCacheId="2094412428" sortOrder="descending">
      <items count="3">
        <i x="1" s="1"/>
        <i x="2" nd="1"/>
        <i x="0"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SlicerPivotAddWeight" xr10:uid="{44924C24-EFA5-4415-AA13-67E61C09B095}" cache="YearsSlicerPivotAddWeightCache" caption="Year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D82C26-C14E-4929-B24F-F5FEAB675A04}" name="EventsTable" displayName="EventsTable" ref="B4:I14" totalsRowShown="0" headerRowDxfId="233" dataDxfId="232" dataCellStyle="Normal">
  <autoFilter ref="B4:I14" xr:uid="{9358D935-89AC-4CA9-BA98-E8B8D1CC32A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sortState xmlns:xlrd2="http://schemas.microsoft.com/office/spreadsheetml/2017/richdata2" ref="B5:I14">
    <sortCondition ref="B5:B14"/>
  </sortState>
  <tableColumns count="8">
    <tableColumn id="1" xr3:uid="{2349FE83-2AFF-4F09-820D-79F3EB73FF1E}" name="Date" dataDxfId="231" dataCellStyle="Normal"/>
    <tableColumn id="2" xr3:uid="{9EEFF63C-4CCF-4DB7-BE0F-7E17E12D4725}" name="Event" dataDxfId="230" dataCellStyle="Normal"/>
    <tableColumn id="3" xr3:uid="{F718BA24-D06E-4B8F-8AA7-F19FF7F47699}" name="City / Venue" dataDxfId="229" dataCellStyle="Normal"/>
    <tableColumn id="6" xr3:uid="{DA76ECE6-4BBD-4ABE-AE8C-519A1F514119}" name="State" dataDxfId="228" dataCellStyle="Normal"/>
    <tableColumn id="7" xr3:uid="{CBEB11DF-DAF5-4D5E-950D-C4CD077B6672}" name="Country" dataDxfId="227" dataCellStyle="Normal"/>
    <tableColumn id="4" xr3:uid="{CC70D4C2-8830-4559-B5E5-D3919C155908}" name="Category" dataDxfId="226" dataCellStyle="Normal"/>
    <tableColumn id="5" xr3:uid="{AD3F93EF-0EE8-41FE-B007-1587C6769881}" name="Class" dataDxfId="225" dataCellStyle="Normal"/>
    <tableColumn id="8" xr3:uid="{DBEBA898-5B0D-4155-86D3-97966108BCF3}" name="Website" dataDxfId="224" dataCellStyle="Hyperlink"/>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EC15246-30C8-4634-A7D2-53419E8EDD9E}" name="APIQuery" displayName="APIQuery" ref="B19:I36" tableType="queryTable" totalsRowShown="0" headerRowDxfId="223" dataDxfId="222">
  <autoFilter ref="B19:I36" xr:uid="{2179FD9E-0ACC-45B4-B1B5-B8E7B9A365A0}"/>
  <tableColumns count="8">
    <tableColumn id="10" xr3:uid="{D556A4EA-EF86-4741-8893-7939CDC28AF2}" uniqueName="10" name="Date" queryTableFieldId="18" dataDxfId="221"/>
    <tableColumn id="11" xr3:uid="{8F46952B-8E02-43ED-962E-7D03F1DCB990}" uniqueName="11" name="Event" queryTableFieldId="19" dataDxfId="220"/>
    <tableColumn id="4" xr3:uid="{5AD4C946-1848-427B-98B8-31AC189ADBC8}" uniqueName="4" name="City / Venue" queryTableFieldId="12" dataDxfId="219"/>
    <tableColumn id="5" xr3:uid="{B698FDF9-F26F-4072-989D-BE4704E7B1C4}" uniqueName="5" name="State" queryTableFieldId="13" dataDxfId="218"/>
    <tableColumn id="6" xr3:uid="{C7480869-D16E-4749-B3FE-E2D855EF98A9}" uniqueName="6" name="Country" queryTableFieldId="14" dataDxfId="217"/>
    <tableColumn id="7" xr3:uid="{93CFEFB9-B53A-4D02-B4DE-866BC225518D}" uniqueName="7" name="Category" queryTableFieldId="15" dataDxfId="216"/>
    <tableColumn id="8" xr3:uid="{8FF73A55-B1C9-4C20-BBC1-88013818471F}" uniqueName="8" name="Class" queryTableFieldId="16" dataDxfId="215"/>
    <tableColumn id="9" xr3:uid="{BCCF489F-3C43-4031-85BF-2766386DA151}" uniqueName="9" name="Website" queryTableFieldId="17" dataDxfId="214" dataCellStyle="Hyperlink"/>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E080-269F-4CD3-ABE2-1BFAE1473D1E}" name="Number_of_Weeks" displayName="Number_of_Weeks" ref="B15:G23" totalsRowShown="0" headerRowDxfId="213" dataDxfId="212" tableBorderDxfId="211">
  <autoFilter ref="B15:G23" xr:uid="{075E650D-201B-4FDB-8550-9BCD56BD58B1}">
    <filterColumn colId="0" hiddenButton="1"/>
    <filterColumn colId="1" hiddenButton="1"/>
    <filterColumn colId="2" hiddenButton="1"/>
    <filterColumn colId="3" hiddenButton="1"/>
    <filterColumn colId="4" hiddenButton="1"/>
    <filterColumn colId="5" hiddenButton="1"/>
  </autoFilter>
  <tableColumns count="6">
    <tableColumn id="1" xr3:uid="{DACD52A0-0510-4C1C-A4B1-6503D43A481C}" name="Period" dataDxfId="210"/>
    <tableColumn id="2" xr3:uid="{DF496C7B-34DA-4E35-B43C-6F6775F5D0F4}" name="Max" dataDxfId="209"/>
    <tableColumn id="3" xr3:uid="{509F0D67-4B4F-4221-B65B-933E512F4220}" name="B1" dataDxfId="208">
      <calculatedColumnFormula>IF(Number_of_Weeks[[#This Row],[Max]]&lt;Number_of_Weeks[[#This Row],[Min]],0,1)</calculatedColumnFormula>
    </tableColumn>
    <tableColumn id="4" xr3:uid="{97BC7F30-990B-45E0-9543-75524FE43CD6}" name="Min" dataDxfId="207"/>
    <tableColumn id="5" xr3:uid="{A247870F-0F97-409E-A878-DC8A02D7B83A}" name="B2" dataDxfId="206">
      <calculatedColumnFormula>IF(Number_of_Weeks[[#This Row],[Max]]&lt;Number_of_Weeks[[#This Row],[Min]],0,1)</calculatedColumnFormula>
    </tableColumn>
    <tableColumn id="6" xr3:uid="{E7A12764-FAFB-407E-BD09-5755B8826B85}" name="Plan" dataDxfId="205"/>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B124408-A52A-410F-BD38-401B7C469145}" name="FavEventsQuery" displayName="FavEventsQuery" ref="J4:M11" tableType="queryTable" totalsRowShown="0" headerRowDxfId="204" dataDxfId="203" tableBorderDxfId="202">
  <autoFilter ref="J4:M11" xr:uid="{E127C20F-48BB-435D-AFD1-48C3636A315E}">
    <filterColumn colId="0" hiddenButton="1"/>
    <filterColumn colId="1" hiddenButton="1"/>
    <filterColumn colId="2" hiddenButton="1"/>
    <filterColumn colId="3" hiddenButton="1"/>
  </autoFilter>
  <tableColumns count="4">
    <tableColumn id="1" xr3:uid="{7E75C445-2020-4E44-ADDB-2059BBE5C807}" uniqueName="1" name="Date" queryTableFieldId="1" dataDxfId="201"/>
    <tableColumn id="2" xr3:uid="{3AE78A51-8C9E-4EF1-B37C-5C1A33719275}" uniqueName="2" name="Event" queryTableFieldId="2" dataDxfId="200"/>
    <tableColumn id="3" xr3:uid="{4295A73F-AB34-4673-90A3-F7B1C908ED51}" uniqueName="3" name="City / Venue" queryTableFieldId="3" dataDxfId="199"/>
    <tableColumn id="4" xr3:uid="{55C72425-5134-475C-9935-047DFFD7993D}" uniqueName="4" name="State" queryTableFieldId="4" dataDxfId="198"/>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174F61-3107-4A85-AD6D-04D4E5530F8F}" name="Calendar" displayName="Calendar" ref="B15:AL27" insertRowShift="1" totalsRowShown="0" headerRowDxfId="1" dataDxfId="0">
  <autoFilter ref="B15:AL27" xr:uid="{B6B85CB9-0279-420A-B108-F47C88D394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5AA81DB8-A2B4-458A-B540-41407FEFE0DD}" name="Wk" dataDxfId="38"/>
    <tableColumn id="2" xr3:uid="{02B52B6E-D999-4EC4-A7F5-E165CFD79772}" name="Date" dataDxfId="37"/>
    <tableColumn id="3" xr3:uid="{73F0466E-1FA6-499A-82DA-3EA01D9F5C9D}" name="Period" dataDxfId="36"/>
    <tableColumn id="4" xr3:uid="{81DB87DA-16DD-4437-A434-1DD3D85B9BDA}" name="Event" dataDxfId="35"/>
    <tableColumn id="5" xr3:uid="{456AB2E3-5553-423B-87C9-6E1A74F7A633}" name="Event Date" dataDxfId="34"/>
    <tableColumn id="6" xr3:uid="{355CE1A0-27E0-4479-9294-A014F4F40AB4}" name="Plan. Hrs" dataDxfId="33"/>
    <tableColumn id="7" xr3:uid="{781B7779-101B-4F08-B275-4CC17CE79406}" name="Mon" dataDxfId="32"/>
    <tableColumn id="8" xr3:uid="{1A87EE8B-A1D6-4DF9-8877-38E60AECFB16}" name="Tue" dataDxfId="31"/>
    <tableColumn id="9" xr3:uid="{4C3E2176-D9B3-4033-A970-A0C32D92E17C}" name="Wed" dataDxfId="30"/>
    <tableColumn id="10" xr3:uid="{F05BB757-D766-404B-92E4-1D30B14AD658}" name="Thu" dataDxfId="29"/>
    <tableColumn id="11" xr3:uid="{07A2E170-BD34-4C61-9BE6-BB364C8971E8}" name="Fri" dataDxfId="28"/>
    <tableColumn id="12" xr3:uid="{83080F90-7D9F-4869-BEF4-B96BA118746A}" name="Sat" dataDxfId="27"/>
    <tableColumn id="13" xr3:uid="{4846C1D9-3A9F-45E7-AAE8-7D2902BCC397}" name="Sun" dataDxfId="26"/>
    <tableColumn id="14" xr3:uid="{28A96189-F656-452C-9193-18898DDAB52E}" name="Actual Hrs" dataDxfId="25"/>
    <tableColumn id="15" xr3:uid="{CD5414C9-5222-4727-9A04-67A089CBC02E}" name="Cal." dataDxfId="24"/>
    <tableColumn id="16" xr3:uid="{DE24A38B-2A49-4FFA-94F1-6C4A4B8B3979}" name="Cal. Goal" dataDxfId="23"/>
    <tableColumn id="17" xr3:uid="{A88BBC8B-F714-4D38-B26E-5EDB4F05FE17}" name="Power" dataDxfId="22"/>
    <tableColumn id="18" xr3:uid="{AAC438D0-C73B-459A-888E-3FA16427FEC3}" name="Power Goal" dataDxfId="21"/>
    <tableColumn id="19" xr3:uid="{5DEE37BC-C7A2-4F6C-AC01-F56A7F9172C5}" name="Weight" dataDxfId="20">
      <calculatedColumnFormula>IF(ISBLANK(VLOOKUP(Calendar[[#This Row],[Date]],WeightTable[],2,FALSE))=TRUE,NA(),VLOOKUP(Calendar[[#This Row],[Date]],WeightTable[],IF(WeightUnit="lb",2,3),FALSE))</calculatedColumnFormula>
    </tableColumn>
    <tableColumn id="20" xr3:uid="{6A72690E-D2E8-45AE-81D4-BBC79E758E44}" name="Weight Goal" dataDxfId="19">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1" xr3:uid="{17D4E4FC-EA68-44BF-9826-CCE6A6CB2828}" name="HR" dataDxfId="18">
      <calculatedColumnFormula>IF(ISBLANK(VLOOKUP(Calendar[[#This Row],[Date]],UploadQuery[],MATCH("Heart Rate",UploadQuery[#Headers],0),FALSE))=TRUE,NA(),VLOOKUP(Calendar[[#This Row],[Date]],UploadQuery[],MATCH("Heart Rate",UploadQuery[#Headers],0),FALSE))</calculatedColumnFormula>
    </tableColumn>
    <tableColumn id="22" xr3:uid="{0147215C-B6A4-42CF-8756-BADBD52992F4}" name="HR Goal" dataDxfId="17">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3" xr3:uid="{4F7488DB-8318-49A4-9050-B0DB44A3A855}" name="Period2" dataDxfId="16">
      <calculatedColumnFormula>Calendar[[#This Row],[Period]]</calculatedColumnFormula>
    </tableColumn>
    <tableColumn id="24" xr3:uid="{C8FC92D6-2C06-4AF7-AFE4-689FC7002F1C}" name="Plan. Hrs Chart" dataDxfId="15">
      <calculatedColumnFormula>IFERROR(IF(Calendar[[#This Row],[Plan. Hrs]]&lt;Calendar[[#This Row],[Actual Hrs]],0,Calendar[[#This Row],[Plan. Hrs]]-Calendar[[#This Row],[Actual Hrs]]),Calendar[[#This Row],[Plan. Hrs]])</calculatedColumnFormula>
    </tableColumn>
    <tableColumn id="25" xr3:uid="{99C4F3BE-BABE-4712-98B7-DC87BE84AB03}" name="Cal. Goal Chart" dataDxfId="14">
      <calculatedColumnFormula>IFERROR(IF(Calendar[[#This Row],[Cal. Goal]]&lt;Calendar[[#This Row],[Cal.]],0,Calendar[[#This Row],[Cal. Goal]]-Calendar[[#This Row],[Cal.]]),Calendar[[#This Row],[Cal. Goal]])</calculatedColumnFormula>
    </tableColumn>
    <tableColumn id="26" xr3:uid="{E912F090-37E0-4EE0-8313-72B7519B73F7}" name="HR Goal Chart" dataDxfId="13"/>
    <tableColumn id="27" xr3:uid="{64A9074C-0CC2-431E-80C1-C5CD38540B78}" name="Weight Goal Chart" dataDxfId="12"/>
    <tableColumn id="28" xr3:uid="{4292A201-2D6E-43C1-8B07-8775A0AB998F}" name="Power Goal Chart" dataDxfId="11"/>
    <tableColumn id="29" xr3:uid="{1CC17BC8-313D-4FEB-932E-21BED4260AE0}" name="BMI" dataDxfId="10">
      <calculatedColumnFormula>BMIf(Calendar[[#This Row],[Weight]],ActualHeight)</calculatedColumnFormula>
    </tableColumn>
    <tableColumn id="30" xr3:uid="{1D902CBF-A14F-46A3-8093-5A526D79EE61}" name="Speed" dataDxfId="9">
      <calculatedColumnFormula>VLOOKUP(Calendar[[#This Row],[Date]],UploadQuery[],MATCH("Speed",UploadQuery[#Headers],0),FALSE)</calculatedColumnFormula>
    </tableColumn>
    <tableColumn id="31" xr3:uid="{BF4BD567-AF21-4911-972D-21598A77ABA1}" name="Elevation" dataDxfId="8">
      <calculatedColumnFormula>VLOOKUP(Calendar[[#This Row],[Date]],UploadQuery[],MATCH("Elev Gain",UploadQuery[#Headers],0),FALSE)</calculatedColumnFormula>
    </tableColumn>
    <tableColumn id="32" xr3:uid="{F5A377C3-6DF0-468D-AC23-9416B0D8773D}" name="Distance" dataDxfId="7">
      <calculatedColumnFormula>VLOOKUP(Calendar[[#This Row],[Date]],UploadQuery[],MATCH("Distance",UploadQuery[#Headers],0),FALSE)</calculatedColumnFormula>
    </tableColumn>
    <tableColumn id="33" xr3:uid="{F948A0CA-2D4F-4836-ACF5-69106DA890DC}" name="Climber Index" dataDxfId="6">
      <calculatedColumnFormula>VLOOKUP(Calendar[[#This Row],[Date]],UploadQuery[],MATCH("Climber Index",UploadQuery[#Headers],0),FALSE)</calculatedColumnFormula>
    </tableColumn>
    <tableColumn id="34" xr3:uid="{122747FF-A911-429C-84F8-8FFC7F467425}" name="Cal/hour" dataDxfId="5">
      <calculatedColumnFormula>VLOOKUP(Calendar[[#This Row],[Date]],UploadQuery[],MATCH("Cal/hour",UploadQuery[#Headers],0),FALSE)</calculatedColumnFormula>
    </tableColumn>
    <tableColumn id="35" xr3:uid="{45F27D1B-19CE-4FF6-9E5B-453BF1F53A73}" name="Today Week" dataDxfId="4">
      <calculatedColumnFormula>IF(YEAR(Calendar[[#This Row],[Date]])=YEAR(TodayDate),IF(WEEKNUM(Calendar[[#This Row],[Date]],21)=WEEKNUM(TodayDate,21),IFERROR(MAX(Calendar[[#This Row],[Actual Hrs]],Calendar[[#This Row],[Plan. Hrs]])+(2/24),Calendar[[#This Row],[Plan. Hrs]]+(2/24)),-1),-1)</calculatedColumnFormula>
    </tableColumn>
    <tableColumn id="36" xr3:uid="{FAF7B223-179E-40BD-BC3B-F47FE40B3BEB}" name="Plan. Hrs2" dataDxfId="3">
      <calculatedColumnFormula>SUM(Calendar[[#This Row],[Mon]:[Sun]])</calculatedColumnFormula>
    </tableColumn>
    <tableColumn id="37" xr3:uid="{A5B1E111-5272-43EB-8A1E-827B2B3A8E92}" name="Actual Hrs2" dataDxfId="2">
      <calculatedColumnFormula>VLOOKUP(Calendar[[#This Row],[Date]],UploadQuery[],MATCH("Activity Time",UploadQuery[#Headers],0),FALSE)</calculatedColumnFormula>
    </tableColumn>
  </tableColumns>
  <tableStyleInfo name="TableStyleMedium4"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6F7A59-0BA2-4ED5-B189-54938D68B258}" name="TargetsTable" displayName="TargetsTable" ref="B3:H15" totalsRowShown="0" headerRowDxfId="197" dataDxfId="196">
  <autoFilter ref="B3:H15" xr:uid="{35CD3504-1C87-477A-82FF-66F4367B82C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1F08BDA-CC0D-495B-90B9-9F042F9A093D}" name="Wk" dataDxfId="195"/>
    <tableColumn id="2" xr3:uid="{BBF8E7E5-4FED-4B8A-B3AD-360902D88A7A}" name="Date" dataDxfId="194"/>
    <tableColumn id="3" xr3:uid="{61C004B7-3102-407A-9894-8AA477A472DC}" name="Period" dataDxfId="193"/>
    <tableColumn id="4" xr3:uid="{1D24CC1B-8ACA-4769-B50A-ED1900CE11DD}" name="Cal. Goal" dataDxfId="82"/>
    <tableColumn id="5" xr3:uid="{0ED0EFF3-3252-4BA7-B721-9425738A89FF}" name="Weight Goal" dataDxfId="81"/>
    <tableColumn id="6" xr3:uid="{9DD0A5F8-3CF7-49FA-B711-E4EB54E972B3}" name="HR Goal" dataDxfId="80"/>
    <tableColumn id="7" xr3:uid="{4BF27D1D-74FD-4FED-A7FB-B2DAA7360DDE}" name="Power Goal" dataDxfId="79"/>
  </tableColumns>
  <tableStyleInfo name="TableStyleMedium4"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3072743-C2AF-41BD-B195-767D08A335D2}" name="WeightTable" displayName="WeightTable" ref="B11:E12" insertRow="1" totalsRowShown="0" headerRowDxfId="192" dataDxfId="191">
  <autoFilter ref="B11:E12" xr:uid="{A674C371-BC2E-4444-8482-FCF086B70A43}"/>
  <sortState xmlns:xlrd2="http://schemas.microsoft.com/office/spreadsheetml/2017/richdata2" ref="B12:E12">
    <sortCondition descending="1" ref="B11:B12"/>
  </sortState>
  <tableColumns count="4">
    <tableColumn id="1" xr3:uid="{F4E745D9-F4C3-4FD4-B474-DBAC37CF0885}" name="Date" dataDxfId="190"/>
    <tableColumn id="2" xr3:uid="{4C82A703-3599-4EF0-B349-0723E2A5DB17}" name="lb" dataDxfId="189"/>
    <tableColumn id="3" xr3:uid="{C3F49792-5FA9-41D1-BB1B-BEE323AB55CF}" name="kg" dataDxfId="188"/>
    <tableColumn id="4" xr3:uid="{E779D87C-7BDD-4C92-8335-CE5121370E12}" name="Wk" dataDxfId="187"/>
  </tableColumns>
  <tableStyleInfo name="TableStyleMedium6"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D4C20D-D08E-4D0A-9B70-4251FA634314}" name="UploadQuery" displayName="UploadQuery" ref="B5:X6" tableType="queryTable" insertRow="1" totalsRowShown="0" headerRowDxfId="186" dataDxfId="185">
  <autoFilter ref="B5:X6" xr:uid="{E856BC0F-AA1C-4A6A-AA08-4E5809D82883}"/>
  <sortState xmlns:xlrd2="http://schemas.microsoft.com/office/spreadsheetml/2017/richdata2" ref="B6:X6">
    <sortCondition descending="1" ref="B5:B308"/>
  </sortState>
  <tableColumns count="23">
    <tableColumn id="1" xr3:uid="{55B800F4-8D5F-45EC-A19A-037D85625A1C}" uniqueName="1" name="Time Period" queryTableFieldId="47" dataDxfId="184" dataCellStyle="Normal 3"/>
    <tableColumn id="2" xr3:uid="{683A3F31-78A4-4138-A7E8-46070FC74D2F}" uniqueName="2" name="Activities" queryTableFieldId="2" dataDxfId="183"/>
    <tableColumn id="3" xr3:uid="{3BF8B41C-7433-4C1C-A1B0-82E9521680E1}" uniqueName="3" name="Distance" queryTableFieldId="29" dataDxfId="182"/>
    <tableColumn id="4" xr3:uid="{76834863-5725-4D72-B0E0-A652074544FC}" uniqueName="4" name="Activity Time" queryTableFieldId="30" dataDxfId="181"/>
    <tableColumn id="5" xr3:uid="{E1133BB5-CA7A-4035-8D25-5858E45BC34C}" uniqueName="5" name="Activity Calories" queryTableFieldId="5" dataDxfId="180"/>
    <tableColumn id="6" xr3:uid="{434C625D-D7FE-4FE8-B2C8-6CB1701982B0}" uniqueName="6" name="Elev Gain" queryTableFieldId="31" dataDxfId="179"/>
    <tableColumn id="7" xr3:uid="{3C1E71E2-2B88-4BA1-83AC-104E2539FCBF}" uniqueName="7" name="Speed" queryTableFieldId="32" dataDxfId="178"/>
    <tableColumn id="8" xr3:uid="{D13FDDF9-8764-41F1-862B-AC3C10A572D7}" uniqueName="8" name="Heart Rate" queryTableFieldId="33" dataDxfId="177"/>
    <tableColumn id="9" xr3:uid="{F14B962C-6A2E-43FF-9263-023BB17BB2EA}" uniqueName="9" name="Bike Cadence" queryTableFieldId="34" dataDxfId="176"/>
    <tableColumn id="10" xr3:uid="{539260CB-2082-421D-AF65-0F86581E1C1E}" uniqueName="10" name="Power" queryTableFieldId="35" dataDxfId="175"/>
    <tableColumn id="11" xr3:uid="{2E836713-6F0D-499C-86C3-C0BA3EAE9E52}" uniqueName="11" name="Climber Index" queryTableFieldId="11" dataDxfId="174"/>
    <tableColumn id="12" xr3:uid="{338B04CB-9E8F-4F75-91C2-54FA094DAE72}" uniqueName="12" name="Cal/hour" queryTableFieldId="45" dataDxfId="173"/>
    <tableColumn id="21" xr3:uid="{9629B20C-4802-4B41-B788-C999D9867E19}" uniqueName="21" name="Hrs/Activity" queryTableFieldId="36" dataDxfId="172"/>
    <tableColumn id="13" xr3:uid="{B8021CEF-3FED-4603-9F19-D2DFAD155FA6}" uniqueName="13" name="Distance Unit" queryTableFieldId="13" dataDxfId="171"/>
    <tableColumn id="14" xr3:uid="{6975E067-DF77-4899-BFCC-3A78EFAABB32}" uniqueName="14" name="Time Unit" queryTableFieldId="14" dataDxfId="170"/>
    <tableColumn id="15" xr3:uid="{9C6D916B-81D6-475D-B9AC-1C6B882EC91C}" uniqueName="15" name="Calories Unit" queryTableFieldId="15" dataDxfId="169"/>
    <tableColumn id="16" xr3:uid="{C868FADD-5234-49D6-9160-AC035B6BAF77}" uniqueName="16" name="Elevation Unit" queryTableFieldId="16" dataDxfId="168"/>
    <tableColumn id="17" xr3:uid="{0CFA5F1D-5BED-46FB-8996-105BC0C10638}" uniqueName="17" name="Speed Unit" queryTableFieldId="17" dataDxfId="167"/>
    <tableColumn id="18" xr3:uid="{52B79F7C-0823-48B1-BA97-DC6F2D0AC108}" uniqueName="18" name="Heart Rate Unit" queryTableFieldId="18" dataDxfId="166"/>
    <tableColumn id="19" xr3:uid="{09EC6D65-CF7E-4783-BEF9-8D5A850AEC12}" uniqueName="19" name="Cadence Unit" queryTableFieldId="19" dataDxfId="165" dataCellStyle="Normal 3"/>
    <tableColumn id="20" xr3:uid="{3B8B0CF4-368F-4DEC-898C-262C67A199DF}" uniqueName="20" name="Power Unit" queryTableFieldId="20" dataDxfId="164" dataCellStyle="Normal 3"/>
    <tableColumn id="23" xr3:uid="{BBFF7634-8EDC-432F-9762-50C1DC87B49C}" uniqueName="23" name="WeightTable.lb" queryTableFieldId="25" dataDxfId="163"/>
    <tableColumn id="24" xr3:uid="{BFBEBDC7-5165-465E-B360-DEC20AB06352}" uniqueName="24" name="WeightTable.kg" queryTableFieldId="26" dataDxfId="162"/>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18E37B7-E53C-465F-9F62-B3FB9A616BA2}" name="Events" displayName="Events" ref="B16:C16" tableType="queryTable" headerRowCount="0" insertRow="1" totalsRowShown="0" headerRowDxfId="161" dataDxfId="160" tableBorderDxfId="159">
  <tableColumns count="2">
    <tableColumn id="1" xr3:uid="{6463FE6C-750A-4573-B272-760301546C80}" uniqueName="1" name="Event Date" queryTableFieldId="1" headerRowDxfId="158" dataDxfId="157"/>
    <tableColumn id="2" xr3:uid="{B6698135-07A2-4CD9-A133-5B2857ADBFDE}" uniqueName="2" name="Event" queryTableFieldId="2" headerRowDxfId="156" dataDxfId="15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0064BF-AC45-4BDD-9C5D-732509F1F0A3}" name="Colors" displayName="Colors" ref="AQ3:AT43" totalsRowShown="0" headerRowDxfId="154" dataDxfId="153">
  <tableColumns count="4">
    <tableColumn id="1" xr3:uid="{2084291A-4C98-462A-8C75-DAB11D195D61}" name="Period" dataDxfId="152">
      <calculatedColumnFormula>INDEX(Setup!$B$16:$B$23,ROW()-1)</calculatedColumnFormula>
    </tableColumn>
    <tableColumn id="2" xr3:uid="{C511A99B-87DA-4FEA-80D9-F64634B75666}" name="Rcode" dataDxfId="151"/>
    <tableColumn id="3" xr3:uid="{F1CBF0FA-44A0-488E-9993-414D71E4015D}" name="Gcode" dataDxfId="150"/>
    <tableColumn id="4" xr3:uid="{31893BBB-0483-4F0B-B3D5-0AC9ACE1777C}" name="Bcode" dataDxfId="149"/>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40C9E8-E934-4CCD-9432-F9A88F1105AF}" name="ChartTypes" displayName="ChartTypes" ref="AV3:AX76" totalsRowShown="0" headerRowDxfId="148" dataDxfId="147">
  <autoFilter ref="AV3:AX76" xr:uid="{FEC306AD-4838-4E08-B4BE-72FF0E375AD2}">
    <filterColumn colId="0" hiddenButton="1"/>
    <filterColumn colId="1" hiddenButton="1"/>
    <filterColumn colId="2" hiddenButton="1"/>
  </autoFilter>
  <tableColumns count="3">
    <tableColumn id="1" xr3:uid="{9147914F-7C1E-485E-9A31-DDE394479A30}" name="Value" dataDxfId="146"/>
    <tableColumn id="2" xr3:uid="{BBE3EA02-F1A3-4BA7-B73F-53D8C2CC1569}" name="Name" dataDxfId="145"/>
    <tableColumn id="4" xr3:uid="{3AC6EA57-8347-483A-8FCB-164BF892B6A9}" name="Description" dataDxfId="144"/>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AE66308-B647-4794-B447-E18605B934D0}" name="StateTable" displayName="StateTable" ref="AZ3:BB62" totalsRowShown="0" headerRowDxfId="143" dataDxfId="142" tableBorderDxfId="141">
  <tableColumns count="3">
    <tableColumn id="1" xr3:uid="{BE066384-29C2-473C-A4B3-5EF7DDF3A652}" name="State" dataDxfId="140"/>
    <tableColumn id="2" xr3:uid="{72EE4BE9-F97A-4725-B7B9-17805CAFB4B0}" name="Abbreviation" dataDxfId="139"/>
    <tableColumn id="3" xr3:uid="{D3909B53-D2A2-4BCE-9BFD-8AD6C12C4AC2}" name="Country" dataDxfId="13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983B171-3F29-4A0B-85AF-1CF2BDB5E19A}" name="APITable" displayName="APITable" ref="BD3:BR6" totalsRowShown="0" headerRowDxfId="137" dataDxfId="136" tableBorderDxfId="135">
  <autoFilter ref="BD3:BR6" xr:uid="{1C892AC5-A684-497D-89A7-A5FD6BFE2E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1156468-1DC7-4BFC-A1BF-34C155A3C0AB}" name="Database" dataDxfId="134"/>
    <tableColumn id="2" xr3:uid="{2EEDE853-56C5-4269-93BF-7A93C2527A34}" name="URL" dataDxfId="133"/>
    <tableColumn id="3" xr3:uid="{C093AD68-9F4D-434B-88B5-B2448CC6B4A2}" name="Method" dataDxfId="132"/>
    <tableColumn id="4" xr3:uid="{8955E16B-65F1-4B0B-821E-F112792CE18E}" name="Header Type" dataDxfId="131"/>
    <tableColumn id="5" xr3:uid="{1685E388-2DBB-4359-8D74-354768F7445B}" name="Header Value" dataDxfId="130"/>
    <tableColumn id="8" xr3:uid="{493F8799-FB8E-4F70-BD56-CA818188FB64}" name="Event Type" dataDxfId="129">
      <calculatedColumnFormula>VLOOKUP(EventType,EventTypeTable[],MATCH(APITable[[#This Row],[Database]],EventTypeTable[#Headers],0),FALSE)</calculatedColumnFormula>
    </tableColumn>
    <tableColumn id="9" xr3:uid="{47E48702-EF80-4A3D-A275-4B6F15A5502D}" name="Paramater1" dataDxfId="128"/>
    <tableColumn id="10" xr3:uid="{2D014FD6-CA64-48E3-A7DC-48605A551AE6}" name="Paramater2" dataDxfId="127"/>
    <tableColumn id="11" xr3:uid="{C66DD853-9E21-49F8-92C1-F424E83E5BB5}" name="Paramater3" dataDxfId="126"/>
    <tableColumn id="12" xr3:uid="{471B6683-74AC-48F5-BCF7-A14A3237A3F7}" name="Paramater4" dataDxfId="125"/>
    <tableColumn id="13" xr3:uid="{9E4D2514-138F-4A0F-A4B7-567F7DA2D77A}" name="Date" dataDxfId="124">
      <calculatedColumnFormula>IF(APITable[[#This Row],[Paramater4]]="year",SeasonSearch,"11%2F01%2F"&amp;SeasonSearch-1)</calculatedColumnFormula>
    </tableColumn>
    <tableColumn id="16" xr3:uid="{AC2B9031-7862-4FBA-9D22-615D76533428}" name="EndDate" dataDxfId="123">
      <calculatedColumnFormula>"10%2F31%2F"&amp;SeasonSearch</calculatedColumnFormula>
    </tableColumn>
    <tableColumn id="7" xr3:uid="{844F31EE-ECDD-4265-A1E1-1300C64D19A0}" name="Query" dataDxfId="122">
      <calculatedColumnFormula>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calculatedColumnFormula>
    </tableColumn>
    <tableColumn id="6" xr3:uid="{E6C48139-0167-469A-9600-C699C308C157}" name="Source" dataDxfId="121">
      <calculatedColumnFormula>APITable[[#This Row],[URL]]&amp;APITable[[#This Row],[Query]]</calculatedColumnFormula>
    </tableColumn>
    <tableColumn id="14" xr3:uid="{178C1BE5-4922-48B5-9DC5-C2A9D4B369F8}" name="QueryName" dataDxfId="12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20CA8E0-E7C4-4F90-AC30-FEBB92A3C15E}" name="UnitsTable" displayName="UnitsTable" ref="CA3:CD30" totalsRowShown="0" headerRowDxfId="119" dataDxfId="117" headerRowBorderDxfId="118" tableBorderDxfId="116" totalsRowBorderDxfId="115">
  <autoFilter ref="CA3:CD30" xr:uid="{5EC6D5A6-3EB9-4140-A787-07B618A5998D}">
    <filterColumn colId="0" hiddenButton="1"/>
    <filterColumn colId="1" hiddenButton="1"/>
    <filterColumn colId="2" hiddenButton="1"/>
    <filterColumn colId="3" hiddenButton="1"/>
  </autoFilter>
  <sortState xmlns:xlrd2="http://schemas.microsoft.com/office/spreadsheetml/2017/richdata2" ref="CA4:CD32">
    <sortCondition ref="CA3"/>
  </sortState>
  <tableColumns count="4">
    <tableColumn id="1" xr3:uid="{ADF1C018-E89E-4039-9994-883488BA4580}" name="Field" dataDxfId="114"/>
    <tableColumn id="2" xr3:uid="{8D87BBA0-52F7-4409-B2A8-DD16A3EDF243}" name="Unit" dataDxfId="113"/>
    <tableColumn id="3" xr3:uid="{89F6B812-AED8-40E6-A388-910E22B37DCD}" name="Legend" dataDxfId="112"/>
    <tableColumn id="4" xr3:uid="{62AB38FA-A022-4F23-82E5-AD9774FB8E2B}" name="Format" dataDxfId="11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8FF5F21-FECC-444B-8F1B-EA9A3D7E4860}" name="EventTypeTable" displayName="EventTypeTable" ref="BT3:BW7" totalsRowShown="0" headerRowDxfId="110" dataDxfId="109">
  <tableColumns count="4">
    <tableColumn id="1" xr3:uid="{49422474-B8EF-49C3-A755-1921E48AD516}" name="Type" dataDxfId="108">
      <calculatedColumnFormula>VLOOKUP(APISearch,APITable[],2,FALSE)&amp;"?states="&amp;StateAbbreviation</calculatedColumnFormula>
    </tableColumn>
    <tableColumn id="3" xr3:uid="{D575DD8D-6E05-4AAF-8237-1E92A017A95D}" name="BikeReg" dataDxfId="107"/>
    <tableColumn id="2" xr3:uid="{D86D0208-6CBA-4C62-8074-2023F5A22C9B}" name="UCI" dataDxfId="106"/>
    <tableColumn id="4" xr3:uid="{507F6AC7-A5A7-45A2-A085-BBB0A3078830}" name="USA Cycling" dataDxfId="10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AC62B93-76D1-463F-B24C-31254089E6D9}" name="BoxStatusTable" displayName="BoxStatusTable" ref="CF3:CG8" totalsRowShown="0" headerRowDxfId="104" dataDxfId="102" headerRowBorderDxfId="103" tableBorderDxfId="101" totalsRowBorderDxfId="100">
  <tableColumns count="2">
    <tableColumn id="1" xr3:uid="{34F62711-D4FD-4136-AD4F-085CDDF071E0}" name="Box Name" dataDxfId="99"/>
    <tableColumn id="2" xr3:uid="{A4E35323-26A6-42DB-AB12-AA129E9B668B}" name="Value" dataDxfId="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05C441-C9CE-42D3-9C12-8B444BD047E8}" name="PathsTable" displayName="PathsTable" ref="CI3:CI4" totalsRowShown="0" headerRowDxfId="97" dataDxfId="96">
  <tableColumns count="1">
    <tableColumn id="1" xr3:uid="{5F82D069-B284-4BC3-B1DE-0C093E8C9058}" name="Path" dataDxfId="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ABF374-08D6-4761-8380-548E4EC7EFF1}" name="WeightUnitsTable" displayName="WeightUnitsTable" ref="CK3:CK5" totalsRowShown="0" headerRowDxfId="94" dataDxfId="93" tableBorderDxfId="92">
  <tableColumns count="1">
    <tableColumn id="1" xr3:uid="{78380F96-8AA5-4CDB-AF94-C1D6427AB774}" name="Weight Units" dataDxfId="9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15F0FF4-0968-45D1-8DFA-CF4771D989BC}" name="UploadURL" displayName="UploadURL" ref="DD3:DD4" totalsRowShown="0" headerRowDxfId="90" dataDxfId="89" headerRowCellStyle="Normal 3" dataCellStyle="Normal 3">
  <tableColumns count="1">
    <tableColumn id="1" xr3:uid="{98DB97A4-F89D-4E98-9A3A-94D41FAB75F6}" name="Value" dataDxfId="88" dataCellStyle="Normal 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3C7ED9-8BE4-4FD3-BA20-DA4EA0B8629C}" name="AnalyticsChartTable" displayName="AnalyticsChartTable" ref="CV3:CX15" totalsRowShown="0" headerRowDxfId="87" dataDxfId="86">
  <autoFilter ref="CV3:CX15" xr:uid="{D9AB1B66-45BC-4F14-8117-D00C3974496D}">
    <filterColumn colId="0" hiddenButton="1"/>
    <filterColumn colId="1" hiddenButton="1"/>
    <filterColumn colId="2" hiddenButton="1"/>
  </autoFilter>
  <tableColumns count="3">
    <tableColumn id="1" xr3:uid="{2C81723F-1269-4459-B844-78E2B020B820}" name="Field" dataDxfId="85"/>
    <tableColumn id="2" xr3:uid="{D1A9C32E-C33F-4BD5-AD86-287009FD5964}" name="Calculation" dataDxfId="84"/>
    <tableColumn id="3" xr3:uid="{2F7C18DB-3295-487F-8D77-02C175DD899A}" name="ChartType" dataDxfId="8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emaforo">
      <a:dk1>
        <a:sysClr val="windowText" lastClr="000000"/>
      </a:dk1>
      <a:lt1>
        <a:sysClr val="window" lastClr="FFFFFF"/>
      </a:lt1>
      <a:dk2>
        <a:srgbClr val="44546A"/>
      </a:dk2>
      <a:lt2>
        <a:srgbClr val="E7E6E6"/>
      </a:lt2>
      <a:accent1>
        <a:srgbClr val="92D050"/>
      </a:accent1>
      <a:accent2>
        <a:srgbClr val="FF0000"/>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PeriodSlicerPivotAnalyticsCache" xr10:uid="{EE5BC57F-B66F-4650-BA1F-A7482ECF2283}" sourceName="Time Period">
  <pivotTables>
    <pivotTable tabId="43" name="PivotAnalytics"/>
    <pivotTable tabId="39" name="PivotAnalytics1"/>
    <pivotTable tabId="40" name="PivotAnalytics2"/>
    <pivotTable tabId="41" name="PivotAnalytics3"/>
  </pivotTables>
  <state minimalRefreshVersion="6" lastRefreshVersion="6" pivotCacheId="1496962129" filterType="dateBetween">
    <selection startDate="2021-01-01T00:00:00" endDate="2021-04-30T00:00:00"/>
    <bounds startDate="201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PeriodSlicerPivotAnalytics" xr10:uid="{F1F8C5A1-3A19-4B18-A96C-EE398211C650}" cache="TimePeriodSlicerPivotAnalyticsCache" caption="Time Period" showHorizontalScrollbar="0" level="2" selectionLevel="2" scrollPosition="2021-03-01T00:00:00"/>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www.cdc.gov/healthyweight/assessing/bmi/adult_bmi/index.html" TargetMode="External"/><Relationship Id="rId6" Type="http://schemas.openxmlformats.org/officeDocument/2006/relationships/image" Target="../media/image5.emf"/><Relationship Id="rId11" Type="http://schemas.openxmlformats.org/officeDocument/2006/relationships/table" Target="../tables/table4.xml"/><Relationship Id="rId5" Type="http://schemas.openxmlformats.org/officeDocument/2006/relationships/control" Target="../activeX/activeX5.xml"/><Relationship Id="rId10"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7.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trlProp" Target="../ctrlProps/ctrlProp10.xml"/><Relationship Id="rId3" Type="http://schemas.openxmlformats.org/officeDocument/2006/relationships/vmlDrawing" Target="../drawings/vmlDrawing5.vml"/><Relationship Id="rId21" Type="http://schemas.openxmlformats.org/officeDocument/2006/relationships/ctrlProp" Target="../ctrlProps/ctrlProp13.xml"/><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 Type="http://schemas.openxmlformats.org/officeDocument/2006/relationships/drawing" Target="../drawings/drawing8.xml"/><Relationship Id="rId16" Type="http://schemas.openxmlformats.org/officeDocument/2006/relationships/control" Target="../activeX/activeX12.xml"/><Relationship Id="rId20" Type="http://schemas.openxmlformats.org/officeDocument/2006/relationships/ctrlProp" Target="../ctrlProps/ctrlProp12.xml"/><Relationship Id="rId1" Type="http://schemas.openxmlformats.org/officeDocument/2006/relationships/printerSettings" Target="../printerSettings/printerSettings8.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microsoft.com/office/2011/relationships/timeline" Target="../timelines/timeline1.xml"/><Relationship Id="rId10" Type="http://schemas.openxmlformats.org/officeDocument/2006/relationships/control" Target="../activeX/activeX9.xml"/><Relationship Id="rId19" Type="http://schemas.openxmlformats.org/officeDocument/2006/relationships/ctrlProp" Target="../ctrlProps/ctrlProp11.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printerSettings" Target="../printerSettings/printerSettings11.bin"/><Relationship Id="rId1" Type="http://schemas.openxmlformats.org/officeDocument/2006/relationships/hyperlink" Target="https://www.usacycling.org/API/events-search" TargetMode="External"/><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7.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8.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9.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10.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2.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13.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BCCED-2875-4481-A8C3-4E620A018EB7}">
  <sheetPr codeName="Sheet7"/>
  <dimension ref="A1:T1193"/>
  <sheetViews>
    <sheetView showGridLines="0" showRowColHeaders="0" tabSelected="1" zoomScaleNormal="100" workbookViewId="0">
      <pane ySplit="19" topLeftCell="A20" activePane="bottomLeft" state="frozen"/>
      <selection pane="bottomLeft" activeCell="B20" sqref="B20"/>
    </sheetView>
  </sheetViews>
  <sheetFormatPr defaultRowHeight="12.75"/>
  <cols>
    <col min="1" max="1" width="1.7109375" style="65" customWidth="1"/>
    <col min="2" max="2" width="16" style="65" bestFit="1" customWidth="1"/>
    <col min="3" max="3" width="60.7109375" style="65" customWidth="1"/>
    <col min="4" max="4" width="14.28515625" style="65" customWidth="1"/>
    <col min="5" max="5" width="7.85546875" style="65" bestFit="1" customWidth="1"/>
    <col min="6" max="6" width="30.7109375" style="65" customWidth="1"/>
    <col min="7" max="7" width="11.42578125" style="65" bestFit="1" customWidth="1"/>
    <col min="8" max="8" width="8.140625" style="65" bestFit="1" customWidth="1"/>
    <col min="9" max="9" width="28.5703125" style="65" customWidth="1"/>
    <col min="10" max="16384" width="9.140625" style="65"/>
  </cols>
  <sheetData>
    <row r="1" spans="1:20" ht="20.25">
      <c r="A1" s="115"/>
      <c r="B1" s="253" t="s">
        <v>554</v>
      </c>
      <c r="C1" s="114"/>
      <c r="D1" s="114"/>
      <c r="E1" s="114"/>
      <c r="F1" s="114"/>
      <c r="G1" s="114"/>
      <c r="H1" s="114"/>
      <c r="I1" s="114"/>
      <c r="J1" s="114"/>
      <c r="K1" s="114"/>
      <c r="L1" s="114"/>
      <c r="M1" s="114"/>
      <c r="N1" s="114"/>
      <c r="O1" s="114"/>
      <c r="P1" s="114"/>
      <c r="Q1" s="114"/>
      <c r="R1" s="114"/>
      <c r="S1" s="114"/>
      <c r="T1" s="114"/>
    </row>
    <row r="4" spans="1:20">
      <c r="B4" s="65" t="s">
        <v>18</v>
      </c>
      <c r="C4" s="65" t="s">
        <v>10</v>
      </c>
      <c r="D4" s="66" t="s">
        <v>354</v>
      </c>
      <c r="E4" s="65" t="s">
        <v>209</v>
      </c>
      <c r="F4" s="65" t="s">
        <v>353</v>
      </c>
      <c r="G4" s="65" t="s">
        <v>355</v>
      </c>
      <c r="H4" s="65" t="s">
        <v>356</v>
      </c>
      <c r="I4" s="65" t="s">
        <v>208</v>
      </c>
    </row>
    <row r="5" spans="1:20" ht="15">
      <c r="B5" s="89"/>
      <c r="C5" s="89"/>
      <c r="D5" s="89"/>
      <c r="E5" s="89"/>
      <c r="F5" s="89"/>
      <c r="G5" s="89"/>
      <c r="H5" s="244"/>
      <c r="I5" s="116"/>
      <c r="J5" s="65" t="s">
        <v>331</v>
      </c>
    </row>
    <row r="6" spans="1:20" ht="15" customHeight="1">
      <c r="B6" s="89"/>
      <c r="C6" s="89"/>
      <c r="D6" s="89"/>
      <c r="E6" s="89"/>
      <c r="F6" s="89"/>
      <c r="G6" s="89"/>
      <c r="H6" s="244"/>
      <c r="I6" s="116"/>
      <c r="J6" s="65" t="s">
        <v>331</v>
      </c>
    </row>
    <row r="7" spans="1:20" ht="15" customHeight="1">
      <c r="B7" s="89"/>
      <c r="C7" s="89"/>
      <c r="D7" s="89"/>
      <c r="E7" s="89"/>
      <c r="F7" s="89"/>
      <c r="G7" s="89"/>
      <c r="H7" s="244"/>
      <c r="I7" s="116"/>
      <c r="J7" s="65" t="s">
        <v>331</v>
      </c>
    </row>
    <row r="8" spans="1:20" ht="12.75" customHeight="1">
      <c r="B8" s="89"/>
      <c r="C8" s="89"/>
      <c r="D8" s="89"/>
      <c r="E8" s="89"/>
      <c r="F8" s="89"/>
      <c r="G8" s="89"/>
      <c r="H8" s="244"/>
      <c r="I8" s="116"/>
      <c r="J8" s="65" t="s">
        <v>331</v>
      </c>
    </row>
    <row r="9" spans="1:20" ht="12.75" customHeight="1">
      <c r="B9" s="89"/>
      <c r="C9" s="89"/>
      <c r="D9" s="89"/>
      <c r="E9" s="89"/>
      <c r="F9" s="89"/>
      <c r="G9" s="89"/>
      <c r="H9" s="244"/>
      <c r="I9" s="116"/>
      <c r="J9" s="65" t="s">
        <v>331</v>
      </c>
    </row>
    <row r="10" spans="1:20" ht="12.75" customHeight="1">
      <c r="B10" s="89"/>
      <c r="C10" s="89"/>
      <c r="D10" s="89"/>
      <c r="E10" s="89"/>
      <c r="F10" s="89"/>
      <c r="G10" s="89"/>
      <c r="H10" s="244"/>
      <c r="I10" s="116"/>
      <c r="J10" s="65" t="s">
        <v>331</v>
      </c>
    </row>
    <row r="11" spans="1:20" ht="12.75" customHeight="1">
      <c r="B11" s="89"/>
      <c r="C11" s="89"/>
      <c r="D11" s="89"/>
      <c r="E11" s="89"/>
      <c r="F11" s="89"/>
      <c r="G11" s="89"/>
      <c r="H11" s="244"/>
      <c r="I11" s="116"/>
      <c r="J11" s="65" t="s">
        <v>331</v>
      </c>
    </row>
    <row r="12" spans="1:20" ht="12.75" customHeight="1">
      <c r="B12" s="89"/>
      <c r="C12" s="89"/>
      <c r="D12" s="89"/>
      <c r="E12" s="89"/>
      <c r="F12" s="89"/>
      <c r="G12" s="89"/>
      <c r="H12" s="244"/>
      <c r="I12" s="116"/>
      <c r="J12" s="65" t="s">
        <v>331</v>
      </c>
    </row>
    <row r="13" spans="1:20" ht="12.75" customHeight="1">
      <c r="B13" s="89"/>
      <c r="C13" s="89"/>
      <c r="D13" s="89"/>
      <c r="E13" s="89"/>
      <c r="F13" s="89"/>
      <c r="G13" s="89"/>
      <c r="H13" s="244"/>
      <c r="I13" s="116"/>
      <c r="J13" s="65" t="s">
        <v>331</v>
      </c>
    </row>
    <row r="14" spans="1:20" ht="12.75" customHeight="1">
      <c r="B14" s="89"/>
      <c r="C14" s="89"/>
      <c r="D14" s="89"/>
      <c r="E14" s="89"/>
      <c r="F14" s="89"/>
      <c r="G14" s="89"/>
      <c r="H14" s="89"/>
      <c r="I14" s="116"/>
      <c r="J14" s="65" t="s">
        <v>331</v>
      </c>
    </row>
    <row r="15" spans="1:20">
      <c r="B15" s="67"/>
    </row>
    <row r="16" spans="1:20">
      <c r="B16" s="140"/>
      <c r="C16" s="140"/>
    </row>
    <row r="17" spans="2:10">
      <c r="B17" s="140"/>
      <c r="C17" s="140"/>
      <c r="D17" s="140"/>
      <c r="E17" s="140"/>
      <c r="F17" s="140"/>
    </row>
    <row r="19" spans="2:10">
      <c r="B19" s="65" t="s">
        <v>18</v>
      </c>
      <c r="C19" s="65" t="s">
        <v>10</v>
      </c>
      <c r="D19" s="65" t="s">
        <v>354</v>
      </c>
      <c r="E19" s="65" t="s">
        <v>209</v>
      </c>
      <c r="F19" s="65" t="s">
        <v>353</v>
      </c>
      <c r="G19" s="65" t="s">
        <v>355</v>
      </c>
      <c r="H19" s="65" t="s">
        <v>356</v>
      </c>
      <c r="I19" s="65" t="s">
        <v>208</v>
      </c>
    </row>
    <row r="20" spans="2:10" ht="15">
      <c r="B20" s="78"/>
      <c r="C20" s="71"/>
      <c r="D20" s="71"/>
      <c r="F20" s="71"/>
      <c r="G20" s="71"/>
      <c r="H20" s="71"/>
      <c r="I20" s="77"/>
      <c r="J20" s="65" t="s">
        <v>331</v>
      </c>
    </row>
    <row r="21" spans="2:10" ht="15">
      <c r="B21" s="78"/>
      <c r="C21" s="71"/>
      <c r="D21" s="71"/>
      <c r="F21" s="71"/>
      <c r="G21" s="71"/>
      <c r="H21" s="71"/>
      <c r="I21" s="77"/>
      <c r="J21" s="65" t="s">
        <v>331</v>
      </c>
    </row>
    <row r="22" spans="2:10" ht="15">
      <c r="B22" s="78"/>
      <c r="C22" s="71"/>
      <c r="D22" s="71"/>
      <c r="F22" s="71"/>
      <c r="G22" s="71"/>
      <c r="H22" s="71"/>
      <c r="I22" s="77"/>
      <c r="J22" s="65" t="s">
        <v>331</v>
      </c>
    </row>
    <row r="23" spans="2:10" ht="15">
      <c r="B23" s="78"/>
      <c r="C23" s="71"/>
      <c r="D23" s="71"/>
      <c r="F23" s="71"/>
      <c r="G23" s="71"/>
      <c r="H23" s="71"/>
      <c r="I23" s="77"/>
      <c r="J23" s="65" t="s">
        <v>331</v>
      </c>
    </row>
    <row r="24" spans="2:10" ht="15">
      <c r="B24" s="78"/>
      <c r="C24" s="71"/>
      <c r="D24" s="71"/>
      <c r="F24" s="71"/>
      <c r="G24" s="71"/>
      <c r="H24" s="71"/>
      <c r="I24" s="77"/>
      <c r="J24" s="65" t="s">
        <v>331</v>
      </c>
    </row>
    <row r="25" spans="2:10" ht="15">
      <c r="B25" s="78"/>
      <c r="C25" s="71"/>
      <c r="D25" s="71"/>
      <c r="F25" s="71"/>
      <c r="G25" s="71"/>
      <c r="H25" s="71"/>
      <c r="I25" s="77"/>
      <c r="J25" s="65" t="s">
        <v>331</v>
      </c>
    </row>
    <row r="26" spans="2:10" ht="15">
      <c r="B26" s="78"/>
      <c r="C26" s="71"/>
      <c r="D26" s="71"/>
      <c r="F26" s="71"/>
      <c r="G26" s="71"/>
      <c r="H26" s="71"/>
      <c r="I26" s="77"/>
      <c r="J26" s="65" t="s">
        <v>331</v>
      </c>
    </row>
    <row r="27" spans="2:10" ht="15">
      <c r="B27" s="78"/>
      <c r="C27" s="71"/>
      <c r="D27" s="71"/>
      <c r="F27" s="71"/>
      <c r="G27" s="71"/>
      <c r="H27" s="71"/>
      <c r="I27" s="77"/>
      <c r="J27" s="65" t="s">
        <v>331</v>
      </c>
    </row>
    <row r="28" spans="2:10" ht="15">
      <c r="B28" s="78"/>
      <c r="C28" s="71"/>
      <c r="D28" s="71"/>
      <c r="F28" s="71"/>
      <c r="G28" s="71"/>
      <c r="H28" s="71"/>
      <c r="I28" s="77"/>
      <c r="J28" s="65" t="s">
        <v>331</v>
      </c>
    </row>
    <row r="29" spans="2:10" ht="15">
      <c r="B29" s="78"/>
      <c r="C29" s="71"/>
      <c r="D29" s="71"/>
      <c r="F29" s="71"/>
      <c r="G29" s="71"/>
      <c r="H29" s="71"/>
      <c r="I29" s="77"/>
      <c r="J29" s="65" t="s">
        <v>331</v>
      </c>
    </row>
    <row r="30" spans="2:10" ht="15">
      <c r="B30" s="78"/>
      <c r="C30" s="71"/>
      <c r="D30" s="71"/>
      <c r="F30" s="71"/>
      <c r="G30" s="71"/>
      <c r="H30" s="71"/>
      <c r="I30" s="77"/>
      <c r="J30" s="65" t="s">
        <v>331</v>
      </c>
    </row>
    <row r="31" spans="2:10" ht="15">
      <c r="B31" s="78"/>
      <c r="C31" s="71"/>
      <c r="D31" s="71"/>
      <c r="F31" s="71"/>
      <c r="G31" s="71"/>
      <c r="H31" s="71"/>
      <c r="I31" s="77"/>
      <c r="J31" s="65" t="s">
        <v>331</v>
      </c>
    </row>
    <row r="32" spans="2:10" ht="15">
      <c r="B32" s="78"/>
      <c r="C32" s="71"/>
      <c r="D32" s="71"/>
      <c r="F32" s="71"/>
      <c r="G32" s="71"/>
      <c r="H32" s="71"/>
      <c r="I32" s="77"/>
      <c r="J32" s="65" t="s">
        <v>331</v>
      </c>
    </row>
    <row r="33" spans="2:10" ht="15">
      <c r="B33" s="78"/>
      <c r="C33" s="71"/>
      <c r="D33" s="71"/>
      <c r="F33" s="71"/>
      <c r="G33" s="71"/>
      <c r="H33" s="71"/>
      <c r="I33" s="77"/>
      <c r="J33" s="65" t="s">
        <v>331</v>
      </c>
    </row>
    <row r="34" spans="2:10" ht="15">
      <c r="B34" s="78"/>
      <c r="C34" s="71"/>
      <c r="D34" s="71"/>
      <c r="F34" s="71"/>
      <c r="G34" s="71"/>
      <c r="H34" s="71"/>
      <c r="I34" s="77"/>
      <c r="J34" s="65" t="s">
        <v>331</v>
      </c>
    </row>
    <row r="35" spans="2:10" ht="15">
      <c r="B35" s="78"/>
      <c r="C35" s="71"/>
      <c r="D35" s="71"/>
      <c r="F35" s="71"/>
      <c r="G35" s="71"/>
      <c r="H35" s="71"/>
      <c r="I35" s="77"/>
      <c r="J35" s="65" t="s">
        <v>331</v>
      </c>
    </row>
    <row r="36" spans="2:10" ht="15">
      <c r="B36" s="78"/>
      <c r="C36" s="71"/>
      <c r="D36" s="71"/>
      <c r="F36" s="71"/>
      <c r="G36" s="71"/>
      <c r="H36" s="71"/>
      <c r="I36" s="77"/>
      <c r="J36" s="65" t="s">
        <v>331</v>
      </c>
    </row>
    <row r="37" spans="2:10" ht="15">
      <c r="B37" s="78"/>
      <c r="C37" s="71"/>
      <c r="D37" s="71"/>
      <c r="F37" s="71"/>
      <c r="G37" s="71"/>
      <c r="H37" s="71"/>
      <c r="I37" s="77"/>
      <c r="J37" s="65" t="s">
        <v>331</v>
      </c>
    </row>
    <row r="38" spans="2:10" ht="15">
      <c r="B38" s="78"/>
      <c r="C38" s="71"/>
      <c r="D38" s="71"/>
      <c r="F38" s="71"/>
      <c r="G38" s="71"/>
      <c r="H38" s="71"/>
      <c r="I38" s="77"/>
      <c r="J38" s="65" t="s">
        <v>331</v>
      </c>
    </row>
    <row r="39" spans="2:10" ht="15">
      <c r="B39" s="78"/>
      <c r="C39" s="71"/>
      <c r="D39" s="71"/>
      <c r="F39" s="71"/>
      <c r="G39" s="71"/>
      <c r="H39" s="71"/>
      <c r="I39" s="77"/>
      <c r="J39" s="65" t="s">
        <v>331</v>
      </c>
    </row>
    <row r="40" spans="2:10" ht="15">
      <c r="B40" s="78"/>
      <c r="C40" s="71"/>
      <c r="D40" s="71"/>
      <c r="F40" s="71"/>
      <c r="G40" s="71"/>
      <c r="H40" s="71"/>
      <c r="I40" s="77"/>
      <c r="J40" s="65" t="s">
        <v>331</v>
      </c>
    </row>
    <row r="41" spans="2:10" ht="15">
      <c r="B41" s="78"/>
      <c r="C41" s="71"/>
      <c r="D41" s="71"/>
      <c r="F41" s="71"/>
      <c r="G41" s="71"/>
      <c r="H41" s="71"/>
      <c r="I41" s="77"/>
      <c r="J41" s="65" t="s">
        <v>331</v>
      </c>
    </row>
    <row r="42" spans="2:10" ht="15">
      <c r="B42" s="78"/>
      <c r="C42" s="71"/>
      <c r="D42" s="71"/>
      <c r="F42" s="71"/>
      <c r="G42" s="71"/>
      <c r="H42" s="71"/>
      <c r="I42" s="77"/>
      <c r="J42" s="65" t="s">
        <v>331</v>
      </c>
    </row>
    <row r="43" spans="2:10" ht="15">
      <c r="B43" s="78"/>
      <c r="C43" s="71"/>
      <c r="D43" s="71"/>
      <c r="F43" s="71"/>
      <c r="G43" s="71"/>
      <c r="H43" s="71"/>
      <c r="I43" s="77"/>
      <c r="J43" s="65" t="s">
        <v>331</v>
      </c>
    </row>
    <row r="44" spans="2:10" ht="15">
      <c r="B44" s="78"/>
      <c r="C44" s="71"/>
      <c r="D44" s="71"/>
      <c r="F44" s="71"/>
      <c r="G44" s="71"/>
      <c r="H44" s="71"/>
      <c r="I44" s="77"/>
      <c r="J44" s="65" t="s">
        <v>331</v>
      </c>
    </row>
    <row r="45" spans="2:10" ht="15">
      <c r="B45" s="78"/>
      <c r="C45" s="71"/>
      <c r="D45" s="71"/>
      <c r="F45" s="71"/>
      <c r="G45" s="71"/>
      <c r="H45" s="71"/>
      <c r="I45" s="77"/>
      <c r="J45" s="65" t="s">
        <v>331</v>
      </c>
    </row>
    <row r="46" spans="2:10" ht="15">
      <c r="B46" s="78"/>
      <c r="C46" s="71"/>
      <c r="D46" s="71"/>
      <c r="F46" s="71"/>
      <c r="G46" s="71"/>
      <c r="H46" s="71"/>
      <c r="I46" s="77"/>
      <c r="J46" s="65" t="s">
        <v>331</v>
      </c>
    </row>
    <row r="47" spans="2:10" ht="15">
      <c r="B47" s="78"/>
      <c r="C47" s="71"/>
      <c r="D47" s="71"/>
      <c r="F47" s="71"/>
      <c r="G47" s="71"/>
      <c r="H47" s="71"/>
      <c r="I47" s="77"/>
      <c r="J47" s="65" t="s">
        <v>331</v>
      </c>
    </row>
    <row r="48" spans="2:10" ht="15">
      <c r="B48" s="78"/>
      <c r="C48" s="71"/>
      <c r="D48" s="71"/>
      <c r="F48" s="71"/>
      <c r="G48" s="71"/>
      <c r="H48" s="71"/>
      <c r="I48" s="77"/>
      <c r="J48" s="65" t="s">
        <v>331</v>
      </c>
    </row>
    <row r="49" spans="2:10" ht="15">
      <c r="B49" s="78"/>
      <c r="C49" s="71"/>
      <c r="D49" s="71"/>
      <c r="F49" s="71"/>
      <c r="G49" s="71"/>
      <c r="H49" s="71"/>
      <c r="I49" s="77"/>
      <c r="J49" s="65" t="s">
        <v>331</v>
      </c>
    </row>
    <row r="50" spans="2:10" ht="15">
      <c r="B50" s="78"/>
      <c r="C50" s="71"/>
      <c r="D50" s="71"/>
      <c r="F50" s="71"/>
      <c r="G50" s="71"/>
      <c r="H50" s="71"/>
      <c r="I50" s="77"/>
      <c r="J50" s="65" t="s">
        <v>331</v>
      </c>
    </row>
    <row r="51" spans="2:10" ht="15">
      <c r="B51" s="78"/>
      <c r="C51" s="71"/>
      <c r="D51" s="71"/>
      <c r="F51" s="71"/>
      <c r="G51" s="71"/>
      <c r="H51" s="71"/>
      <c r="I51" s="77"/>
      <c r="J51" s="65" t="s">
        <v>331</v>
      </c>
    </row>
    <row r="52" spans="2:10" ht="15">
      <c r="B52" s="78"/>
      <c r="C52" s="71"/>
      <c r="D52" s="71"/>
      <c r="F52" s="71"/>
      <c r="G52" s="71"/>
      <c r="H52" s="71"/>
      <c r="I52" s="77"/>
      <c r="J52" s="65" t="s">
        <v>331</v>
      </c>
    </row>
    <row r="53" spans="2:10" ht="15">
      <c r="B53" s="78"/>
      <c r="C53" s="71"/>
      <c r="D53" s="71"/>
      <c r="F53" s="71"/>
      <c r="G53" s="71"/>
      <c r="H53" s="71"/>
      <c r="I53" s="77"/>
      <c r="J53" s="65" t="s">
        <v>331</v>
      </c>
    </row>
    <row r="54" spans="2:10" ht="15">
      <c r="B54" s="78"/>
      <c r="C54" s="71"/>
      <c r="D54" s="71"/>
      <c r="F54" s="71"/>
      <c r="G54" s="71"/>
      <c r="H54" s="71"/>
      <c r="I54" s="77"/>
      <c r="J54" s="65" t="s">
        <v>331</v>
      </c>
    </row>
    <row r="55" spans="2:10" ht="15">
      <c r="B55" s="78"/>
      <c r="C55" s="71"/>
      <c r="D55" s="71"/>
      <c r="F55" s="71"/>
      <c r="G55" s="71"/>
      <c r="H55" s="71"/>
      <c r="I55" s="77"/>
      <c r="J55" s="65" t="s">
        <v>331</v>
      </c>
    </row>
    <row r="56" spans="2:10" ht="15">
      <c r="B56" s="78"/>
      <c r="C56" s="71"/>
      <c r="D56" s="71"/>
      <c r="F56" s="71"/>
      <c r="G56" s="71"/>
      <c r="H56" s="71"/>
      <c r="I56" s="77"/>
      <c r="J56" s="65" t="s">
        <v>331</v>
      </c>
    </row>
    <row r="57" spans="2:10" ht="15">
      <c r="B57" s="78"/>
      <c r="C57" s="71"/>
      <c r="D57" s="71"/>
      <c r="F57" s="71"/>
      <c r="G57" s="71"/>
      <c r="H57" s="71"/>
      <c r="I57" s="77"/>
      <c r="J57" s="65" t="s">
        <v>331</v>
      </c>
    </row>
    <row r="58" spans="2:10" ht="15">
      <c r="B58" s="78"/>
      <c r="C58" s="71"/>
      <c r="D58" s="71"/>
      <c r="F58" s="71"/>
      <c r="G58" s="71"/>
      <c r="H58" s="71"/>
      <c r="I58" s="77"/>
      <c r="J58" s="65" t="s">
        <v>331</v>
      </c>
    </row>
    <row r="59" spans="2:10" ht="15">
      <c r="B59" s="78"/>
      <c r="C59" s="71"/>
      <c r="D59" s="71"/>
      <c r="F59" s="71"/>
      <c r="G59" s="71"/>
      <c r="H59" s="71"/>
      <c r="I59" s="77"/>
      <c r="J59" s="65" t="s">
        <v>331</v>
      </c>
    </row>
    <row r="60" spans="2:10" ht="15">
      <c r="B60" s="78"/>
      <c r="C60" s="71"/>
      <c r="D60" s="71"/>
      <c r="F60" s="71"/>
      <c r="G60" s="71"/>
      <c r="H60" s="71"/>
      <c r="I60" s="77"/>
      <c r="J60" s="65" t="s">
        <v>331</v>
      </c>
    </row>
    <row r="61" spans="2:10" ht="15">
      <c r="B61" s="78"/>
      <c r="C61" s="71"/>
      <c r="D61" s="71"/>
      <c r="F61" s="71"/>
      <c r="G61" s="71"/>
      <c r="H61" s="71"/>
      <c r="I61" s="77"/>
      <c r="J61" s="65" t="s">
        <v>331</v>
      </c>
    </row>
    <row r="62" spans="2:10" ht="15">
      <c r="B62" s="78"/>
      <c r="C62" s="71"/>
      <c r="D62" s="71"/>
      <c r="F62" s="71"/>
      <c r="G62" s="71"/>
      <c r="H62" s="71"/>
      <c r="I62" s="77"/>
      <c r="J62" s="65" t="s">
        <v>331</v>
      </c>
    </row>
    <row r="63" spans="2:10" ht="15">
      <c r="B63" s="78"/>
      <c r="C63" s="71"/>
      <c r="D63" s="71"/>
      <c r="F63" s="71"/>
      <c r="G63" s="71"/>
      <c r="H63" s="71"/>
      <c r="I63" s="77"/>
      <c r="J63" s="65" t="s">
        <v>331</v>
      </c>
    </row>
    <row r="64" spans="2:10" ht="15">
      <c r="B64" s="78"/>
      <c r="C64" s="71"/>
      <c r="D64" s="71"/>
      <c r="F64" s="71"/>
      <c r="G64" s="71"/>
      <c r="H64" s="71"/>
      <c r="I64" s="77"/>
      <c r="J64" s="65" t="s">
        <v>331</v>
      </c>
    </row>
    <row r="65" spans="2:10" ht="15">
      <c r="B65" s="78"/>
      <c r="C65" s="71"/>
      <c r="D65" s="71"/>
      <c r="F65" s="71"/>
      <c r="G65" s="71"/>
      <c r="H65" s="71"/>
      <c r="I65" s="77"/>
      <c r="J65" s="65" t="s">
        <v>331</v>
      </c>
    </row>
    <row r="66" spans="2:10" ht="15">
      <c r="B66" s="78"/>
      <c r="C66" s="71"/>
      <c r="D66" s="71"/>
      <c r="F66" s="71"/>
      <c r="G66" s="71"/>
      <c r="H66" s="71"/>
      <c r="I66" s="77"/>
      <c r="J66" s="65" t="s">
        <v>331</v>
      </c>
    </row>
    <row r="67" spans="2:10" ht="15">
      <c r="B67" s="78"/>
      <c r="C67" s="71"/>
      <c r="D67" s="71"/>
      <c r="F67" s="71"/>
      <c r="G67" s="71"/>
      <c r="H67" s="71"/>
      <c r="I67" s="77"/>
      <c r="J67" s="65" t="s">
        <v>331</v>
      </c>
    </row>
    <row r="68" spans="2:10" ht="15">
      <c r="B68" s="78"/>
      <c r="C68" s="71"/>
      <c r="D68" s="71"/>
      <c r="F68" s="71"/>
      <c r="G68" s="71"/>
      <c r="H68" s="71"/>
      <c r="I68" s="77"/>
      <c r="J68" s="65" t="s">
        <v>331</v>
      </c>
    </row>
    <row r="69" spans="2:10" ht="15">
      <c r="B69" s="78"/>
      <c r="C69" s="71"/>
      <c r="D69" s="71"/>
      <c r="F69" s="71"/>
      <c r="G69" s="71"/>
      <c r="H69" s="71"/>
      <c r="I69" s="77"/>
      <c r="J69" s="65" t="s">
        <v>331</v>
      </c>
    </row>
    <row r="70" spans="2:10" ht="15">
      <c r="B70" s="78"/>
      <c r="C70" s="71"/>
      <c r="D70" s="71"/>
      <c r="F70" s="71"/>
      <c r="G70" s="71"/>
      <c r="H70" s="71"/>
      <c r="I70" s="77"/>
      <c r="J70" s="65" t="s">
        <v>331</v>
      </c>
    </row>
    <row r="71" spans="2:10" ht="15">
      <c r="B71" s="78"/>
      <c r="C71" s="71"/>
      <c r="D71" s="71"/>
      <c r="F71" s="71"/>
      <c r="G71" s="71"/>
      <c r="H71" s="71"/>
      <c r="I71" s="77"/>
      <c r="J71" s="65" t="s">
        <v>331</v>
      </c>
    </row>
    <row r="72" spans="2:10" ht="15">
      <c r="B72" s="78"/>
      <c r="C72" s="71"/>
      <c r="D72" s="71"/>
      <c r="F72" s="71"/>
      <c r="G72" s="71"/>
      <c r="H72" s="71"/>
      <c r="I72" s="77"/>
      <c r="J72" s="65" t="s">
        <v>331</v>
      </c>
    </row>
    <row r="73" spans="2:10" ht="15">
      <c r="B73" s="78"/>
      <c r="C73" s="71"/>
      <c r="D73" s="71"/>
      <c r="F73" s="71"/>
      <c r="G73" s="71"/>
      <c r="H73" s="71"/>
      <c r="I73" s="77"/>
      <c r="J73" s="65" t="s">
        <v>331</v>
      </c>
    </row>
    <row r="74" spans="2:10" ht="15">
      <c r="B74" s="78"/>
      <c r="C74" s="71"/>
      <c r="D74" s="71"/>
      <c r="F74" s="71"/>
      <c r="G74" s="71"/>
      <c r="H74" s="71"/>
      <c r="I74" s="77"/>
      <c r="J74" s="65" t="s">
        <v>331</v>
      </c>
    </row>
    <row r="75" spans="2:10" ht="15">
      <c r="B75" s="78"/>
      <c r="C75" s="71"/>
      <c r="D75" s="71"/>
      <c r="F75" s="71"/>
      <c r="G75" s="71"/>
      <c r="H75" s="71"/>
      <c r="I75" s="77"/>
      <c r="J75" s="65" t="s">
        <v>331</v>
      </c>
    </row>
    <row r="76" spans="2:10" ht="15">
      <c r="B76" s="78"/>
      <c r="C76" s="71"/>
      <c r="D76" s="71"/>
      <c r="F76" s="71"/>
      <c r="G76" s="71"/>
      <c r="H76" s="71"/>
      <c r="I76" s="77"/>
      <c r="J76" s="65" t="s">
        <v>331</v>
      </c>
    </row>
    <row r="77" spans="2:10" ht="15">
      <c r="B77" s="78"/>
      <c r="C77" s="71"/>
      <c r="D77" s="71"/>
      <c r="F77" s="71"/>
      <c r="G77" s="71"/>
      <c r="H77" s="71"/>
      <c r="I77" s="77"/>
      <c r="J77" s="65" t="s">
        <v>331</v>
      </c>
    </row>
    <row r="78" spans="2:10" ht="15">
      <c r="B78" s="78"/>
      <c r="C78" s="71"/>
      <c r="D78" s="71"/>
      <c r="F78" s="71"/>
      <c r="G78" s="71"/>
      <c r="H78" s="71"/>
      <c r="I78" s="77"/>
      <c r="J78" s="65" t="s">
        <v>331</v>
      </c>
    </row>
    <row r="79" spans="2:10" ht="15">
      <c r="B79" s="78"/>
      <c r="C79" s="71"/>
      <c r="D79" s="71"/>
      <c r="F79" s="71"/>
      <c r="G79" s="71"/>
      <c r="H79" s="71"/>
      <c r="I79" s="77"/>
      <c r="J79" s="65" t="s">
        <v>331</v>
      </c>
    </row>
    <row r="80" spans="2:10" ht="15">
      <c r="B80" s="78"/>
      <c r="C80" s="71"/>
      <c r="D80" s="71"/>
      <c r="F80" s="71"/>
      <c r="G80" s="71"/>
      <c r="H80" s="71"/>
      <c r="I80" s="77"/>
      <c r="J80" s="65" t="s">
        <v>331</v>
      </c>
    </row>
    <row r="81" spans="2:10" ht="15">
      <c r="B81" s="78"/>
      <c r="C81" s="71"/>
      <c r="D81" s="71"/>
      <c r="F81" s="71"/>
      <c r="G81" s="71"/>
      <c r="H81" s="71"/>
      <c r="I81" s="77"/>
      <c r="J81" s="65" t="s">
        <v>331</v>
      </c>
    </row>
    <row r="82" spans="2:10" ht="15">
      <c r="B82" s="78"/>
      <c r="C82" s="71"/>
      <c r="D82" s="71"/>
      <c r="F82" s="71"/>
      <c r="G82" s="71"/>
      <c r="H82" s="71"/>
      <c r="I82" s="77"/>
      <c r="J82" s="65" t="s">
        <v>331</v>
      </c>
    </row>
    <row r="83" spans="2:10" ht="15">
      <c r="B83" s="78"/>
      <c r="C83" s="71"/>
      <c r="D83" s="71"/>
      <c r="F83" s="71"/>
      <c r="G83" s="71"/>
      <c r="H83" s="71"/>
      <c r="I83" s="77"/>
      <c r="J83" s="65" t="s">
        <v>331</v>
      </c>
    </row>
    <row r="84" spans="2:10" ht="15">
      <c r="B84" s="78"/>
      <c r="C84" s="71"/>
      <c r="D84" s="71"/>
      <c r="F84" s="71"/>
      <c r="G84" s="71"/>
      <c r="H84" s="71"/>
      <c r="I84" s="77"/>
      <c r="J84" s="65" t="s">
        <v>331</v>
      </c>
    </row>
    <row r="85" spans="2:10" ht="15">
      <c r="B85" s="78"/>
      <c r="C85" s="71"/>
      <c r="D85" s="71"/>
      <c r="F85" s="71"/>
      <c r="G85" s="71"/>
      <c r="H85" s="71"/>
      <c r="I85" s="77"/>
      <c r="J85" s="65" t="s">
        <v>331</v>
      </c>
    </row>
    <row r="86" spans="2:10" ht="15">
      <c r="B86" s="78"/>
      <c r="C86" s="71"/>
      <c r="D86" s="71"/>
      <c r="F86" s="71"/>
      <c r="G86" s="71"/>
      <c r="H86" s="71"/>
      <c r="I86" s="77"/>
      <c r="J86" s="65" t="s">
        <v>331</v>
      </c>
    </row>
    <row r="87" spans="2:10" ht="15">
      <c r="B87" s="78"/>
      <c r="C87" s="71"/>
      <c r="D87" s="71"/>
      <c r="F87" s="71"/>
      <c r="G87" s="71"/>
      <c r="H87" s="71"/>
      <c r="I87" s="77"/>
      <c r="J87" s="65" t="s">
        <v>331</v>
      </c>
    </row>
    <row r="88" spans="2:10" ht="15">
      <c r="B88" s="78"/>
      <c r="C88" s="71"/>
      <c r="D88" s="71"/>
      <c r="F88" s="71"/>
      <c r="G88" s="71"/>
      <c r="H88" s="71"/>
      <c r="I88" s="77"/>
      <c r="J88" s="65" t="s">
        <v>331</v>
      </c>
    </row>
    <row r="89" spans="2:10" ht="15">
      <c r="B89" s="78"/>
      <c r="C89" s="71"/>
      <c r="D89" s="71"/>
      <c r="F89" s="71"/>
      <c r="G89" s="71"/>
      <c r="H89" s="71"/>
      <c r="I89" s="77"/>
      <c r="J89" s="65" t="s">
        <v>331</v>
      </c>
    </row>
    <row r="90" spans="2:10" ht="15">
      <c r="B90" s="78"/>
      <c r="C90" s="71"/>
      <c r="D90" s="71"/>
      <c r="F90" s="71"/>
      <c r="G90" s="71"/>
      <c r="H90" s="71"/>
      <c r="I90" s="77"/>
      <c r="J90" s="65" t="s">
        <v>331</v>
      </c>
    </row>
    <row r="91" spans="2:10" ht="15">
      <c r="B91" s="78"/>
      <c r="C91" s="71"/>
      <c r="D91" s="71"/>
      <c r="F91" s="71"/>
      <c r="G91" s="71"/>
      <c r="H91" s="71"/>
      <c r="I91" s="77"/>
      <c r="J91" s="65" t="s">
        <v>331</v>
      </c>
    </row>
    <row r="92" spans="2:10" ht="15">
      <c r="B92" s="78"/>
      <c r="C92" s="71"/>
      <c r="D92" s="71"/>
      <c r="F92" s="71"/>
      <c r="G92" s="71"/>
      <c r="H92" s="71"/>
      <c r="I92" s="77"/>
      <c r="J92" s="65" t="s">
        <v>331</v>
      </c>
    </row>
    <row r="93" spans="2:10" ht="15">
      <c r="B93" s="78"/>
      <c r="C93" s="71"/>
      <c r="D93" s="71"/>
      <c r="F93" s="71"/>
      <c r="G93" s="71"/>
      <c r="H93" s="71"/>
      <c r="I93" s="77"/>
      <c r="J93" s="65" t="s">
        <v>331</v>
      </c>
    </row>
    <row r="94" spans="2:10" ht="15">
      <c r="B94" s="78"/>
      <c r="C94" s="71"/>
      <c r="D94" s="71"/>
      <c r="F94" s="71"/>
      <c r="G94" s="71"/>
      <c r="H94" s="71"/>
      <c r="I94" s="77"/>
      <c r="J94" s="65" t="s">
        <v>331</v>
      </c>
    </row>
    <row r="95" spans="2:10" ht="15">
      <c r="B95" s="78"/>
      <c r="C95" s="71"/>
      <c r="D95" s="71"/>
      <c r="F95" s="71"/>
      <c r="G95" s="71"/>
      <c r="H95" s="71"/>
      <c r="I95" s="77"/>
      <c r="J95" s="65" t="s">
        <v>331</v>
      </c>
    </row>
    <row r="96" spans="2:10" ht="15">
      <c r="B96" s="78"/>
      <c r="C96" s="71"/>
      <c r="D96" s="71"/>
      <c r="F96" s="71"/>
      <c r="G96" s="71"/>
      <c r="H96" s="71"/>
      <c r="I96" s="77"/>
      <c r="J96" s="65" t="s">
        <v>331</v>
      </c>
    </row>
    <row r="97" spans="2:10" ht="15">
      <c r="B97" s="78"/>
      <c r="C97" s="71"/>
      <c r="D97" s="71"/>
      <c r="F97" s="71"/>
      <c r="G97" s="71"/>
      <c r="H97" s="71"/>
      <c r="I97" s="77"/>
      <c r="J97" s="65" t="s">
        <v>331</v>
      </c>
    </row>
    <row r="98" spans="2:10" ht="15">
      <c r="B98" s="78"/>
      <c r="C98" s="71"/>
      <c r="D98" s="71"/>
      <c r="F98" s="71"/>
      <c r="G98" s="71"/>
      <c r="H98" s="71"/>
      <c r="I98" s="77"/>
      <c r="J98" s="65" t="s">
        <v>331</v>
      </c>
    </row>
    <row r="99" spans="2:10" ht="15">
      <c r="B99" s="78"/>
      <c r="C99" s="71"/>
      <c r="D99" s="71"/>
      <c r="F99" s="71"/>
      <c r="G99" s="71"/>
      <c r="H99" s="71"/>
      <c r="I99" s="77"/>
      <c r="J99" s="65" t="s">
        <v>331</v>
      </c>
    </row>
    <row r="100" spans="2:10" ht="15">
      <c r="B100" s="78"/>
      <c r="C100" s="71"/>
      <c r="D100" s="71"/>
      <c r="F100" s="71"/>
      <c r="G100" s="71"/>
      <c r="H100" s="71"/>
      <c r="I100" s="77"/>
      <c r="J100" s="65" t="s">
        <v>331</v>
      </c>
    </row>
    <row r="101" spans="2:10" ht="15">
      <c r="B101" s="78"/>
      <c r="C101" s="71"/>
      <c r="D101" s="71"/>
      <c r="F101" s="71"/>
      <c r="G101" s="71"/>
      <c r="H101" s="71"/>
      <c r="I101" s="77"/>
      <c r="J101" s="65" t="s">
        <v>331</v>
      </c>
    </row>
    <row r="102" spans="2:10" ht="15">
      <c r="B102" s="78"/>
      <c r="C102" s="71"/>
      <c r="D102" s="71"/>
      <c r="F102" s="71"/>
      <c r="G102" s="71"/>
      <c r="H102" s="71"/>
      <c r="I102" s="77"/>
      <c r="J102" s="65" t="s">
        <v>331</v>
      </c>
    </row>
    <row r="103" spans="2:10" ht="15">
      <c r="B103" s="78"/>
      <c r="C103" s="71"/>
      <c r="D103" s="71"/>
      <c r="F103" s="71"/>
      <c r="G103" s="71"/>
      <c r="H103" s="71"/>
      <c r="I103" s="77"/>
      <c r="J103" s="65" t="s">
        <v>331</v>
      </c>
    </row>
    <row r="104" spans="2:10" ht="15">
      <c r="B104" s="78"/>
      <c r="C104" s="71"/>
      <c r="D104" s="71"/>
      <c r="F104" s="71"/>
      <c r="G104" s="71"/>
      <c r="H104" s="71"/>
      <c r="I104" s="77"/>
      <c r="J104" s="65" t="s">
        <v>331</v>
      </c>
    </row>
    <row r="105" spans="2:10" ht="15">
      <c r="B105" s="78"/>
      <c r="C105" s="71"/>
      <c r="D105" s="71"/>
      <c r="F105" s="71"/>
      <c r="G105" s="71"/>
      <c r="H105" s="71"/>
      <c r="I105" s="77"/>
      <c r="J105" s="65" t="s">
        <v>331</v>
      </c>
    </row>
    <row r="106" spans="2:10" ht="15">
      <c r="B106" s="78"/>
      <c r="C106" s="71"/>
      <c r="D106" s="71"/>
      <c r="F106" s="71"/>
      <c r="G106" s="71"/>
      <c r="H106" s="71"/>
      <c r="I106" s="77"/>
      <c r="J106" s="65" t="s">
        <v>331</v>
      </c>
    </row>
    <row r="107" spans="2:10" ht="15">
      <c r="B107" s="78"/>
      <c r="C107" s="71"/>
      <c r="D107" s="71"/>
      <c r="F107" s="71"/>
      <c r="G107" s="71"/>
      <c r="H107" s="71"/>
      <c r="I107" s="77"/>
      <c r="J107" s="65" t="s">
        <v>331</v>
      </c>
    </row>
    <row r="108" spans="2:10" ht="15">
      <c r="B108" s="78"/>
      <c r="C108" s="71"/>
      <c r="D108" s="71"/>
      <c r="F108" s="71"/>
      <c r="G108" s="71"/>
      <c r="H108" s="71"/>
      <c r="I108" s="77"/>
      <c r="J108" s="65" t="s">
        <v>331</v>
      </c>
    </row>
    <row r="109" spans="2:10" ht="15">
      <c r="B109" s="78"/>
      <c r="C109" s="71"/>
      <c r="D109" s="71"/>
      <c r="F109" s="71"/>
      <c r="G109" s="71"/>
      <c r="H109" s="71"/>
      <c r="I109" s="77"/>
      <c r="J109" s="65" t="s">
        <v>331</v>
      </c>
    </row>
    <row r="110" spans="2:10" ht="15">
      <c r="B110" s="78"/>
      <c r="C110" s="71"/>
      <c r="D110" s="71"/>
      <c r="F110" s="71"/>
      <c r="G110" s="71"/>
      <c r="H110" s="71"/>
      <c r="I110" s="77"/>
      <c r="J110" s="65" t="s">
        <v>331</v>
      </c>
    </row>
    <row r="111" spans="2:10" ht="15">
      <c r="B111" s="78"/>
      <c r="C111" s="71"/>
      <c r="D111" s="71"/>
      <c r="F111" s="71"/>
      <c r="G111" s="71"/>
      <c r="H111" s="71"/>
      <c r="I111" s="77"/>
      <c r="J111" s="65" t="s">
        <v>331</v>
      </c>
    </row>
    <row r="112" spans="2:10" ht="15">
      <c r="B112" s="78"/>
      <c r="C112" s="71"/>
      <c r="D112" s="71"/>
      <c r="F112" s="71"/>
      <c r="G112" s="71"/>
      <c r="H112" s="71"/>
      <c r="I112" s="77"/>
      <c r="J112" s="65" t="s">
        <v>331</v>
      </c>
    </row>
    <row r="113" spans="2:10" ht="15">
      <c r="B113" s="78"/>
      <c r="C113" s="71"/>
      <c r="D113" s="71"/>
      <c r="F113" s="71"/>
      <c r="G113" s="71"/>
      <c r="H113" s="71"/>
      <c r="I113" s="77"/>
      <c r="J113" s="65" t="s">
        <v>331</v>
      </c>
    </row>
    <row r="114" spans="2:10" ht="15">
      <c r="B114" s="78"/>
      <c r="C114" s="71"/>
      <c r="D114" s="71"/>
      <c r="F114" s="71"/>
      <c r="G114" s="71"/>
      <c r="H114" s="71"/>
      <c r="I114" s="77"/>
      <c r="J114" s="65" t="s">
        <v>331</v>
      </c>
    </row>
    <row r="115" spans="2:10" ht="15">
      <c r="B115" s="78"/>
      <c r="C115" s="71"/>
      <c r="D115" s="71"/>
      <c r="F115" s="71"/>
      <c r="G115" s="71"/>
      <c r="H115" s="71"/>
      <c r="I115" s="77"/>
      <c r="J115" s="65" t="s">
        <v>331</v>
      </c>
    </row>
    <row r="116" spans="2:10" ht="15">
      <c r="B116" s="78"/>
      <c r="C116" s="71"/>
      <c r="D116" s="71"/>
      <c r="F116" s="71"/>
      <c r="G116" s="71"/>
      <c r="H116" s="71"/>
      <c r="I116" s="77"/>
      <c r="J116" s="65" t="s">
        <v>331</v>
      </c>
    </row>
    <row r="117" spans="2:10" ht="15">
      <c r="B117" s="78"/>
      <c r="C117" s="71"/>
      <c r="D117" s="71"/>
      <c r="F117" s="71"/>
      <c r="G117" s="71"/>
      <c r="H117" s="71"/>
      <c r="I117" s="77"/>
      <c r="J117" s="65" t="s">
        <v>331</v>
      </c>
    </row>
    <row r="118" spans="2:10" ht="15">
      <c r="B118" s="78"/>
      <c r="C118" s="71"/>
      <c r="D118" s="71"/>
      <c r="F118" s="71"/>
      <c r="G118" s="71"/>
      <c r="H118" s="71"/>
      <c r="I118" s="77"/>
      <c r="J118" s="65" t="s">
        <v>331</v>
      </c>
    </row>
    <row r="119" spans="2:10" ht="15">
      <c r="B119" s="78"/>
      <c r="C119" s="71"/>
      <c r="D119" s="71"/>
      <c r="F119" s="71"/>
      <c r="G119" s="71"/>
      <c r="H119" s="71"/>
      <c r="I119" s="77"/>
      <c r="J119" s="65" t="s">
        <v>331</v>
      </c>
    </row>
    <row r="120" spans="2:10" ht="15">
      <c r="B120" s="78"/>
      <c r="C120" s="71"/>
      <c r="D120" s="71"/>
      <c r="F120" s="71"/>
      <c r="G120" s="71"/>
      <c r="H120" s="71"/>
      <c r="I120" s="77"/>
      <c r="J120" s="65" t="s">
        <v>331</v>
      </c>
    </row>
    <row r="121" spans="2:10" ht="15">
      <c r="B121" s="78"/>
      <c r="C121" s="71"/>
      <c r="D121" s="71"/>
      <c r="F121" s="71"/>
      <c r="G121" s="71"/>
      <c r="H121" s="71"/>
      <c r="I121" s="77"/>
      <c r="J121" s="65" t="s">
        <v>331</v>
      </c>
    </row>
    <row r="122" spans="2:10" ht="15">
      <c r="B122" s="78"/>
      <c r="C122" s="71"/>
      <c r="D122" s="71"/>
      <c r="F122" s="71"/>
      <c r="G122" s="71"/>
      <c r="H122" s="71"/>
      <c r="I122" s="77"/>
      <c r="J122" s="65" t="s">
        <v>331</v>
      </c>
    </row>
    <row r="123" spans="2:10" ht="15">
      <c r="B123" s="78"/>
      <c r="C123" s="71"/>
      <c r="D123" s="71"/>
      <c r="F123" s="71"/>
      <c r="G123" s="71"/>
      <c r="H123" s="71"/>
      <c r="I123" s="77"/>
      <c r="J123" s="65" t="s">
        <v>331</v>
      </c>
    </row>
    <row r="124" spans="2:10" ht="15">
      <c r="B124" s="78"/>
      <c r="C124" s="71"/>
      <c r="D124" s="71"/>
      <c r="F124" s="71"/>
      <c r="G124" s="71"/>
      <c r="H124" s="71"/>
      <c r="I124" s="77"/>
      <c r="J124" s="65" t="s">
        <v>331</v>
      </c>
    </row>
    <row r="125" spans="2:10" ht="15">
      <c r="B125" s="78"/>
      <c r="C125" s="71"/>
      <c r="D125" s="71"/>
      <c r="F125" s="71"/>
      <c r="G125" s="71"/>
      <c r="H125" s="71"/>
      <c r="I125" s="77"/>
      <c r="J125" s="65" t="s">
        <v>331</v>
      </c>
    </row>
    <row r="126" spans="2:10" ht="15">
      <c r="B126" s="78"/>
      <c r="C126" s="71"/>
      <c r="D126" s="71"/>
      <c r="F126" s="71"/>
      <c r="G126" s="71"/>
      <c r="H126" s="71"/>
      <c r="I126" s="77"/>
      <c r="J126" s="65" t="s">
        <v>331</v>
      </c>
    </row>
    <row r="127" spans="2:10" ht="15">
      <c r="B127" s="78"/>
      <c r="C127" s="71"/>
      <c r="D127" s="71"/>
      <c r="F127" s="71"/>
      <c r="G127" s="71"/>
      <c r="H127" s="71"/>
      <c r="I127" s="77"/>
      <c r="J127" s="65" t="s">
        <v>331</v>
      </c>
    </row>
    <row r="128" spans="2:10" ht="15">
      <c r="B128" s="78"/>
      <c r="C128" s="71"/>
      <c r="D128" s="71"/>
      <c r="F128" s="71"/>
      <c r="G128" s="71"/>
      <c r="H128" s="71"/>
      <c r="I128" s="77"/>
      <c r="J128" s="65" t="s">
        <v>331</v>
      </c>
    </row>
    <row r="129" spans="2:10" ht="15">
      <c r="B129" s="78"/>
      <c r="C129" s="71"/>
      <c r="D129" s="71"/>
      <c r="F129" s="71"/>
      <c r="G129" s="71"/>
      <c r="H129" s="71"/>
      <c r="I129" s="77"/>
      <c r="J129" s="65" t="s">
        <v>331</v>
      </c>
    </row>
    <row r="130" spans="2:10" ht="15">
      <c r="B130" s="78"/>
      <c r="C130" s="71"/>
      <c r="D130" s="71"/>
      <c r="F130" s="71"/>
      <c r="G130" s="71"/>
      <c r="H130" s="71"/>
      <c r="I130" s="77"/>
      <c r="J130" s="65" t="s">
        <v>331</v>
      </c>
    </row>
    <row r="131" spans="2:10" ht="15">
      <c r="B131" s="78"/>
      <c r="C131" s="71"/>
      <c r="D131" s="71"/>
      <c r="F131" s="71"/>
      <c r="G131" s="71"/>
      <c r="H131" s="71"/>
      <c r="I131" s="77"/>
      <c r="J131" s="65" t="s">
        <v>331</v>
      </c>
    </row>
    <row r="132" spans="2:10" ht="15">
      <c r="B132" s="78"/>
      <c r="C132" s="71"/>
      <c r="D132" s="71"/>
      <c r="F132" s="71"/>
      <c r="G132" s="71"/>
      <c r="H132" s="71"/>
      <c r="I132" s="77"/>
      <c r="J132" s="65" t="s">
        <v>331</v>
      </c>
    </row>
    <row r="133" spans="2:10" ht="15">
      <c r="B133" s="78"/>
      <c r="C133" s="71"/>
      <c r="D133" s="71"/>
      <c r="F133" s="71"/>
      <c r="G133" s="71"/>
      <c r="H133" s="71"/>
      <c r="I133" s="77"/>
      <c r="J133" s="65" t="s">
        <v>331</v>
      </c>
    </row>
    <row r="134" spans="2:10" ht="15">
      <c r="B134" s="78"/>
      <c r="C134" s="71"/>
      <c r="D134" s="71"/>
      <c r="F134" s="71"/>
      <c r="G134" s="71"/>
      <c r="H134" s="71"/>
      <c r="I134" s="77"/>
      <c r="J134" s="65" t="s">
        <v>331</v>
      </c>
    </row>
    <row r="135" spans="2:10" ht="15">
      <c r="B135" s="78"/>
      <c r="C135" s="71"/>
      <c r="D135" s="71"/>
      <c r="F135" s="71"/>
      <c r="G135" s="71"/>
      <c r="H135" s="71"/>
      <c r="I135" s="77"/>
      <c r="J135" s="65" t="s">
        <v>331</v>
      </c>
    </row>
    <row r="136" spans="2:10" ht="15">
      <c r="B136" s="78"/>
      <c r="C136" s="71"/>
      <c r="D136" s="71"/>
      <c r="F136" s="71"/>
      <c r="G136" s="71"/>
      <c r="H136" s="71"/>
      <c r="I136" s="77"/>
      <c r="J136" s="65" t="s">
        <v>331</v>
      </c>
    </row>
    <row r="137" spans="2:10" ht="15">
      <c r="B137" s="78"/>
      <c r="C137" s="71"/>
      <c r="D137" s="71"/>
      <c r="F137" s="71"/>
      <c r="G137" s="71"/>
      <c r="H137" s="71"/>
      <c r="I137" s="77"/>
      <c r="J137" s="65" t="s">
        <v>331</v>
      </c>
    </row>
    <row r="138" spans="2:10" ht="15">
      <c r="B138" s="78"/>
      <c r="C138" s="71"/>
      <c r="D138" s="71"/>
      <c r="F138" s="71"/>
      <c r="G138" s="71"/>
      <c r="H138" s="71"/>
      <c r="I138" s="77"/>
      <c r="J138" s="65" t="s">
        <v>331</v>
      </c>
    </row>
    <row r="139" spans="2:10" ht="15">
      <c r="B139" s="78"/>
      <c r="C139" s="71"/>
      <c r="D139" s="71"/>
      <c r="F139" s="71"/>
      <c r="G139" s="71"/>
      <c r="H139" s="71"/>
      <c r="I139" s="77"/>
      <c r="J139" s="65" t="s">
        <v>331</v>
      </c>
    </row>
    <row r="140" spans="2:10" ht="15">
      <c r="B140" s="78"/>
      <c r="C140" s="71"/>
      <c r="D140" s="71"/>
      <c r="F140" s="71"/>
      <c r="G140" s="71"/>
      <c r="H140" s="71"/>
      <c r="I140" s="77"/>
      <c r="J140" s="65" t="s">
        <v>331</v>
      </c>
    </row>
    <row r="141" spans="2:10" ht="15">
      <c r="B141" s="78"/>
      <c r="C141" s="71"/>
      <c r="D141" s="71"/>
      <c r="F141" s="71"/>
      <c r="G141" s="71"/>
      <c r="H141" s="71"/>
      <c r="I141" s="77"/>
      <c r="J141" s="65" t="s">
        <v>331</v>
      </c>
    </row>
    <row r="142" spans="2:10" ht="15">
      <c r="B142" s="78"/>
      <c r="C142" s="71"/>
      <c r="D142" s="71"/>
      <c r="F142" s="71"/>
      <c r="G142" s="71"/>
      <c r="H142" s="71"/>
      <c r="I142" s="77"/>
      <c r="J142" s="65" t="s">
        <v>331</v>
      </c>
    </row>
    <row r="143" spans="2:10" ht="15">
      <c r="B143" s="78"/>
      <c r="C143" s="71"/>
      <c r="D143" s="71"/>
      <c r="F143" s="71"/>
      <c r="G143" s="71"/>
      <c r="H143" s="71"/>
      <c r="I143" s="77"/>
      <c r="J143" s="65" t="s">
        <v>331</v>
      </c>
    </row>
    <row r="144" spans="2:10" ht="15">
      <c r="B144" s="78"/>
      <c r="C144" s="71"/>
      <c r="D144" s="71"/>
      <c r="F144" s="71"/>
      <c r="G144" s="71"/>
      <c r="H144" s="71"/>
      <c r="I144" s="77"/>
      <c r="J144" s="65" t="s">
        <v>331</v>
      </c>
    </row>
    <row r="145" spans="2:10" ht="15">
      <c r="B145" s="78"/>
      <c r="C145" s="71"/>
      <c r="D145" s="71"/>
      <c r="F145" s="71"/>
      <c r="G145" s="71"/>
      <c r="H145" s="71"/>
      <c r="I145" s="77"/>
      <c r="J145" s="65" t="s">
        <v>331</v>
      </c>
    </row>
    <row r="146" spans="2:10" ht="15">
      <c r="B146" s="78"/>
      <c r="C146" s="71"/>
      <c r="D146" s="71"/>
      <c r="F146" s="71"/>
      <c r="G146" s="71"/>
      <c r="H146" s="71"/>
      <c r="I146" s="77"/>
      <c r="J146" s="65" t="s">
        <v>331</v>
      </c>
    </row>
    <row r="147" spans="2:10" ht="15">
      <c r="B147" s="78"/>
      <c r="C147" s="71"/>
      <c r="D147" s="71"/>
      <c r="F147" s="71"/>
      <c r="G147" s="71"/>
      <c r="H147" s="71"/>
      <c r="I147" s="77"/>
      <c r="J147" s="65" t="s">
        <v>331</v>
      </c>
    </row>
    <row r="148" spans="2:10" ht="15">
      <c r="B148" s="78"/>
      <c r="C148" s="71"/>
      <c r="D148" s="71"/>
      <c r="F148" s="71"/>
      <c r="G148" s="71"/>
      <c r="H148" s="71"/>
      <c r="I148" s="77"/>
      <c r="J148" s="65" t="s">
        <v>331</v>
      </c>
    </row>
    <row r="149" spans="2:10" ht="15">
      <c r="B149" s="78"/>
      <c r="C149" s="71"/>
      <c r="D149" s="71"/>
      <c r="F149" s="71"/>
      <c r="G149" s="71"/>
      <c r="H149" s="71"/>
      <c r="I149" s="77"/>
      <c r="J149" s="65" t="s">
        <v>331</v>
      </c>
    </row>
    <row r="150" spans="2:10" ht="15">
      <c r="B150" s="78"/>
      <c r="C150" s="71"/>
      <c r="D150" s="71"/>
      <c r="F150" s="71"/>
      <c r="G150" s="71"/>
      <c r="H150" s="71"/>
      <c r="I150" s="77"/>
      <c r="J150" s="65" t="s">
        <v>331</v>
      </c>
    </row>
    <row r="151" spans="2:10" ht="15">
      <c r="B151" s="78"/>
      <c r="C151" s="71"/>
      <c r="D151" s="71"/>
      <c r="F151" s="71"/>
      <c r="G151" s="71"/>
      <c r="H151" s="71"/>
      <c r="I151" s="77"/>
      <c r="J151" s="65" t="s">
        <v>331</v>
      </c>
    </row>
    <row r="152" spans="2:10" ht="15">
      <c r="B152" s="78"/>
      <c r="C152" s="71"/>
      <c r="D152" s="71"/>
      <c r="F152" s="71"/>
      <c r="G152" s="71"/>
      <c r="H152" s="71"/>
      <c r="I152" s="77"/>
      <c r="J152" s="65" t="s">
        <v>331</v>
      </c>
    </row>
    <row r="153" spans="2:10" ht="15">
      <c r="B153" s="78"/>
      <c r="C153" s="71"/>
      <c r="D153" s="71"/>
      <c r="F153" s="71"/>
      <c r="G153" s="71"/>
      <c r="H153" s="71"/>
      <c r="I153" s="77"/>
      <c r="J153" s="65" t="s">
        <v>331</v>
      </c>
    </row>
    <row r="154" spans="2:10" ht="15">
      <c r="B154" s="78"/>
      <c r="C154" s="71"/>
      <c r="D154" s="71"/>
      <c r="F154" s="71"/>
      <c r="G154" s="71"/>
      <c r="H154" s="71"/>
      <c r="I154" s="77"/>
      <c r="J154" s="65" t="s">
        <v>331</v>
      </c>
    </row>
    <row r="155" spans="2:10" ht="15">
      <c r="B155" s="78"/>
      <c r="C155" s="71"/>
      <c r="D155" s="71"/>
      <c r="F155" s="71"/>
      <c r="G155" s="71"/>
      <c r="H155" s="71"/>
      <c r="I155" s="77"/>
      <c r="J155" s="65" t="s">
        <v>331</v>
      </c>
    </row>
    <row r="156" spans="2:10" ht="15">
      <c r="B156" s="78"/>
      <c r="C156" s="71"/>
      <c r="D156" s="71"/>
      <c r="F156" s="71"/>
      <c r="G156" s="71"/>
      <c r="H156" s="71"/>
      <c r="I156" s="77"/>
      <c r="J156" s="65" t="s">
        <v>331</v>
      </c>
    </row>
    <row r="157" spans="2:10" ht="15">
      <c r="B157" s="78"/>
      <c r="C157" s="71"/>
      <c r="D157" s="71"/>
      <c r="F157" s="71"/>
      <c r="G157" s="71"/>
      <c r="H157" s="71"/>
      <c r="I157" s="77"/>
      <c r="J157" s="65" t="s">
        <v>331</v>
      </c>
    </row>
    <row r="158" spans="2:10" ht="15">
      <c r="B158" s="78"/>
      <c r="C158" s="71"/>
      <c r="D158" s="71"/>
      <c r="F158" s="71"/>
      <c r="G158" s="71"/>
      <c r="H158" s="71"/>
      <c r="I158" s="77"/>
      <c r="J158" s="65" t="s">
        <v>331</v>
      </c>
    </row>
    <row r="159" spans="2:10" ht="15">
      <c r="B159" s="78"/>
      <c r="C159" s="71"/>
      <c r="D159" s="71"/>
      <c r="F159" s="71"/>
      <c r="G159" s="71"/>
      <c r="H159" s="71"/>
      <c r="I159" s="77"/>
      <c r="J159" s="65" t="s">
        <v>331</v>
      </c>
    </row>
    <row r="160" spans="2:10" ht="15">
      <c r="B160" s="78"/>
      <c r="C160" s="71"/>
      <c r="D160" s="71"/>
      <c r="F160" s="71"/>
      <c r="G160" s="71"/>
      <c r="H160" s="71"/>
      <c r="I160" s="77"/>
      <c r="J160" s="65" t="s">
        <v>331</v>
      </c>
    </row>
    <row r="161" spans="2:10" ht="15">
      <c r="B161" s="78"/>
      <c r="C161" s="71"/>
      <c r="D161" s="71"/>
      <c r="F161" s="71"/>
      <c r="G161" s="71"/>
      <c r="H161" s="71"/>
      <c r="I161" s="77"/>
      <c r="J161" s="65" t="s">
        <v>331</v>
      </c>
    </row>
    <row r="162" spans="2:10" ht="15">
      <c r="B162" s="78"/>
      <c r="C162" s="71"/>
      <c r="D162" s="71"/>
      <c r="F162" s="71"/>
      <c r="G162" s="71"/>
      <c r="H162" s="71"/>
      <c r="I162" s="77"/>
      <c r="J162" s="65" t="s">
        <v>331</v>
      </c>
    </row>
    <row r="163" spans="2:10" ht="15">
      <c r="B163" s="78"/>
      <c r="C163" s="71"/>
      <c r="D163" s="71"/>
      <c r="F163" s="71"/>
      <c r="G163" s="71"/>
      <c r="H163" s="71"/>
      <c r="I163" s="77"/>
      <c r="J163" s="65" t="s">
        <v>331</v>
      </c>
    </row>
    <row r="164" spans="2:10" ht="15">
      <c r="B164" s="78"/>
      <c r="C164" s="71"/>
      <c r="D164" s="71"/>
      <c r="F164" s="71"/>
      <c r="G164" s="71"/>
      <c r="H164" s="71"/>
      <c r="I164" s="77"/>
      <c r="J164" s="65" t="s">
        <v>331</v>
      </c>
    </row>
    <row r="165" spans="2:10" ht="15">
      <c r="B165" s="78"/>
      <c r="C165" s="71"/>
      <c r="D165" s="71"/>
      <c r="F165" s="71"/>
      <c r="G165" s="71"/>
      <c r="H165" s="71"/>
      <c r="I165" s="77"/>
      <c r="J165" s="65" t="s">
        <v>331</v>
      </c>
    </row>
    <row r="166" spans="2:10" ht="15">
      <c r="B166" s="78"/>
      <c r="C166" s="71"/>
      <c r="D166" s="71"/>
      <c r="F166" s="71"/>
      <c r="G166" s="71"/>
      <c r="H166" s="71"/>
      <c r="I166" s="77"/>
      <c r="J166" s="65" t="s">
        <v>331</v>
      </c>
    </row>
    <row r="167" spans="2:10" ht="15">
      <c r="B167" s="78"/>
      <c r="C167" s="71"/>
      <c r="D167" s="71"/>
      <c r="F167" s="71"/>
      <c r="G167" s="71"/>
      <c r="H167" s="71"/>
      <c r="I167" s="77"/>
      <c r="J167" s="65" t="s">
        <v>331</v>
      </c>
    </row>
    <row r="168" spans="2:10" ht="15">
      <c r="B168" s="78"/>
      <c r="C168" s="71"/>
      <c r="D168" s="71"/>
      <c r="F168" s="71"/>
      <c r="G168" s="71"/>
      <c r="H168" s="71"/>
      <c r="I168" s="77"/>
      <c r="J168" s="65" t="s">
        <v>331</v>
      </c>
    </row>
    <row r="169" spans="2:10" ht="15">
      <c r="B169" s="78"/>
      <c r="C169" s="71"/>
      <c r="D169" s="71"/>
      <c r="F169" s="71"/>
      <c r="G169" s="71"/>
      <c r="H169" s="71"/>
      <c r="I169" s="77"/>
      <c r="J169" s="65" t="s">
        <v>331</v>
      </c>
    </row>
    <row r="170" spans="2:10" ht="15">
      <c r="B170" s="78"/>
      <c r="C170" s="71"/>
      <c r="D170" s="71"/>
      <c r="F170" s="71"/>
      <c r="G170" s="71"/>
      <c r="H170" s="71"/>
      <c r="I170" s="77"/>
      <c r="J170" s="65" t="s">
        <v>331</v>
      </c>
    </row>
    <row r="171" spans="2:10" ht="15">
      <c r="B171" s="78"/>
      <c r="C171" s="71"/>
      <c r="D171" s="71"/>
      <c r="F171" s="71"/>
      <c r="G171" s="71"/>
      <c r="H171" s="71"/>
      <c r="I171" s="77"/>
      <c r="J171" s="65" t="s">
        <v>331</v>
      </c>
    </row>
    <row r="172" spans="2:10" ht="15">
      <c r="B172" s="78"/>
      <c r="C172" s="71"/>
      <c r="D172" s="71"/>
      <c r="F172" s="71"/>
      <c r="G172" s="71"/>
      <c r="H172" s="71"/>
      <c r="I172" s="77"/>
      <c r="J172" s="65" t="s">
        <v>331</v>
      </c>
    </row>
    <row r="173" spans="2:10" ht="15">
      <c r="B173" s="78"/>
      <c r="C173" s="71"/>
      <c r="D173" s="71"/>
      <c r="F173" s="71"/>
      <c r="G173" s="71"/>
      <c r="H173" s="71"/>
      <c r="I173" s="77"/>
      <c r="J173" s="65" t="s">
        <v>331</v>
      </c>
    </row>
    <row r="174" spans="2:10" ht="15">
      <c r="B174" s="78"/>
      <c r="C174" s="71"/>
      <c r="D174" s="71"/>
      <c r="F174" s="71"/>
      <c r="G174" s="71"/>
      <c r="H174" s="71"/>
      <c r="I174" s="77"/>
      <c r="J174" s="65" t="s">
        <v>331</v>
      </c>
    </row>
    <row r="175" spans="2:10" ht="15">
      <c r="B175" s="78"/>
      <c r="C175" s="71"/>
      <c r="D175" s="71"/>
      <c r="F175" s="71"/>
      <c r="G175" s="71"/>
      <c r="H175" s="71"/>
      <c r="I175" s="77"/>
      <c r="J175" s="65" t="s">
        <v>331</v>
      </c>
    </row>
    <row r="176" spans="2:10" ht="15">
      <c r="B176" s="78"/>
      <c r="C176" s="71"/>
      <c r="D176" s="71"/>
      <c r="F176" s="71"/>
      <c r="G176" s="71"/>
      <c r="H176" s="71"/>
      <c r="I176" s="77"/>
      <c r="J176" s="65" t="s">
        <v>331</v>
      </c>
    </row>
    <row r="177" spans="2:10" ht="15">
      <c r="B177" s="78"/>
      <c r="C177" s="71"/>
      <c r="D177" s="71"/>
      <c r="F177" s="71"/>
      <c r="G177" s="71"/>
      <c r="H177" s="71"/>
      <c r="I177" s="77"/>
      <c r="J177" s="65" t="s">
        <v>331</v>
      </c>
    </row>
    <row r="178" spans="2:10" ht="15">
      <c r="B178" s="78"/>
      <c r="C178" s="71"/>
      <c r="D178" s="71"/>
      <c r="F178" s="71"/>
      <c r="G178" s="71"/>
      <c r="H178" s="71"/>
      <c r="I178" s="77"/>
      <c r="J178" s="65" t="s">
        <v>331</v>
      </c>
    </row>
    <row r="179" spans="2:10" ht="15">
      <c r="B179" s="78"/>
      <c r="C179" s="71"/>
      <c r="D179" s="71"/>
      <c r="F179" s="71"/>
      <c r="G179" s="71"/>
      <c r="H179" s="71"/>
      <c r="I179" s="77"/>
      <c r="J179" s="65" t="s">
        <v>331</v>
      </c>
    </row>
    <row r="180" spans="2:10" ht="15">
      <c r="B180" s="78"/>
      <c r="C180" s="71"/>
      <c r="D180" s="71"/>
      <c r="F180" s="71"/>
      <c r="G180" s="71"/>
      <c r="H180" s="71"/>
      <c r="I180" s="77"/>
      <c r="J180" s="65" t="s">
        <v>331</v>
      </c>
    </row>
    <row r="181" spans="2:10" ht="15">
      <c r="B181" s="78"/>
      <c r="C181" s="71"/>
      <c r="D181" s="71"/>
      <c r="F181" s="71"/>
      <c r="G181" s="71"/>
      <c r="H181" s="71"/>
      <c r="I181" s="77"/>
      <c r="J181" s="65" t="s">
        <v>331</v>
      </c>
    </row>
    <row r="182" spans="2:10" ht="15">
      <c r="B182" s="78"/>
      <c r="C182" s="71"/>
      <c r="D182" s="71"/>
      <c r="F182" s="71"/>
      <c r="G182" s="71"/>
      <c r="H182" s="71"/>
      <c r="I182" s="77"/>
      <c r="J182" s="65" t="s">
        <v>331</v>
      </c>
    </row>
    <row r="183" spans="2:10" ht="15">
      <c r="B183" s="78"/>
      <c r="C183" s="71"/>
      <c r="D183" s="71"/>
      <c r="F183" s="71"/>
      <c r="G183" s="71"/>
      <c r="H183" s="71"/>
      <c r="I183" s="77"/>
      <c r="J183" s="65" t="s">
        <v>331</v>
      </c>
    </row>
    <row r="184" spans="2:10" ht="15">
      <c r="B184" s="78"/>
      <c r="C184" s="71"/>
      <c r="D184" s="71"/>
      <c r="F184" s="71"/>
      <c r="G184" s="71"/>
      <c r="H184" s="71"/>
      <c r="I184" s="77"/>
      <c r="J184" s="65" t="s">
        <v>331</v>
      </c>
    </row>
    <row r="185" spans="2:10" ht="15">
      <c r="B185" s="78"/>
      <c r="C185" s="71"/>
      <c r="D185" s="71"/>
      <c r="F185" s="71"/>
      <c r="G185" s="71"/>
      <c r="H185" s="71"/>
      <c r="I185" s="77"/>
      <c r="J185" s="65" t="s">
        <v>331</v>
      </c>
    </row>
    <row r="186" spans="2:10" ht="15">
      <c r="B186" s="78"/>
      <c r="C186" s="71"/>
      <c r="D186" s="71"/>
      <c r="F186" s="71"/>
      <c r="G186" s="71"/>
      <c r="H186" s="71"/>
      <c r="I186" s="77"/>
      <c r="J186" s="65" t="s">
        <v>331</v>
      </c>
    </row>
    <row r="187" spans="2:10" ht="15">
      <c r="B187" s="78"/>
      <c r="C187" s="71"/>
      <c r="D187" s="71"/>
      <c r="F187" s="71"/>
      <c r="G187" s="71"/>
      <c r="H187" s="71"/>
      <c r="I187" s="77"/>
      <c r="J187" s="65" t="s">
        <v>331</v>
      </c>
    </row>
    <row r="188" spans="2:10" ht="15">
      <c r="B188" s="78"/>
      <c r="C188" s="71"/>
      <c r="D188" s="71"/>
      <c r="F188" s="71"/>
      <c r="G188" s="71"/>
      <c r="H188" s="71"/>
      <c r="I188" s="77"/>
      <c r="J188" s="65" t="s">
        <v>331</v>
      </c>
    </row>
    <row r="189" spans="2:10" ht="15">
      <c r="B189" s="78"/>
      <c r="C189" s="71"/>
      <c r="D189" s="71"/>
      <c r="F189" s="71"/>
      <c r="G189" s="71"/>
      <c r="H189" s="71"/>
      <c r="I189" s="77"/>
      <c r="J189" s="65" t="s">
        <v>331</v>
      </c>
    </row>
    <row r="190" spans="2:10" ht="15">
      <c r="B190" s="78"/>
      <c r="C190" s="71"/>
      <c r="D190" s="71"/>
      <c r="F190" s="71"/>
      <c r="G190" s="71"/>
      <c r="H190" s="71"/>
      <c r="I190" s="77"/>
      <c r="J190" s="65" t="s">
        <v>331</v>
      </c>
    </row>
    <row r="191" spans="2:10" ht="15">
      <c r="B191" s="78"/>
      <c r="C191" s="71"/>
      <c r="D191" s="71"/>
      <c r="F191" s="71"/>
      <c r="G191" s="71"/>
      <c r="H191" s="71"/>
      <c r="I191" s="77"/>
      <c r="J191" s="65" t="s">
        <v>331</v>
      </c>
    </row>
    <row r="192" spans="2:10" ht="15">
      <c r="B192" s="78"/>
      <c r="C192" s="71"/>
      <c r="D192" s="71"/>
      <c r="F192" s="71"/>
      <c r="G192" s="71"/>
      <c r="H192" s="71"/>
      <c r="I192" s="77"/>
      <c r="J192" s="65" t="s">
        <v>331</v>
      </c>
    </row>
    <row r="193" spans="2:10" ht="15">
      <c r="B193" s="78"/>
      <c r="C193" s="71"/>
      <c r="D193" s="71"/>
      <c r="F193" s="71"/>
      <c r="G193" s="71"/>
      <c r="H193" s="71"/>
      <c r="I193" s="77"/>
      <c r="J193" s="65" t="s">
        <v>331</v>
      </c>
    </row>
    <row r="194" spans="2:10" ht="15">
      <c r="B194" s="78"/>
      <c r="C194" s="71"/>
      <c r="D194" s="71"/>
      <c r="F194" s="71"/>
      <c r="G194" s="71"/>
      <c r="H194" s="71"/>
      <c r="I194" s="77"/>
      <c r="J194" s="65" t="s">
        <v>331</v>
      </c>
    </row>
    <row r="195" spans="2:10" ht="15">
      <c r="B195" s="78"/>
      <c r="C195" s="71"/>
      <c r="D195" s="71"/>
      <c r="F195" s="71"/>
      <c r="G195" s="71"/>
      <c r="H195" s="71"/>
      <c r="I195" s="77"/>
      <c r="J195" s="65" t="s">
        <v>331</v>
      </c>
    </row>
    <row r="196" spans="2:10" ht="15">
      <c r="B196" s="78"/>
      <c r="C196" s="71"/>
      <c r="D196" s="71"/>
      <c r="F196" s="71"/>
      <c r="G196" s="71"/>
      <c r="H196" s="71"/>
      <c r="I196" s="77"/>
      <c r="J196" s="65" t="s">
        <v>331</v>
      </c>
    </row>
    <row r="197" spans="2:10" ht="15">
      <c r="B197" s="78"/>
      <c r="C197" s="71"/>
      <c r="D197" s="71"/>
      <c r="F197" s="71"/>
      <c r="G197" s="71"/>
      <c r="H197" s="71"/>
      <c r="I197" s="77"/>
      <c r="J197" s="65" t="s">
        <v>331</v>
      </c>
    </row>
    <row r="198" spans="2:10" ht="15">
      <c r="B198" s="78"/>
      <c r="C198" s="71"/>
      <c r="D198" s="71"/>
      <c r="F198" s="71"/>
      <c r="G198" s="71"/>
      <c r="H198" s="71"/>
      <c r="I198" s="77"/>
      <c r="J198" s="65" t="s">
        <v>331</v>
      </c>
    </row>
    <row r="199" spans="2:10" ht="15">
      <c r="B199" s="78"/>
      <c r="C199" s="71"/>
      <c r="D199" s="71"/>
      <c r="F199" s="71"/>
      <c r="G199" s="71"/>
      <c r="H199" s="71"/>
      <c r="I199" s="77"/>
      <c r="J199" s="65" t="s">
        <v>331</v>
      </c>
    </row>
    <row r="200" spans="2:10" ht="15">
      <c r="B200" s="78"/>
      <c r="C200" s="71"/>
      <c r="D200" s="71"/>
      <c r="F200" s="71"/>
      <c r="G200" s="71"/>
      <c r="H200" s="71"/>
      <c r="I200" s="77"/>
      <c r="J200" s="65" t="s">
        <v>331</v>
      </c>
    </row>
    <row r="201" spans="2:10" ht="15">
      <c r="B201" s="78"/>
      <c r="C201" s="71"/>
      <c r="D201" s="71"/>
      <c r="F201" s="71"/>
      <c r="G201" s="71"/>
      <c r="H201" s="71"/>
      <c r="I201" s="77"/>
      <c r="J201" s="65" t="s">
        <v>331</v>
      </c>
    </row>
    <row r="202" spans="2:10" ht="15">
      <c r="B202" s="78"/>
      <c r="C202" s="71"/>
      <c r="D202" s="71"/>
      <c r="F202" s="71"/>
      <c r="G202" s="71"/>
      <c r="H202" s="71"/>
      <c r="I202" s="77"/>
      <c r="J202" s="65" t="s">
        <v>331</v>
      </c>
    </row>
    <row r="203" spans="2:10" ht="15">
      <c r="B203" s="78"/>
      <c r="C203" s="71"/>
      <c r="D203" s="71"/>
      <c r="F203" s="71"/>
      <c r="G203" s="71"/>
      <c r="H203" s="71"/>
      <c r="I203" s="77"/>
      <c r="J203" s="65" t="s">
        <v>331</v>
      </c>
    </row>
    <row r="204" spans="2:10" ht="15">
      <c r="B204" s="78"/>
      <c r="C204" s="71"/>
      <c r="D204" s="71"/>
      <c r="F204" s="71"/>
      <c r="G204" s="71"/>
      <c r="H204" s="71"/>
      <c r="I204" s="77"/>
      <c r="J204" s="65" t="s">
        <v>331</v>
      </c>
    </row>
    <row r="205" spans="2:10" ht="15">
      <c r="B205" s="78"/>
      <c r="C205" s="71"/>
      <c r="D205" s="71"/>
      <c r="F205" s="71"/>
      <c r="G205" s="71"/>
      <c r="H205" s="71"/>
      <c r="I205" s="77"/>
      <c r="J205" s="65" t="s">
        <v>331</v>
      </c>
    </row>
    <row r="206" spans="2:10" ht="15">
      <c r="B206" s="78"/>
      <c r="C206" s="71"/>
      <c r="D206" s="71"/>
      <c r="F206" s="71"/>
      <c r="G206" s="71"/>
      <c r="H206" s="71"/>
      <c r="I206" s="77"/>
      <c r="J206" s="65" t="s">
        <v>331</v>
      </c>
    </row>
    <row r="207" spans="2:10" ht="15">
      <c r="B207" s="78"/>
      <c r="C207" s="71"/>
      <c r="D207" s="71"/>
      <c r="F207" s="71"/>
      <c r="G207" s="71"/>
      <c r="H207" s="71"/>
      <c r="I207" s="77"/>
      <c r="J207" s="65" t="s">
        <v>331</v>
      </c>
    </row>
    <row r="208" spans="2:10" ht="15">
      <c r="B208" s="78"/>
      <c r="C208" s="71"/>
      <c r="D208" s="71"/>
      <c r="F208" s="71"/>
      <c r="G208" s="71"/>
      <c r="H208" s="71"/>
      <c r="I208" s="77"/>
      <c r="J208" s="65" t="s">
        <v>331</v>
      </c>
    </row>
    <row r="209" spans="2:10" ht="15">
      <c r="B209" s="78"/>
      <c r="C209" s="71"/>
      <c r="D209" s="71"/>
      <c r="F209" s="71"/>
      <c r="G209" s="71"/>
      <c r="H209" s="71"/>
      <c r="I209" s="77"/>
      <c r="J209" s="65" t="s">
        <v>331</v>
      </c>
    </row>
    <row r="210" spans="2:10" ht="15">
      <c r="B210" s="78"/>
      <c r="C210" s="71"/>
      <c r="D210" s="71"/>
      <c r="F210" s="71"/>
      <c r="G210" s="71"/>
      <c r="H210" s="71"/>
      <c r="I210" s="77"/>
      <c r="J210" s="65" t="s">
        <v>331</v>
      </c>
    </row>
    <row r="211" spans="2:10" ht="15">
      <c r="B211" s="78"/>
      <c r="C211" s="71"/>
      <c r="D211" s="71"/>
      <c r="F211" s="71"/>
      <c r="G211" s="71"/>
      <c r="H211" s="71"/>
      <c r="I211" s="77"/>
      <c r="J211" s="65" t="s">
        <v>331</v>
      </c>
    </row>
    <row r="212" spans="2:10" ht="15">
      <c r="B212" s="78"/>
      <c r="C212" s="71"/>
      <c r="D212" s="71"/>
      <c r="F212" s="71"/>
      <c r="G212" s="71"/>
      <c r="H212" s="71"/>
      <c r="I212" s="77"/>
      <c r="J212" s="65" t="s">
        <v>331</v>
      </c>
    </row>
    <row r="213" spans="2:10" ht="15">
      <c r="B213" s="78"/>
      <c r="C213" s="71"/>
      <c r="D213" s="71"/>
      <c r="F213" s="71"/>
      <c r="G213" s="71"/>
      <c r="H213" s="71"/>
      <c r="I213" s="77"/>
      <c r="J213" s="65" t="s">
        <v>331</v>
      </c>
    </row>
    <row r="214" spans="2:10" ht="15">
      <c r="B214" s="78"/>
      <c r="C214" s="71"/>
      <c r="D214" s="71"/>
      <c r="F214" s="71"/>
      <c r="G214" s="71"/>
      <c r="H214" s="71"/>
      <c r="I214" s="77"/>
      <c r="J214" s="65" t="s">
        <v>331</v>
      </c>
    </row>
    <row r="215" spans="2:10" ht="15">
      <c r="B215" s="78"/>
      <c r="C215" s="71"/>
      <c r="D215" s="71"/>
      <c r="F215" s="71"/>
      <c r="G215" s="71"/>
      <c r="H215" s="71"/>
      <c r="I215" s="77"/>
      <c r="J215" s="65" t="s">
        <v>331</v>
      </c>
    </row>
    <row r="216" spans="2:10" ht="15">
      <c r="B216" s="78"/>
      <c r="C216" s="71"/>
      <c r="D216" s="71"/>
      <c r="F216" s="71"/>
      <c r="G216" s="71"/>
      <c r="H216" s="71"/>
      <c r="I216" s="77"/>
      <c r="J216" s="65" t="s">
        <v>331</v>
      </c>
    </row>
    <row r="217" spans="2:10" ht="15">
      <c r="B217" s="78"/>
      <c r="C217" s="71"/>
      <c r="D217" s="71"/>
      <c r="F217" s="71"/>
      <c r="G217" s="71"/>
      <c r="H217" s="71"/>
      <c r="I217" s="77"/>
      <c r="J217" s="65" t="s">
        <v>331</v>
      </c>
    </row>
    <row r="218" spans="2:10" ht="15">
      <c r="B218" s="78"/>
      <c r="C218" s="71"/>
      <c r="D218" s="71"/>
      <c r="F218" s="71"/>
      <c r="G218" s="71"/>
      <c r="H218" s="71"/>
      <c r="I218" s="77"/>
      <c r="J218" s="65" t="s">
        <v>331</v>
      </c>
    </row>
    <row r="219" spans="2:10" ht="15">
      <c r="B219" s="78"/>
      <c r="C219" s="71"/>
      <c r="D219" s="71"/>
      <c r="F219" s="71"/>
      <c r="G219" s="71"/>
      <c r="H219" s="71"/>
      <c r="I219" s="77"/>
      <c r="J219" s="65" t="s">
        <v>331</v>
      </c>
    </row>
    <row r="220" spans="2:10" ht="15">
      <c r="B220" s="78"/>
      <c r="C220" s="71"/>
      <c r="D220" s="71"/>
      <c r="F220" s="71"/>
      <c r="G220" s="71"/>
      <c r="H220" s="71"/>
      <c r="I220" s="77"/>
      <c r="J220" s="65" t="s">
        <v>331</v>
      </c>
    </row>
    <row r="221" spans="2:10" ht="15">
      <c r="B221" s="78"/>
      <c r="C221" s="71"/>
      <c r="D221" s="71"/>
      <c r="F221" s="71"/>
      <c r="G221" s="71"/>
      <c r="H221" s="71"/>
      <c r="I221" s="77"/>
      <c r="J221" s="65" t="s">
        <v>331</v>
      </c>
    </row>
    <row r="222" spans="2:10" ht="15">
      <c r="B222" s="78"/>
      <c r="C222" s="71"/>
      <c r="D222" s="71"/>
      <c r="F222" s="71"/>
      <c r="G222" s="71"/>
      <c r="H222" s="71"/>
      <c r="I222" s="77"/>
      <c r="J222" s="65" t="s">
        <v>331</v>
      </c>
    </row>
    <row r="223" spans="2:10" ht="15">
      <c r="B223" s="78"/>
      <c r="C223" s="71"/>
      <c r="D223" s="71"/>
      <c r="F223" s="71"/>
      <c r="G223" s="71"/>
      <c r="H223" s="71"/>
      <c r="I223" s="77"/>
      <c r="J223" s="65" t="s">
        <v>331</v>
      </c>
    </row>
    <row r="224" spans="2:10" ht="15">
      <c r="B224" s="78"/>
      <c r="C224" s="71"/>
      <c r="D224" s="71"/>
      <c r="F224" s="71"/>
      <c r="G224" s="71"/>
      <c r="H224" s="71"/>
      <c r="I224" s="77"/>
      <c r="J224" s="65" t="s">
        <v>331</v>
      </c>
    </row>
    <row r="225" spans="2:10" ht="15">
      <c r="B225" s="78"/>
      <c r="C225" s="71"/>
      <c r="D225" s="71"/>
      <c r="F225" s="71"/>
      <c r="G225" s="71"/>
      <c r="H225" s="71"/>
      <c r="I225" s="77"/>
      <c r="J225" s="65" t="s">
        <v>331</v>
      </c>
    </row>
    <row r="226" spans="2:10" ht="15">
      <c r="B226" s="78"/>
      <c r="C226" s="71"/>
      <c r="D226" s="71"/>
      <c r="F226" s="71"/>
      <c r="G226" s="71"/>
      <c r="H226" s="71"/>
      <c r="I226" s="77"/>
      <c r="J226" s="65" t="s">
        <v>331</v>
      </c>
    </row>
    <row r="227" spans="2:10" ht="15">
      <c r="B227" s="78"/>
      <c r="C227" s="71"/>
      <c r="D227" s="71"/>
      <c r="F227" s="71"/>
      <c r="G227" s="71"/>
      <c r="H227" s="71"/>
      <c r="I227" s="77"/>
      <c r="J227" s="65" t="s">
        <v>331</v>
      </c>
    </row>
    <row r="228" spans="2:10" ht="15">
      <c r="B228" s="78"/>
      <c r="C228" s="71"/>
      <c r="D228" s="71"/>
      <c r="F228" s="71"/>
      <c r="G228" s="71"/>
      <c r="H228" s="71"/>
      <c r="I228" s="77"/>
      <c r="J228" s="65" t="s">
        <v>331</v>
      </c>
    </row>
    <row r="229" spans="2:10" ht="15">
      <c r="B229" s="78"/>
      <c r="C229" s="71"/>
      <c r="D229" s="71"/>
      <c r="F229" s="71"/>
      <c r="G229" s="71"/>
      <c r="H229" s="71"/>
      <c r="I229" s="77"/>
      <c r="J229" s="65" t="s">
        <v>331</v>
      </c>
    </row>
    <row r="230" spans="2:10" ht="15">
      <c r="B230" s="78"/>
      <c r="C230" s="71"/>
      <c r="D230" s="71"/>
      <c r="F230" s="71"/>
      <c r="G230" s="71"/>
      <c r="H230" s="71"/>
      <c r="I230" s="77"/>
      <c r="J230" s="65" t="s">
        <v>331</v>
      </c>
    </row>
    <row r="231" spans="2:10" ht="15">
      <c r="B231" s="78"/>
      <c r="C231" s="71"/>
      <c r="D231" s="71"/>
      <c r="F231" s="71"/>
      <c r="G231" s="71"/>
      <c r="H231" s="71"/>
      <c r="I231" s="77"/>
      <c r="J231" s="65" t="s">
        <v>331</v>
      </c>
    </row>
    <row r="232" spans="2:10" ht="15">
      <c r="B232" s="78"/>
      <c r="C232" s="71"/>
      <c r="D232" s="71"/>
      <c r="F232" s="71"/>
      <c r="G232" s="71"/>
      <c r="H232" s="71"/>
      <c r="I232" s="77"/>
      <c r="J232" s="65" t="s">
        <v>331</v>
      </c>
    </row>
    <row r="233" spans="2:10" ht="15">
      <c r="B233" s="78"/>
      <c r="C233" s="71"/>
      <c r="D233" s="71"/>
      <c r="F233" s="71"/>
      <c r="G233" s="71"/>
      <c r="H233" s="71"/>
      <c r="I233" s="77"/>
      <c r="J233" s="65" t="s">
        <v>331</v>
      </c>
    </row>
    <row r="234" spans="2:10" ht="15">
      <c r="B234" s="78"/>
      <c r="C234" s="71"/>
      <c r="D234" s="71"/>
      <c r="F234" s="71"/>
      <c r="G234" s="71"/>
      <c r="H234" s="71"/>
      <c r="I234" s="77"/>
      <c r="J234" s="65" t="s">
        <v>331</v>
      </c>
    </row>
    <row r="235" spans="2:10" ht="15">
      <c r="B235" s="78"/>
      <c r="C235" s="71"/>
      <c r="D235" s="71"/>
      <c r="F235" s="71"/>
      <c r="G235" s="71"/>
      <c r="H235" s="71"/>
      <c r="I235" s="77"/>
      <c r="J235" s="65" t="s">
        <v>331</v>
      </c>
    </row>
    <row r="236" spans="2:10" ht="15">
      <c r="B236" s="78"/>
      <c r="C236" s="71"/>
      <c r="D236" s="71"/>
      <c r="F236" s="71"/>
      <c r="G236" s="71"/>
      <c r="H236" s="71"/>
      <c r="I236" s="77"/>
      <c r="J236" s="65" t="s">
        <v>331</v>
      </c>
    </row>
    <row r="237" spans="2:10" ht="15">
      <c r="B237" s="78"/>
      <c r="C237" s="71"/>
      <c r="D237" s="71"/>
      <c r="F237" s="71"/>
      <c r="G237" s="71"/>
      <c r="H237" s="71"/>
      <c r="I237" s="77"/>
      <c r="J237" s="65" t="s">
        <v>331</v>
      </c>
    </row>
    <row r="238" spans="2:10" ht="15">
      <c r="B238" s="78"/>
      <c r="C238" s="71"/>
      <c r="D238" s="71"/>
      <c r="F238" s="71"/>
      <c r="G238" s="71"/>
      <c r="H238" s="71"/>
      <c r="I238" s="77"/>
      <c r="J238" s="65" t="s">
        <v>331</v>
      </c>
    </row>
    <row r="239" spans="2:10" ht="15">
      <c r="B239" s="78"/>
      <c r="C239" s="71"/>
      <c r="D239" s="71"/>
      <c r="F239" s="71"/>
      <c r="G239" s="71"/>
      <c r="H239" s="71"/>
      <c r="I239" s="77"/>
      <c r="J239" s="65" t="s">
        <v>331</v>
      </c>
    </row>
    <row r="240" spans="2:10" ht="15">
      <c r="B240" s="78"/>
      <c r="C240" s="71"/>
      <c r="D240" s="71"/>
      <c r="F240" s="71"/>
      <c r="G240" s="71"/>
      <c r="H240" s="71"/>
      <c r="I240" s="77"/>
      <c r="J240" s="65" t="s">
        <v>331</v>
      </c>
    </row>
    <row r="241" spans="2:10" ht="15">
      <c r="B241" s="78"/>
      <c r="C241" s="71"/>
      <c r="D241" s="71"/>
      <c r="F241" s="71"/>
      <c r="G241" s="71"/>
      <c r="H241" s="71"/>
      <c r="I241" s="77"/>
      <c r="J241" s="65" t="s">
        <v>331</v>
      </c>
    </row>
    <row r="242" spans="2:10" ht="15">
      <c r="B242" s="78"/>
      <c r="C242" s="71"/>
      <c r="D242" s="71"/>
      <c r="F242" s="71"/>
      <c r="G242" s="71"/>
      <c r="H242" s="71"/>
      <c r="I242" s="77"/>
      <c r="J242" s="65" t="s">
        <v>331</v>
      </c>
    </row>
    <row r="243" spans="2:10" ht="15">
      <c r="B243" s="78"/>
      <c r="C243" s="71"/>
      <c r="D243" s="71"/>
      <c r="F243" s="71"/>
      <c r="G243" s="71"/>
      <c r="H243" s="71"/>
      <c r="I243" s="77"/>
      <c r="J243" s="65" t="s">
        <v>331</v>
      </c>
    </row>
    <row r="244" spans="2:10" ht="15">
      <c r="B244" s="78"/>
      <c r="C244" s="71"/>
      <c r="D244" s="71"/>
      <c r="F244" s="71"/>
      <c r="G244" s="71"/>
      <c r="H244" s="71"/>
      <c r="I244" s="77"/>
      <c r="J244" s="65" t="s">
        <v>331</v>
      </c>
    </row>
    <row r="245" spans="2:10" ht="15">
      <c r="B245" s="78"/>
      <c r="C245" s="71"/>
      <c r="D245" s="71"/>
      <c r="F245" s="71"/>
      <c r="G245" s="71"/>
      <c r="H245" s="71"/>
      <c r="I245" s="77"/>
      <c r="J245" s="65" t="s">
        <v>331</v>
      </c>
    </row>
    <row r="246" spans="2:10" ht="15">
      <c r="B246" s="78"/>
      <c r="C246" s="71"/>
      <c r="D246" s="71"/>
      <c r="F246" s="71"/>
      <c r="G246" s="71"/>
      <c r="H246" s="71"/>
      <c r="I246" s="77"/>
      <c r="J246" s="65" t="s">
        <v>331</v>
      </c>
    </row>
    <row r="247" spans="2:10" ht="15">
      <c r="B247" s="78"/>
      <c r="C247" s="71"/>
      <c r="D247" s="71"/>
      <c r="F247" s="71"/>
      <c r="G247" s="71"/>
      <c r="H247" s="71"/>
      <c r="I247" s="77"/>
      <c r="J247" s="65" t="s">
        <v>331</v>
      </c>
    </row>
    <row r="248" spans="2:10" ht="15">
      <c r="B248" s="78"/>
      <c r="C248" s="71"/>
      <c r="D248" s="71"/>
      <c r="F248" s="71"/>
      <c r="G248" s="71"/>
      <c r="H248" s="71"/>
      <c r="I248" s="77"/>
      <c r="J248" s="65" t="s">
        <v>331</v>
      </c>
    </row>
    <row r="249" spans="2:10" ht="15">
      <c r="B249" s="78"/>
      <c r="C249" s="71"/>
      <c r="D249" s="71"/>
      <c r="F249" s="71"/>
      <c r="G249" s="71"/>
      <c r="H249" s="71"/>
      <c r="I249" s="77"/>
      <c r="J249" s="65" t="s">
        <v>331</v>
      </c>
    </row>
    <row r="250" spans="2:10" ht="15">
      <c r="B250" s="78"/>
      <c r="C250" s="71"/>
      <c r="D250" s="71"/>
      <c r="F250" s="71"/>
      <c r="G250" s="71"/>
      <c r="H250" s="71"/>
      <c r="I250" s="77"/>
      <c r="J250" s="65" t="s">
        <v>331</v>
      </c>
    </row>
    <row r="251" spans="2:10" ht="15">
      <c r="B251" s="78"/>
      <c r="C251" s="71"/>
      <c r="D251" s="71"/>
      <c r="F251" s="71"/>
      <c r="G251" s="71"/>
      <c r="H251" s="71"/>
      <c r="I251" s="77"/>
      <c r="J251" s="65" t="s">
        <v>331</v>
      </c>
    </row>
    <row r="252" spans="2:10" ht="15">
      <c r="B252" s="78"/>
      <c r="C252" s="71"/>
      <c r="D252" s="71"/>
      <c r="F252" s="71"/>
      <c r="G252" s="71"/>
      <c r="H252" s="71"/>
      <c r="I252" s="77"/>
      <c r="J252" s="65" t="s">
        <v>331</v>
      </c>
    </row>
    <row r="253" spans="2:10" ht="15">
      <c r="B253" s="78"/>
      <c r="C253" s="71"/>
      <c r="D253" s="71"/>
      <c r="F253" s="71"/>
      <c r="G253" s="71"/>
      <c r="H253" s="71"/>
      <c r="I253" s="77"/>
      <c r="J253" s="65" t="s">
        <v>331</v>
      </c>
    </row>
    <row r="254" spans="2:10" ht="15">
      <c r="B254" s="78"/>
      <c r="C254" s="71"/>
      <c r="D254" s="71"/>
      <c r="F254" s="71"/>
      <c r="G254" s="71"/>
      <c r="H254" s="71"/>
      <c r="I254" s="77"/>
      <c r="J254" s="65" t="s">
        <v>331</v>
      </c>
    </row>
    <row r="255" spans="2:10" ht="15">
      <c r="B255" s="78"/>
      <c r="C255" s="71"/>
      <c r="D255" s="71"/>
      <c r="F255" s="71"/>
      <c r="G255" s="71"/>
      <c r="H255" s="71"/>
      <c r="I255" s="77"/>
      <c r="J255" s="65" t="s">
        <v>331</v>
      </c>
    </row>
    <row r="256" spans="2:10" ht="15">
      <c r="B256" s="78"/>
      <c r="C256" s="71"/>
      <c r="D256" s="71"/>
      <c r="F256" s="71"/>
      <c r="G256" s="71"/>
      <c r="H256" s="71"/>
      <c r="I256" s="77"/>
      <c r="J256" s="65" t="s">
        <v>331</v>
      </c>
    </row>
    <row r="257" spans="2:10" ht="15">
      <c r="B257" s="78"/>
      <c r="C257" s="71"/>
      <c r="D257" s="71"/>
      <c r="F257" s="71"/>
      <c r="G257" s="71"/>
      <c r="H257" s="71"/>
      <c r="I257" s="77"/>
      <c r="J257" s="65" t="s">
        <v>331</v>
      </c>
    </row>
    <row r="258" spans="2:10" ht="15">
      <c r="B258" s="78"/>
      <c r="C258" s="71"/>
      <c r="D258" s="71"/>
      <c r="F258" s="71"/>
      <c r="G258" s="71"/>
      <c r="H258" s="71"/>
      <c r="I258" s="77"/>
      <c r="J258" s="65" t="s">
        <v>331</v>
      </c>
    </row>
    <row r="259" spans="2:10" ht="15">
      <c r="B259" s="78"/>
      <c r="C259" s="71"/>
      <c r="D259" s="71"/>
      <c r="F259" s="71"/>
      <c r="G259" s="71"/>
      <c r="H259" s="71"/>
      <c r="I259" s="77"/>
      <c r="J259" s="65" t="s">
        <v>331</v>
      </c>
    </row>
    <row r="260" spans="2:10" ht="15">
      <c r="B260" s="78"/>
      <c r="C260" s="71"/>
      <c r="D260" s="71"/>
      <c r="F260" s="71"/>
      <c r="G260" s="71"/>
      <c r="H260" s="71"/>
      <c r="I260" s="77"/>
      <c r="J260" s="65" t="s">
        <v>331</v>
      </c>
    </row>
    <row r="261" spans="2:10" ht="15">
      <c r="B261" s="78"/>
      <c r="C261" s="71"/>
      <c r="D261" s="71"/>
      <c r="F261" s="71"/>
      <c r="G261" s="71"/>
      <c r="H261" s="71"/>
      <c r="I261" s="77"/>
      <c r="J261" s="65" t="s">
        <v>331</v>
      </c>
    </row>
    <row r="262" spans="2:10" ht="15">
      <c r="B262" s="78"/>
      <c r="C262" s="71"/>
      <c r="D262" s="71"/>
      <c r="F262" s="71"/>
      <c r="G262" s="71"/>
      <c r="H262" s="71"/>
      <c r="I262" s="77"/>
      <c r="J262" s="65" t="s">
        <v>331</v>
      </c>
    </row>
    <row r="263" spans="2:10" ht="15">
      <c r="B263" s="78"/>
      <c r="C263" s="71"/>
      <c r="D263" s="71"/>
      <c r="F263" s="71"/>
      <c r="G263" s="71"/>
      <c r="H263" s="71"/>
      <c r="I263" s="77"/>
      <c r="J263" s="65" t="s">
        <v>331</v>
      </c>
    </row>
    <row r="264" spans="2:10" ht="15">
      <c r="B264" s="78"/>
      <c r="C264" s="71"/>
      <c r="D264" s="71"/>
      <c r="F264" s="71"/>
      <c r="G264" s="71"/>
      <c r="H264" s="71"/>
      <c r="I264" s="77"/>
      <c r="J264" s="65" t="s">
        <v>331</v>
      </c>
    </row>
    <row r="265" spans="2:10" ht="15">
      <c r="B265" s="78"/>
      <c r="C265" s="71"/>
      <c r="D265" s="71"/>
      <c r="F265" s="71"/>
      <c r="G265" s="71"/>
      <c r="H265" s="71"/>
      <c r="I265" s="77"/>
      <c r="J265" s="65" t="s">
        <v>331</v>
      </c>
    </row>
    <row r="266" spans="2:10" ht="15">
      <c r="B266" s="78"/>
      <c r="C266" s="71"/>
      <c r="D266" s="71"/>
      <c r="F266" s="71"/>
      <c r="G266" s="71"/>
      <c r="H266" s="71"/>
      <c r="I266" s="77"/>
      <c r="J266" s="65" t="s">
        <v>331</v>
      </c>
    </row>
    <row r="267" spans="2:10" ht="15">
      <c r="B267" s="78"/>
      <c r="C267" s="71"/>
      <c r="D267" s="71"/>
      <c r="F267" s="71"/>
      <c r="G267" s="71"/>
      <c r="H267" s="71"/>
      <c r="I267" s="77"/>
      <c r="J267" s="65" t="s">
        <v>331</v>
      </c>
    </row>
    <row r="268" spans="2:10" ht="15">
      <c r="B268" s="78"/>
      <c r="C268" s="71"/>
      <c r="D268" s="71"/>
      <c r="F268" s="71"/>
      <c r="G268" s="71"/>
      <c r="H268" s="71"/>
      <c r="I268" s="77"/>
      <c r="J268" s="65" t="s">
        <v>331</v>
      </c>
    </row>
    <row r="269" spans="2:10" ht="15">
      <c r="B269" s="78"/>
      <c r="C269" s="71"/>
      <c r="D269" s="71"/>
      <c r="F269" s="71"/>
      <c r="G269" s="71"/>
      <c r="H269" s="71"/>
      <c r="I269" s="77"/>
      <c r="J269" s="65" t="s">
        <v>331</v>
      </c>
    </row>
    <row r="270" spans="2:10" ht="15">
      <c r="B270" s="78"/>
      <c r="C270" s="71"/>
      <c r="D270" s="71"/>
      <c r="F270" s="71"/>
      <c r="G270" s="71"/>
      <c r="H270" s="71"/>
      <c r="I270" s="77"/>
      <c r="J270" s="65" t="s">
        <v>331</v>
      </c>
    </row>
    <row r="271" spans="2:10" ht="15">
      <c r="B271" s="78"/>
      <c r="C271" s="71"/>
      <c r="D271" s="71"/>
      <c r="F271" s="71"/>
      <c r="G271" s="71"/>
      <c r="H271" s="71"/>
      <c r="I271" s="77"/>
      <c r="J271" s="65" t="s">
        <v>331</v>
      </c>
    </row>
    <row r="272" spans="2:10" ht="15">
      <c r="B272" s="78"/>
      <c r="C272" s="71"/>
      <c r="D272" s="71"/>
      <c r="F272" s="71"/>
      <c r="G272" s="71"/>
      <c r="H272" s="71"/>
      <c r="I272" s="77"/>
      <c r="J272" s="65" t="s">
        <v>331</v>
      </c>
    </row>
    <row r="273" spans="2:10" ht="15">
      <c r="B273" s="78"/>
      <c r="C273" s="71"/>
      <c r="D273" s="71"/>
      <c r="F273" s="71"/>
      <c r="G273" s="71"/>
      <c r="H273" s="71"/>
      <c r="I273" s="77"/>
      <c r="J273" s="65" t="s">
        <v>331</v>
      </c>
    </row>
    <row r="274" spans="2:10" ht="15">
      <c r="B274" s="78"/>
      <c r="C274" s="71"/>
      <c r="D274" s="71"/>
      <c r="F274" s="71"/>
      <c r="G274" s="71"/>
      <c r="H274" s="71"/>
      <c r="I274" s="77"/>
      <c r="J274" s="65" t="s">
        <v>331</v>
      </c>
    </row>
    <row r="275" spans="2:10" ht="15">
      <c r="B275" s="78"/>
      <c r="C275" s="71"/>
      <c r="D275" s="71"/>
      <c r="F275" s="71"/>
      <c r="G275" s="71"/>
      <c r="H275" s="71"/>
      <c r="I275" s="77"/>
      <c r="J275" s="65" t="s">
        <v>331</v>
      </c>
    </row>
    <row r="276" spans="2:10" ht="15">
      <c r="B276" s="78"/>
      <c r="C276" s="71"/>
      <c r="D276" s="71"/>
      <c r="F276" s="71"/>
      <c r="G276" s="71"/>
      <c r="H276" s="71"/>
      <c r="I276" s="77"/>
      <c r="J276" s="65" t="s">
        <v>331</v>
      </c>
    </row>
    <row r="277" spans="2:10" ht="15">
      <c r="B277" s="78"/>
      <c r="C277" s="71"/>
      <c r="D277" s="71"/>
      <c r="F277" s="71"/>
      <c r="G277" s="71"/>
      <c r="H277" s="71"/>
      <c r="I277" s="77"/>
      <c r="J277" s="65" t="s">
        <v>331</v>
      </c>
    </row>
    <row r="278" spans="2:10" ht="15">
      <c r="B278" s="78"/>
      <c r="C278" s="71"/>
      <c r="D278" s="71"/>
      <c r="F278" s="71"/>
      <c r="G278" s="71"/>
      <c r="H278" s="71"/>
      <c r="I278" s="77"/>
      <c r="J278" s="65" t="s">
        <v>331</v>
      </c>
    </row>
    <row r="279" spans="2:10" ht="15">
      <c r="B279" s="78"/>
      <c r="C279" s="71"/>
      <c r="D279" s="71"/>
      <c r="F279" s="71"/>
      <c r="G279" s="71"/>
      <c r="H279" s="71"/>
      <c r="I279" s="77"/>
      <c r="J279" s="65" t="s">
        <v>331</v>
      </c>
    </row>
    <row r="280" spans="2:10" ht="15">
      <c r="B280" s="78"/>
      <c r="C280" s="71"/>
      <c r="D280" s="71"/>
      <c r="F280" s="71"/>
      <c r="G280" s="71"/>
      <c r="H280" s="71"/>
      <c r="I280" s="77"/>
      <c r="J280" s="65" t="s">
        <v>331</v>
      </c>
    </row>
    <row r="281" spans="2:10" ht="15">
      <c r="B281" s="78"/>
      <c r="C281" s="71"/>
      <c r="D281" s="71"/>
      <c r="F281" s="71"/>
      <c r="G281" s="71"/>
      <c r="H281" s="71"/>
      <c r="I281" s="77"/>
      <c r="J281" s="65" t="s">
        <v>331</v>
      </c>
    </row>
    <row r="282" spans="2:10" ht="15">
      <c r="B282" s="78"/>
      <c r="C282" s="71"/>
      <c r="D282" s="71"/>
      <c r="F282" s="71"/>
      <c r="G282" s="71"/>
      <c r="H282" s="71"/>
      <c r="I282" s="77"/>
      <c r="J282" s="65" t="s">
        <v>331</v>
      </c>
    </row>
    <row r="283" spans="2:10" ht="15">
      <c r="B283" s="78"/>
      <c r="C283" s="71"/>
      <c r="D283" s="71"/>
      <c r="F283" s="71"/>
      <c r="G283" s="71"/>
      <c r="H283" s="71"/>
      <c r="I283" s="77"/>
      <c r="J283" s="65" t="s">
        <v>331</v>
      </c>
    </row>
    <row r="284" spans="2:10" ht="15">
      <c r="B284" s="78"/>
      <c r="C284" s="71"/>
      <c r="D284" s="71"/>
      <c r="F284" s="71"/>
      <c r="G284" s="71"/>
      <c r="H284" s="71"/>
      <c r="I284" s="77"/>
      <c r="J284" s="65" t="s">
        <v>331</v>
      </c>
    </row>
    <row r="285" spans="2:10" ht="15">
      <c r="B285" s="78"/>
      <c r="C285" s="71"/>
      <c r="D285" s="71"/>
      <c r="F285" s="71"/>
      <c r="G285" s="71"/>
      <c r="H285" s="71"/>
      <c r="I285" s="77"/>
      <c r="J285" s="65" t="s">
        <v>331</v>
      </c>
    </row>
    <row r="286" spans="2:10" ht="15">
      <c r="B286" s="78"/>
      <c r="C286" s="71"/>
      <c r="D286" s="71"/>
      <c r="F286" s="71"/>
      <c r="G286" s="71"/>
      <c r="H286" s="71"/>
      <c r="I286" s="77"/>
      <c r="J286" s="65" t="s">
        <v>331</v>
      </c>
    </row>
    <row r="287" spans="2:10" ht="15">
      <c r="B287" s="78"/>
      <c r="C287" s="71"/>
      <c r="D287" s="71"/>
      <c r="F287" s="71"/>
      <c r="G287" s="71"/>
      <c r="H287" s="71"/>
      <c r="I287" s="77"/>
      <c r="J287" s="65" t="s">
        <v>331</v>
      </c>
    </row>
    <row r="288" spans="2:10" ht="15">
      <c r="B288" s="78"/>
      <c r="C288" s="71"/>
      <c r="D288" s="71"/>
      <c r="F288" s="71"/>
      <c r="G288" s="71"/>
      <c r="H288" s="71"/>
      <c r="I288" s="77"/>
      <c r="J288" s="65" t="s">
        <v>331</v>
      </c>
    </row>
    <row r="289" spans="2:10" ht="15">
      <c r="B289" s="78"/>
      <c r="C289" s="71"/>
      <c r="D289" s="71"/>
      <c r="F289" s="71"/>
      <c r="G289" s="71"/>
      <c r="H289" s="71"/>
      <c r="I289" s="77"/>
      <c r="J289" s="65" t="s">
        <v>331</v>
      </c>
    </row>
    <row r="290" spans="2:10" ht="15">
      <c r="B290" s="78"/>
      <c r="C290" s="71"/>
      <c r="D290" s="71"/>
      <c r="F290" s="71"/>
      <c r="G290" s="71"/>
      <c r="H290" s="71"/>
      <c r="I290" s="77"/>
      <c r="J290" s="65" t="s">
        <v>331</v>
      </c>
    </row>
    <row r="291" spans="2:10" ht="15">
      <c r="B291" s="78"/>
      <c r="C291" s="71"/>
      <c r="D291" s="71"/>
      <c r="F291" s="71"/>
      <c r="G291" s="71"/>
      <c r="H291" s="71"/>
      <c r="I291" s="77"/>
      <c r="J291" s="65" t="s">
        <v>331</v>
      </c>
    </row>
    <row r="292" spans="2:10" ht="15">
      <c r="B292" s="78"/>
      <c r="C292" s="71"/>
      <c r="D292" s="71"/>
      <c r="F292" s="71"/>
      <c r="G292" s="71"/>
      <c r="H292" s="71"/>
      <c r="I292" s="77"/>
      <c r="J292" s="65" t="s">
        <v>331</v>
      </c>
    </row>
    <row r="293" spans="2:10" ht="15">
      <c r="B293" s="78"/>
      <c r="C293" s="71"/>
      <c r="D293" s="71"/>
      <c r="F293" s="71"/>
      <c r="G293" s="71"/>
      <c r="H293" s="71"/>
      <c r="I293" s="77"/>
      <c r="J293" s="65" t="s">
        <v>331</v>
      </c>
    </row>
    <row r="294" spans="2:10" ht="15">
      <c r="B294" s="78"/>
      <c r="C294" s="71"/>
      <c r="D294" s="71"/>
      <c r="F294" s="71"/>
      <c r="G294" s="71"/>
      <c r="H294" s="71"/>
      <c r="I294" s="77"/>
      <c r="J294" s="65" t="s">
        <v>331</v>
      </c>
    </row>
    <row r="295" spans="2:10" ht="15">
      <c r="B295" s="78"/>
      <c r="C295" s="71"/>
      <c r="D295" s="71"/>
      <c r="F295" s="71"/>
      <c r="G295" s="71"/>
      <c r="H295" s="71"/>
      <c r="I295" s="77"/>
      <c r="J295" s="65" t="s">
        <v>331</v>
      </c>
    </row>
    <row r="296" spans="2:10" ht="15">
      <c r="B296" s="78"/>
      <c r="C296" s="71"/>
      <c r="D296" s="71"/>
      <c r="F296" s="71"/>
      <c r="G296" s="71"/>
      <c r="H296" s="71"/>
      <c r="I296" s="77"/>
      <c r="J296" s="65" t="s">
        <v>331</v>
      </c>
    </row>
    <row r="297" spans="2:10" ht="15">
      <c r="B297" s="78"/>
      <c r="C297" s="71"/>
      <c r="D297" s="71"/>
      <c r="F297" s="71"/>
      <c r="G297" s="71"/>
      <c r="H297" s="71"/>
      <c r="I297" s="77"/>
      <c r="J297" s="65" t="s">
        <v>331</v>
      </c>
    </row>
    <row r="298" spans="2:10" ht="15">
      <c r="B298" s="78"/>
      <c r="C298" s="71"/>
      <c r="D298" s="71"/>
      <c r="F298" s="71"/>
      <c r="G298" s="71"/>
      <c r="H298" s="71"/>
      <c r="I298" s="77"/>
      <c r="J298" s="65" t="s">
        <v>331</v>
      </c>
    </row>
    <row r="299" spans="2:10" ht="15">
      <c r="B299" s="78"/>
      <c r="C299" s="71"/>
      <c r="D299" s="71"/>
      <c r="F299" s="71"/>
      <c r="G299" s="71"/>
      <c r="H299" s="71"/>
      <c r="I299" s="77"/>
      <c r="J299" s="65" t="s">
        <v>331</v>
      </c>
    </row>
    <row r="300" spans="2:10" ht="15">
      <c r="B300" s="78"/>
      <c r="C300" s="71"/>
      <c r="D300" s="71"/>
      <c r="F300" s="71"/>
      <c r="G300" s="71"/>
      <c r="H300" s="71"/>
      <c r="I300" s="77"/>
      <c r="J300" s="65" t="s">
        <v>331</v>
      </c>
    </row>
    <row r="301" spans="2:10" ht="15">
      <c r="B301" s="78"/>
      <c r="C301" s="71"/>
      <c r="D301" s="71"/>
      <c r="F301" s="71"/>
      <c r="G301" s="71"/>
      <c r="H301" s="71"/>
      <c r="I301" s="77"/>
      <c r="J301" s="65" t="s">
        <v>331</v>
      </c>
    </row>
    <row r="302" spans="2:10" ht="15">
      <c r="B302" s="78"/>
      <c r="C302" s="71"/>
      <c r="D302" s="71"/>
      <c r="F302" s="71"/>
      <c r="G302" s="71"/>
      <c r="H302" s="71"/>
      <c r="I302" s="77"/>
      <c r="J302" s="65" t="s">
        <v>331</v>
      </c>
    </row>
    <row r="303" spans="2:10" ht="15">
      <c r="B303" s="78"/>
      <c r="C303" s="71"/>
      <c r="D303" s="71"/>
      <c r="F303" s="71"/>
      <c r="G303" s="71"/>
      <c r="H303" s="71"/>
      <c r="I303" s="77"/>
      <c r="J303" s="65" t="s">
        <v>331</v>
      </c>
    </row>
    <row r="304" spans="2:10" ht="15">
      <c r="B304" s="78"/>
      <c r="C304" s="71"/>
      <c r="D304" s="71"/>
      <c r="F304" s="71"/>
      <c r="G304" s="71"/>
      <c r="H304" s="71"/>
      <c r="I304" s="77"/>
      <c r="J304" s="65" t="s">
        <v>331</v>
      </c>
    </row>
    <row r="305" spans="2:10" ht="15">
      <c r="B305" s="78"/>
      <c r="C305" s="71"/>
      <c r="D305" s="71"/>
      <c r="F305" s="71"/>
      <c r="G305" s="71"/>
      <c r="H305" s="71"/>
      <c r="I305" s="77"/>
      <c r="J305" s="65" t="s">
        <v>331</v>
      </c>
    </row>
    <row r="306" spans="2:10" ht="15">
      <c r="B306" s="78"/>
      <c r="C306" s="71"/>
      <c r="D306" s="71"/>
      <c r="F306" s="71"/>
      <c r="G306" s="71"/>
      <c r="H306" s="71"/>
      <c r="I306" s="77"/>
      <c r="J306" s="65" t="s">
        <v>331</v>
      </c>
    </row>
    <row r="307" spans="2:10" ht="15">
      <c r="B307" s="78"/>
      <c r="C307" s="71"/>
      <c r="D307" s="71"/>
      <c r="F307" s="71"/>
      <c r="G307" s="71"/>
      <c r="H307" s="71"/>
      <c r="I307" s="77"/>
      <c r="J307" s="65" t="s">
        <v>331</v>
      </c>
    </row>
    <row r="308" spans="2:10" ht="15">
      <c r="B308" s="78"/>
      <c r="C308" s="71"/>
      <c r="D308" s="71"/>
      <c r="F308" s="71"/>
      <c r="G308" s="71"/>
      <c r="H308" s="71"/>
      <c r="I308" s="77"/>
      <c r="J308" s="65" t="s">
        <v>331</v>
      </c>
    </row>
    <row r="309" spans="2:10" ht="15">
      <c r="B309" s="78"/>
      <c r="C309" s="71"/>
      <c r="D309" s="71"/>
      <c r="F309" s="71"/>
      <c r="G309" s="71"/>
      <c r="H309" s="71"/>
      <c r="I309" s="77"/>
      <c r="J309" s="65" t="s">
        <v>331</v>
      </c>
    </row>
    <row r="310" spans="2:10" ht="15">
      <c r="B310" s="78"/>
      <c r="C310" s="71"/>
      <c r="D310" s="71"/>
      <c r="F310" s="71"/>
      <c r="G310" s="71"/>
      <c r="H310" s="71"/>
      <c r="I310" s="77"/>
      <c r="J310" s="65" t="s">
        <v>331</v>
      </c>
    </row>
    <row r="311" spans="2:10" ht="15">
      <c r="B311" s="78"/>
      <c r="C311" s="71"/>
      <c r="D311" s="71"/>
      <c r="F311" s="71"/>
      <c r="G311" s="71"/>
      <c r="H311" s="71"/>
      <c r="I311" s="77"/>
      <c r="J311" s="65" t="s">
        <v>331</v>
      </c>
    </row>
    <row r="312" spans="2:10" ht="15">
      <c r="B312" s="78"/>
      <c r="C312" s="71"/>
      <c r="D312" s="71"/>
      <c r="F312" s="71"/>
      <c r="G312" s="71"/>
      <c r="H312" s="71"/>
      <c r="I312" s="77"/>
      <c r="J312" s="65" t="s">
        <v>331</v>
      </c>
    </row>
    <row r="313" spans="2:10" ht="15">
      <c r="B313" s="78"/>
      <c r="C313" s="71"/>
      <c r="D313" s="71"/>
      <c r="F313" s="71"/>
      <c r="G313" s="71"/>
      <c r="H313" s="71"/>
      <c r="I313" s="77"/>
      <c r="J313" s="65" t="s">
        <v>331</v>
      </c>
    </row>
    <row r="314" spans="2:10" ht="15">
      <c r="B314" s="78"/>
      <c r="C314" s="71"/>
      <c r="D314" s="71"/>
      <c r="F314" s="71"/>
      <c r="G314" s="71"/>
      <c r="H314" s="71"/>
      <c r="I314" s="77"/>
      <c r="J314" s="65" t="s">
        <v>331</v>
      </c>
    </row>
    <row r="315" spans="2:10" ht="15">
      <c r="B315" s="78"/>
      <c r="C315" s="71"/>
      <c r="D315" s="71"/>
      <c r="F315" s="71"/>
      <c r="G315" s="71"/>
      <c r="H315" s="71"/>
      <c r="I315" s="77"/>
      <c r="J315" s="65" t="s">
        <v>331</v>
      </c>
    </row>
    <row r="316" spans="2:10" ht="15">
      <c r="B316" s="78"/>
      <c r="C316" s="71"/>
      <c r="D316" s="71"/>
      <c r="F316" s="71"/>
      <c r="G316" s="71"/>
      <c r="H316" s="71"/>
      <c r="I316" s="77"/>
      <c r="J316" s="65" t="s">
        <v>331</v>
      </c>
    </row>
    <row r="317" spans="2:10" ht="15">
      <c r="B317" s="78"/>
      <c r="C317" s="71"/>
      <c r="D317" s="71"/>
      <c r="F317" s="71"/>
      <c r="G317" s="71"/>
      <c r="H317" s="71"/>
      <c r="I317" s="77"/>
      <c r="J317" s="65" t="s">
        <v>331</v>
      </c>
    </row>
    <row r="318" spans="2:10" ht="15">
      <c r="B318" s="78"/>
      <c r="C318" s="71"/>
      <c r="D318" s="71"/>
      <c r="F318" s="71"/>
      <c r="G318" s="71"/>
      <c r="H318" s="71"/>
      <c r="I318" s="77"/>
      <c r="J318" s="65" t="s">
        <v>331</v>
      </c>
    </row>
    <row r="319" spans="2:10" ht="15">
      <c r="B319" s="78"/>
      <c r="C319" s="71"/>
      <c r="D319" s="71"/>
      <c r="F319" s="71"/>
      <c r="G319" s="71"/>
      <c r="H319" s="71"/>
      <c r="I319" s="77"/>
      <c r="J319" s="65" t="s">
        <v>331</v>
      </c>
    </row>
    <row r="320" spans="2:10" ht="15">
      <c r="B320" s="78"/>
      <c r="C320" s="71"/>
      <c r="D320" s="71"/>
      <c r="F320" s="71"/>
      <c r="G320" s="71"/>
      <c r="H320" s="71"/>
      <c r="I320" s="77"/>
      <c r="J320" s="65" t="s">
        <v>331</v>
      </c>
    </row>
    <row r="321" spans="2:10" ht="15">
      <c r="B321" s="78"/>
      <c r="C321" s="71"/>
      <c r="D321" s="71"/>
      <c r="F321" s="71"/>
      <c r="G321" s="71"/>
      <c r="H321" s="71"/>
      <c r="I321" s="77"/>
      <c r="J321" s="65" t="s">
        <v>331</v>
      </c>
    </row>
    <row r="322" spans="2:10" ht="15">
      <c r="B322" s="78"/>
      <c r="C322" s="71"/>
      <c r="D322" s="71"/>
      <c r="F322" s="71"/>
      <c r="G322" s="71"/>
      <c r="H322" s="71"/>
      <c r="I322" s="77"/>
      <c r="J322" s="65" t="s">
        <v>331</v>
      </c>
    </row>
    <row r="323" spans="2:10" ht="15">
      <c r="B323" s="78"/>
      <c r="C323" s="71"/>
      <c r="D323" s="71"/>
      <c r="F323" s="71"/>
      <c r="G323" s="71"/>
      <c r="H323" s="71"/>
      <c r="I323" s="77"/>
      <c r="J323" s="65" t="s">
        <v>331</v>
      </c>
    </row>
    <row r="324" spans="2:10" ht="15">
      <c r="B324" s="78"/>
      <c r="C324" s="71"/>
      <c r="D324" s="71"/>
      <c r="F324" s="71"/>
      <c r="G324" s="71"/>
      <c r="H324" s="71"/>
      <c r="I324" s="77"/>
      <c r="J324" s="65" t="s">
        <v>331</v>
      </c>
    </row>
    <row r="325" spans="2:10" ht="15">
      <c r="B325" s="78"/>
      <c r="C325" s="71"/>
      <c r="D325" s="71"/>
      <c r="F325" s="71"/>
      <c r="G325" s="71"/>
      <c r="H325" s="71"/>
      <c r="I325" s="77"/>
      <c r="J325" s="65" t="s">
        <v>331</v>
      </c>
    </row>
    <row r="326" spans="2:10" ht="15">
      <c r="B326" s="78"/>
      <c r="C326" s="71"/>
      <c r="D326" s="71"/>
      <c r="F326" s="71"/>
      <c r="G326" s="71"/>
      <c r="H326" s="71"/>
      <c r="I326" s="77"/>
      <c r="J326" s="65" t="s">
        <v>331</v>
      </c>
    </row>
    <row r="327" spans="2:10" ht="15">
      <c r="B327" s="78"/>
      <c r="C327" s="71"/>
      <c r="D327" s="71"/>
      <c r="F327" s="71"/>
      <c r="G327" s="71"/>
      <c r="H327" s="71"/>
      <c r="I327" s="77"/>
      <c r="J327" s="65" t="s">
        <v>331</v>
      </c>
    </row>
    <row r="328" spans="2:10" ht="15">
      <c r="B328" s="78"/>
      <c r="C328" s="71"/>
      <c r="D328" s="71"/>
      <c r="F328" s="71"/>
      <c r="G328" s="71"/>
      <c r="H328" s="71"/>
      <c r="I328" s="77"/>
      <c r="J328" s="65" t="s">
        <v>331</v>
      </c>
    </row>
    <row r="329" spans="2:10" ht="15">
      <c r="B329" s="78"/>
      <c r="C329" s="71"/>
      <c r="D329" s="71"/>
      <c r="F329" s="71"/>
      <c r="G329" s="71"/>
      <c r="H329" s="71"/>
      <c r="I329" s="77"/>
      <c r="J329" s="65" t="s">
        <v>331</v>
      </c>
    </row>
    <row r="330" spans="2:10" ht="15">
      <c r="B330" s="78"/>
      <c r="C330" s="71"/>
      <c r="D330" s="71"/>
      <c r="F330" s="71"/>
      <c r="G330" s="71"/>
      <c r="H330" s="71"/>
      <c r="I330" s="77"/>
      <c r="J330" s="65" t="s">
        <v>331</v>
      </c>
    </row>
    <row r="331" spans="2:10" ht="15">
      <c r="B331" s="78"/>
      <c r="C331" s="71"/>
      <c r="D331" s="71"/>
      <c r="F331" s="71"/>
      <c r="G331" s="71"/>
      <c r="H331" s="71"/>
      <c r="I331" s="77"/>
      <c r="J331" s="65" t="s">
        <v>331</v>
      </c>
    </row>
    <row r="332" spans="2:10" ht="15">
      <c r="B332" s="78"/>
      <c r="C332" s="71"/>
      <c r="D332" s="71"/>
      <c r="F332" s="71"/>
      <c r="G332" s="71"/>
      <c r="H332" s="71"/>
      <c r="I332" s="77"/>
      <c r="J332" s="65" t="s">
        <v>331</v>
      </c>
    </row>
    <row r="333" spans="2:10" ht="15">
      <c r="B333" s="78"/>
      <c r="C333" s="71"/>
      <c r="D333" s="71"/>
      <c r="F333" s="71"/>
      <c r="G333" s="71"/>
      <c r="H333" s="71"/>
      <c r="I333" s="77"/>
      <c r="J333" s="65" t="s">
        <v>331</v>
      </c>
    </row>
    <row r="334" spans="2:10" ht="15">
      <c r="B334" s="78"/>
      <c r="C334" s="71"/>
      <c r="D334" s="71"/>
      <c r="F334" s="71"/>
      <c r="G334" s="71"/>
      <c r="H334" s="71"/>
      <c r="I334" s="77"/>
      <c r="J334" s="65" t="s">
        <v>331</v>
      </c>
    </row>
    <row r="335" spans="2:10" ht="15">
      <c r="B335" s="78"/>
      <c r="C335" s="71"/>
      <c r="D335" s="71"/>
      <c r="F335" s="71"/>
      <c r="G335" s="71"/>
      <c r="H335" s="71"/>
      <c r="I335" s="77"/>
      <c r="J335" s="65" t="s">
        <v>331</v>
      </c>
    </row>
    <row r="336" spans="2:10" ht="15">
      <c r="B336" s="78"/>
      <c r="C336" s="71"/>
      <c r="D336" s="71"/>
      <c r="F336" s="71"/>
      <c r="G336" s="71"/>
      <c r="H336" s="71"/>
      <c r="I336" s="77"/>
      <c r="J336" s="65" t="s">
        <v>331</v>
      </c>
    </row>
    <row r="337" spans="2:10" ht="15">
      <c r="B337" s="78"/>
      <c r="C337" s="71"/>
      <c r="D337" s="71"/>
      <c r="F337" s="71"/>
      <c r="G337" s="71"/>
      <c r="H337" s="71"/>
      <c r="I337" s="77"/>
      <c r="J337" s="65" t="s">
        <v>331</v>
      </c>
    </row>
    <row r="338" spans="2:10" ht="15">
      <c r="B338" s="78"/>
      <c r="C338" s="71"/>
      <c r="D338" s="71"/>
      <c r="F338" s="71"/>
      <c r="G338" s="71"/>
      <c r="H338" s="71"/>
      <c r="I338" s="77"/>
      <c r="J338" s="65" t="s">
        <v>331</v>
      </c>
    </row>
    <row r="339" spans="2:10" ht="15">
      <c r="B339" s="78"/>
      <c r="C339" s="71"/>
      <c r="D339" s="71"/>
      <c r="F339" s="71"/>
      <c r="G339" s="71"/>
      <c r="H339" s="71"/>
      <c r="I339" s="77"/>
      <c r="J339" s="65" t="s">
        <v>331</v>
      </c>
    </row>
    <row r="340" spans="2:10" ht="15">
      <c r="B340" s="78"/>
      <c r="C340" s="71"/>
      <c r="D340" s="71"/>
      <c r="F340" s="71"/>
      <c r="G340" s="71"/>
      <c r="H340" s="71"/>
      <c r="I340" s="77"/>
      <c r="J340" s="65" t="s">
        <v>331</v>
      </c>
    </row>
    <row r="341" spans="2:10" ht="15">
      <c r="B341" s="78"/>
      <c r="C341" s="71"/>
      <c r="D341" s="71"/>
      <c r="F341" s="71"/>
      <c r="G341" s="71"/>
      <c r="H341" s="71"/>
      <c r="I341" s="77"/>
      <c r="J341" s="65" t="s">
        <v>331</v>
      </c>
    </row>
    <row r="342" spans="2:10" ht="15">
      <c r="B342" s="78"/>
      <c r="C342" s="71"/>
      <c r="D342" s="71"/>
      <c r="F342" s="71"/>
      <c r="G342" s="71"/>
      <c r="H342" s="71"/>
      <c r="I342" s="77"/>
      <c r="J342" s="65" t="s">
        <v>331</v>
      </c>
    </row>
    <row r="343" spans="2:10" ht="15">
      <c r="B343" s="78"/>
      <c r="C343" s="71"/>
      <c r="D343" s="71"/>
      <c r="F343" s="71"/>
      <c r="G343" s="71"/>
      <c r="H343" s="71"/>
      <c r="I343" s="77"/>
      <c r="J343" s="65" t="s">
        <v>331</v>
      </c>
    </row>
    <row r="344" spans="2:10" ht="15">
      <c r="B344" s="78"/>
      <c r="C344" s="71"/>
      <c r="D344" s="71"/>
      <c r="F344" s="71"/>
      <c r="G344" s="71"/>
      <c r="H344" s="71"/>
      <c r="I344" s="77"/>
      <c r="J344" s="65" t="s">
        <v>331</v>
      </c>
    </row>
    <row r="345" spans="2:10" ht="15">
      <c r="B345" s="78"/>
      <c r="C345" s="71"/>
      <c r="D345" s="71"/>
      <c r="F345" s="71"/>
      <c r="G345" s="71"/>
      <c r="H345" s="71"/>
      <c r="I345" s="77"/>
      <c r="J345" s="65" t="s">
        <v>331</v>
      </c>
    </row>
    <row r="346" spans="2:10" ht="15">
      <c r="B346" s="78"/>
      <c r="C346" s="71"/>
      <c r="D346" s="71"/>
      <c r="F346" s="71"/>
      <c r="G346" s="71"/>
      <c r="H346" s="71"/>
      <c r="I346" s="77"/>
      <c r="J346" s="65" t="s">
        <v>331</v>
      </c>
    </row>
    <row r="347" spans="2:10" ht="15">
      <c r="B347" s="78"/>
      <c r="C347" s="71"/>
      <c r="D347" s="71"/>
      <c r="F347" s="71"/>
      <c r="G347" s="71"/>
      <c r="H347" s="71"/>
      <c r="I347" s="77"/>
      <c r="J347" s="65" t="s">
        <v>331</v>
      </c>
    </row>
    <row r="348" spans="2:10" ht="15">
      <c r="B348" s="78"/>
      <c r="C348" s="71"/>
      <c r="D348" s="71"/>
      <c r="F348" s="71"/>
      <c r="G348" s="71"/>
      <c r="H348" s="71"/>
      <c r="I348" s="77"/>
      <c r="J348" s="65" t="s">
        <v>331</v>
      </c>
    </row>
    <row r="349" spans="2:10" ht="15">
      <c r="B349" s="78"/>
      <c r="C349" s="71"/>
      <c r="D349" s="71"/>
      <c r="F349" s="71"/>
      <c r="G349" s="71"/>
      <c r="H349" s="71"/>
      <c r="I349" s="77"/>
      <c r="J349" s="65" t="s">
        <v>331</v>
      </c>
    </row>
    <row r="350" spans="2:10" ht="15">
      <c r="B350" s="78"/>
      <c r="C350" s="71"/>
      <c r="D350" s="71"/>
      <c r="F350" s="71"/>
      <c r="G350" s="71"/>
      <c r="H350" s="71"/>
      <c r="I350" s="77"/>
      <c r="J350" s="65" t="s">
        <v>331</v>
      </c>
    </row>
    <row r="351" spans="2:10" ht="15">
      <c r="B351" s="78"/>
      <c r="C351" s="71"/>
      <c r="D351" s="71"/>
      <c r="F351" s="71"/>
      <c r="G351" s="71"/>
      <c r="H351" s="71"/>
      <c r="I351" s="77"/>
      <c r="J351" s="65" t="s">
        <v>331</v>
      </c>
    </row>
    <row r="352" spans="2:10" ht="15">
      <c r="B352" s="78"/>
      <c r="C352" s="71"/>
      <c r="D352" s="71"/>
      <c r="F352" s="71"/>
      <c r="G352" s="71"/>
      <c r="H352" s="71"/>
      <c r="I352" s="77"/>
      <c r="J352" s="65" t="s">
        <v>331</v>
      </c>
    </row>
    <row r="353" spans="2:10" ht="15">
      <c r="B353" s="78"/>
      <c r="C353" s="71"/>
      <c r="D353" s="71"/>
      <c r="F353" s="71"/>
      <c r="G353" s="71"/>
      <c r="H353" s="71"/>
      <c r="I353" s="77"/>
      <c r="J353" s="65" t="s">
        <v>331</v>
      </c>
    </row>
    <row r="354" spans="2:10" ht="15">
      <c r="B354" s="78"/>
      <c r="C354" s="71"/>
      <c r="D354" s="71"/>
      <c r="F354" s="71"/>
      <c r="G354" s="71"/>
      <c r="H354" s="71"/>
      <c r="I354" s="77"/>
      <c r="J354" s="65" t="s">
        <v>331</v>
      </c>
    </row>
    <row r="355" spans="2:10" ht="15">
      <c r="B355" s="78"/>
      <c r="C355" s="71"/>
      <c r="D355" s="71"/>
      <c r="F355" s="71"/>
      <c r="G355" s="71"/>
      <c r="H355" s="71"/>
      <c r="I355" s="77"/>
      <c r="J355" s="65" t="s">
        <v>331</v>
      </c>
    </row>
    <row r="356" spans="2:10" ht="15">
      <c r="B356" s="78"/>
      <c r="C356" s="71"/>
      <c r="D356" s="71"/>
      <c r="F356" s="71"/>
      <c r="G356" s="71"/>
      <c r="H356" s="71"/>
      <c r="I356" s="77"/>
      <c r="J356" s="65" t="s">
        <v>331</v>
      </c>
    </row>
    <row r="357" spans="2:10" ht="15">
      <c r="B357" s="78"/>
      <c r="C357" s="71"/>
      <c r="D357" s="71"/>
      <c r="F357" s="71"/>
      <c r="G357" s="71"/>
      <c r="H357" s="71"/>
      <c r="I357" s="77"/>
      <c r="J357" s="65" t="s">
        <v>331</v>
      </c>
    </row>
    <row r="358" spans="2:10" ht="15">
      <c r="B358" s="78"/>
      <c r="C358" s="71"/>
      <c r="D358" s="71"/>
      <c r="F358" s="71"/>
      <c r="G358" s="71"/>
      <c r="H358" s="71"/>
      <c r="I358" s="77"/>
      <c r="J358" s="65" t="s">
        <v>331</v>
      </c>
    </row>
    <row r="359" spans="2:10" ht="15">
      <c r="B359" s="78"/>
      <c r="C359" s="71"/>
      <c r="D359" s="71"/>
      <c r="F359" s="71"/>
      <c r="G359" s="71"/>
      <c r="H359" s="71"/>
      <c r="I359" s="77"/>
      <c r="J359" s="65" t="s">
        <v>331</v>
      </c>
    </row>
    <row r="360" spans="2:10" ht="15">
      <c r="B360" s="78"/>
      <c r="C360" s="71"/>
      <c r="D360" s="71"/>
      <c r="F360" s="71"/>
      <c r="G360" s="71"/>
      <c r="H360" s="71"/>
      <c r="I360" s="77"/>
      <c r="J360" s="65" t="s">
        <v>331</v>
      </c>
    </row>
    <row r="361" spans="2:10" ht="15">
      <c r="B361" s="78"/>
      <c r="C361" s="71"/>
      <c r="D361" s="71"/>
      <c r="F361" s="71"/>
      <c r="G361" s="71"/>
      <c r="H361" s="71"/>
      <c r="I361" s="77"/>
      <c r="J361" s="65" t="s">
        <v>331</v>
      </c>
    </row>
    <row r="362" spans="2:10" ht="15">
      <c r="B362" s="78"/>
      <c r="C362" s="71"/>
      <c r="D362" s="71"/>
      <c r="F362" s="71"/>
      <c r="G362" s="71"/>
      <c r="H362" s="71"/>
      <c r="I362" s="77"/>
      <c r="J362" s="65" t="s">
        <v>331</v>
      </c>
    </row>
    <row r="363" spans="2:10" ht="15">
      <c r="B363" s="78"/>
      <c r="C363" s="71"/>
      <c r="D363" s="71"/>
      <c r="F363" s="71"/>
      <c r="G363" s="71"/>
      <c r="H363" s="71"/>
      <c r="I363" s="77"/>
      <c r="J363" s="65" t="s">
        <v>331</v>
      </c>
    </row>
    <row r="364" spans="2:10" ht="15">
      <c r="B364" s="78"/>
      <c r="C364" s="71"/>
      <c r="D364" s="71"/>
      <c r="F364" s="71"/>
      <c r="G364" s="71"/>
      <c r="H364" s="71"/>
      <c r="I364" s="77"/>
      <c r="J364" s="65" t="s">
        <v>331</v>
      </c>
    </row>
    <row r="365" spans="2:10" ht="15">
      <c r="B365" s="78"/>
      <c r="C365" s="71"/>
      <c r="D365" s="71"/>
      <c r="F365" s="71"/>
      <c r="G365" s="71"/>
      <c r="H365" s="71"/>
      <c r="I365" s="77"/>
      <c r="J365" s="65" t="s">
        <v>331</v>
      </c>
    </row>
    <row r="366" spans="2:10" ht="15">
      <c r="B366" s="78"/>
      <c r="C366" s="71"/>
      <c r="D366" s="71"/>
      <c r="F366" s="71"/>
      <c r="G366" s="71"/>
      <c r="H366" s="71"/>
      <c r="I366" s="77"/>
      <c r="J366" s="65" t="s">
        <v>331</v>
      </c>
    </row>
    <row r="367" spans="2:10" ht="15">
      <c r="B367" s="78"/>
      <c r="C367" s="71"/>
      <c r="D367" s="71"/>
      <c r="F367" s="71"/>
      <c r="G367" s="71"/>
      <c r="H367" s="71"/>
      <c r="I367" s="77"/>
      <c r="J367" s="65" t="s">
        <v>331</v>
      </c>
    </row>
    <row r="368" spans="2:10" ht="15">
      <c r="B368" s="78"/>
      <c r="C368" s="71"/>
      <c r="D368" s="71"/>
      <c r="F368" s="71"/>
      <c r="G368" s="71"/>
      <c r="H368" s="71"/>
      <c r="I368" s="77"/>
      <c r="J368" s="65" t="s">
        <v>331</v>
      </c>
    </row>
    <row r="369" spans="2:10" ht="15">
      <c r="B369" s="78"/>
      <c r="C369" s="71"/>
      <c r="D369" s="71"/>
      <c r="F369" s="71"/>
      <c r="G369" s="71"/>
      <c r="H369" s="71"/>
      <c r="I369" s="77"/>
      <c r="J369" s="65" t="s">
        <v>331</v>
      </c>
    </row>
    <row r="370" spans="2:10" ht="15">
      <c r="B370" s="78"/>
      <c r="C370" s="71"/>
      <c r="D370" s="71"/>
      <c r="F370" s="71"/>
      <c r="G370" s="71"/>
      <c r="H370" s="71"/>
      <c r="I370" s="77"/>
      <c r="J370" s="65" t="s">
        <v>331</v>
      </c>
    </row>
    <row r="371" spans="2:10" ht="15">
      <c r="B371" s="78"/>
      <c r="C371" s="71"/>
      <c r="D371" s="71"/>
      <c r="F371" s="71"/>
      <c r="G371" s="71"/>
      <c r="H371" s="71"/>
      <c r="I371" s="77"/>
      <c r="J371" s="65" t="s">
        <v>331</v>
      </c>
    </row>
    <row r="372" spans="2:10" ht="15">
      <c r="B372" s="78"/>
      <c r="C372" s="71"/>
      <c r="D372" s="71"/>
      <c r="F372" s="71"/>
      <c r="G372" s="71"/>
      <c r="H372" s="71"/>
      <c r="I372" s="77"/>
      <c r="J372" s="65" t="s">
        <v>331</v>
      </c>
    </row>
    <row r="373" spans="2:10" ht="15">
      <c r="B373" s="78"/>
      <c r="C373" s="71"/>
      <c r="D373" s="71"/>
      <c r="F373" s="71"/>
      <c r="G373" s="71"/>
      <c r="H373" s="71"/>
      <c r="I373" s="77"/>
      <c r="J373" s="65" t="s">
        <v>331</v>
      </c>
    </row>
    <row r="374" spans="2:10" ht="15">
      <c r="B374" s="78"/>
      <c r="C374" s="71"/>
      <c r="D374" s="71"/>
      <c r="F374" s="71"/>
      <c r="G374" s="71"/>
      <c r="H374" s="71"/>
      <c r="I374" s="77"/>
      <c r="J374" s="65" t="s">
        <v>331</v>
      </c>
    </row>
    <row r="375" spans="2:10" ht="15">
      <c r="B375" s="78"/>
      <c r="C375" s="71"/>
      <c r="D375" s="71"/>
      <c r="F375" s="71"/>
      <c r="G375" s="71"/>
      <c r="H375" s="71"/>
      <c r="I375" s="77"/>
      <c r="J375" s="65" t="s">
        <v>331</v>
      </c>
    </row>
    <row r="376" spans="2:10" ht="15">
      <c r="B376" s="78"/>
      <c r="C376" s="71"/>
      <c r="D376" s="71"/>
      <c r="F376" s="71"/>
      <c r="G376" s="71"/>
      <c r="H376" s="71"/>
      <c r="I376" s="77"/>
      <c r="J376" s="65" t="s">
        <v>331</v>
      </c>
    </row>
    <row r="377" spans="2:10" ht="15">
      <c r="B377" s="78"/>
      <c r="C377" s="71"/>
      <c r="D377" s="71"/>
      <c r="F377" s="71"/>
      <c r="G377" s="71"/>
      <c r="H377" s="71"/>
      <c r="I377" s="77"/>
      <c r="J377" s="65" t="s">
        <v>331</v>
      </c>
    </row>
    <row r="378" spans="2:10" ht="15">
      <c r="B378" s="78"/>
      <c r="C378" s="71"/>
      <c r="D378" s="71"/>
      <c r="F378" s="71"/>
      <c r="G378" s="71"/>
      <c r="H378" s="71"/>
      <c r="I378" s="77"/>
      <c r="J378" s="65" t="s">
        <v>331</v>
      </c>
    </row>
    <row r="379" spans="2:10" ht="15">
      <c r="B379" s="78"/>
      <c r="C379" s="71"/>
      <c r="D379" s="71"/>
      <c r="F379" s="71"/>
      <c r="G379" s="71"/>
      <c r="H379" s="71"/>
      <c r="I379" s="77"/>
      <c r="J379" s="65" t="s">
        <v>331</v>
      </c>
    </row>
    <row r="380" spans="2:10" ht="15">
      <c r="B380" s="78"/>
      <c r="C380" s="71"/>
      <c r="D380" s="71"/>
      <c r="F380" s="71"/>
      <c r="G380" s="71"/>
      <c r="H380" s="71"/>
      <c r="I380" s="77"/>
      <c r="J380" s="65" t="s">
        <v>331</v>
      </c>
    </row>
    <row r="381" spans="2:10" ht="15">
      <c r="B381" s="78"/>
      <c r="C381" s="71"/>
      <c r="D381" s="71"/>
      <c r="F381" s="71"/>
      <c r="G381" s="71"/>
      <c r="H381" s="71"/>
      <c r="I381" s="77"/>
      <c r="J381" s="65" t="s">
        <v>331</v>
      </c>
    </row>
    <row r="382" spans="2:10" ht="15">
      <c r="B382" s="78"/>
      <c r="C382" s="71"/>
      <c r="D382" s="71"/>
      <c r="F382" s="71"/>
      <c r="G382" s="71"/>
      <c r="H382" s="71"/>
      <c r="I382" s="77"/>
      <c r="J382" s="65" t="s">
        <v>331</v>
      </c>
    </row>
    <row r="383" spans="2:10" ht="15">
      <c r="B383" s="78"/>
      <c r="C383" s="71"/>
      <c r="D383" s="71"/>
      <c r="F383" s="71"/>
      <c r="G383" s="71"/>
      <c r="H383" s="71"/>
      <c r="I383" s="77"/>
      <c r="J383" s="65" t="s">
        <v>331</v>
      </c>
    </row>
    <row r="384" spans="2:10" ht="15">
      <c r="B384" s="78"/>
      <c r="C384" s="71"/>
      <c r="D384" s="71"/>
      <c r="F384" s="71"/>
      <c r="G384" s="71"/>
      <c r="H384" s="71"/>
      <c r="I384" s="77"/>
      <c r="J384" s="65" t="s">
        <v>331</v>
      </c>
    </row>
    <row r="385" spans="2:10" ht="15">
      <c r="B385" s="78"/>
      <c r="C385" s="71"/>
      <c r="D385" s="71"/>
      <c r="F385" s="71"/>
      <c r="G385" s="71"/>
      <c r="H385" s="71"/>
      <c r="I385" s="77"/>
      <c r="J385" s="65" t="s">
        <v>331</v>
      </c>
    </row>
    <row r="386" spans="2:10" ht="15">
      <c r="B386" s="78"/>
      <c r="C386" s="71"/>
      <c r="D386" s="71"/>
      <c r="F386" s="71"/>
      <c r="G386" s="71"/>
      <c r="H386" s="71"/>
      <c r="I386" s="77"/>
      <c r="J386" s="65" t="s">
        <v>331</v>
      </c>
    </row>
    <row r="387" spans="2:10" ht="15">
      <c r="B387" s="78"/>
      <c r="C387" s="71"/>
      <c r="D387" s="71"/>
      <c r="F387" s="71"/>
      <c r="G387" s="71"/>
      <c r="H387" s="71"/>
      <c r="I387" s="77"/>
      <c r="J387" s="65" t="s">
        <v>331</v>
      </c>
    </row>
    <row r="388" spans="2:10" ht="15">
      <c r="B388" s="78"/>
      <c r="C388" s="71"/>
      <c r="D388" s="71"/>
      <c r="F388" s="71"/>
      <c r="G388" s="71"/>
      <c r="H388" s="71"/>
      <c r="I388" s="77"/>
      <c r="J388" s="65" t="s">
        <v>331</v>
      </c>
    </row>
    <row r="389" spans="2:10" ht="15">
      <c r="B389" s="78"/>
      <c r="C389" s="71"/>
      <c r="D389" s="71"/>
      <c r="F389" s="71"/>
      <c r="G389" s="71"/>
      <c r="H389" s="71"/>
      <c r="I389" s="77"/>
      <c r="J389" s="65" t="s">
        <v>331</v>
      </c>
    </row>
    <row r="390" spans="2:10" ht="15">
      <c r="B390" s="78"/>
      <c r="C390" s="71"/>
      <c r="D390" s="71"/>
      <c r="F390" s="71"/>
      <c r="G390" s="71"/>
      <c r="H390" s="71"/>
      <c r="I390" s="77"/>
      <c r="J390" s="65" t="s">
        <v>331</v>
      </c>
    </row>
    <row r="391" spans="2:10" ht="15">
      <c r="B391" s="78"/>
      <c r="C391" s="71"/>
      <c r="D391" s="71"/>
      <c r="F391" s="71"/>
      <c r="G391" s="71"/>
      <c r="H391" s="71"/>
      <c r="I391" s="77"/>
      <c r="J391" s="65" t="s">
        <v>331</v>
      </c>
    </row>
    <row r="392" spans="2:10" ht="15">
      <c r="B392" s="78"/>
      <c r="C392" s="71"/>
      <c r="D392" s="71"/>
      <c r="F392" s="71"/>
      <c r="G392" s="71"/>
      <c r="H392" s="71"/>
      <c r="I392" s="77"/>
      <c r="J392" s="65" t="s">
        <v>331</v>
      </c>
    </row>
    <row r="393" spans="2:10" ht="15">
      <c r="B393" s="78"/>
      <c r="C393" s="71"/>
      <c r="D393" s="71"/>
      <c r="F393" s="71"/>
      <c r="G393" s="71"/>
      <c r="H393" s="71"/>
      <c r="I393" s="77"/>
      <c r="J393" s="65" t="s">
        <v>331</v>
      </c>
    </row>
    <row r="394" spans="2:10" ht="15">
      <c r="B394" s="78"/>
      <c r="C394" s="71"/>
      <c r="D394" s="71"/>
      <c r="F394" s="71"/>
      <c r="G394" s="71"/>
      <c r="H394" s="71"/>
      <c r="I394" s="77"/>
      <c r="J394" s="65" t="s">
        <v>331</v>
      </c>
    </row>
    <row r="395" spans="2:10" ht="15">
      <c r="B395" s="78"/>
      <c r="C395" s="71"/>
      <c r="D395" s="71"/>
      <c r="F395" s="71"/>
      <c r="G395" s="71"/>
      <c r="H395" s="71"/>
      <c r="I395" s="77"/>
      <c r="J395" s="65" t="s">
        <v>331</v>
      </c>
    </row>
    <row r="396" spans="2:10" ht="15">
      <c r="B396" s="78"/>
      <c r="C396" s="71"/>
      <c r="D396" s="71"/>
      <c r="F396" s="71"/>
      <c r="G396" s="71"/>
      <c r="H396" s="71"/>
      <c r="I396" s="77"/>
      <c r="J396" s="65" t="s">
        <v>331</v>
      </c>
    </row>
    <row r="397" spans="2:10" ht="15">
      <c r="B397" s="78"/>
      <c r="C397" s="71"/>
      <c r="D397" s="71"/>
      <c r="F397" s="71"/>
      <c r="G397" s="71"/>
      <c r="H397" s="71"/>
      <c r="I397" s="77"/>
      <c r="J397" s="65" t="s">
        <v>331</v>
      </c>
    </row>
    <row r="398" spans="2:10" ht="15">
      <c r="B398" s="78"/>
      <c r="C398" s="71"/>
      <c r="D398" s="71"/>
      <c r="F398" s="71"/>
      <c r="G398" s="71"/>
      <c r="H398" s="71"/>
      <c r="I398" s="77"/>
      <c r="J398" s="65" t="s">
        <v>331</v>
      </c>
    </row>
    <row r="399" spans="2:10" ht="15">
      <c r="B399" s="78"/>
      <c r="C399" s="71"/>
      <c r="D399" s="71"/>
      <c r="F399" s="71"/>
      <c r="G399" s="71"/>
      <c r="H399" s="71"/>
      <c r="I399" s="77"/>
      <c r="J399" s="65" t="s">
        <v>331</v>
      </c>
    </row>
    <row r="400" spans="2:10" ht="15">
      <c r="B400" s="78"/>
      <c r="C400" s="71"/>
      <c r="D400" s="71"/>
      <c r="F400" s="71"/>
      <c r="G400" s="71"/>
      <c r="H400" s="71"/>
      <c r="I400" s="77"/>
      <c r="J400" s="65" t="s">
        <v>331</v>
      </c>
    </row>
    <row r="401" spans="2:10" ht="15">
      <c r="B401" s="78"/>
      <c r="C401" s="71"/>
      <c r="D401" s="71"/>
      <c r="F401" s="71"/>
      <c r="G401" s="71"/>
      <c r="H401" s="71"/>
      <c r="I401" s="77"/>
      <c r="J401" s="65" t="s">
        <v>331</v>
      </c>
    </row>
    <row r="402" spans="2:10" ht="15">
      <c r="B402" s="78"/>
      <c r="C402" s="71"/>
      <c r="D402" s="71"/>
      <c r="F402" s="71"/>
      <c r="G402" s="71"/>
      <c r="H402" s="71"/>
      <c r="I402" s="77"/>
      <c r="J402" s="65" t="s">
        <v>331</v>
      </c>
    </row>
    <row r="403" spans="2:10" ht="15">
      <c r="B403" s="78"/>
      <c r="C403" s="71"/>
      <c r="D403" s="71"/>
      <c r="F403" s="71"/>
      <c r="G403" s="71"/>
      <c r="H403" s="71"/>
      <c r="I403" s="77"/>
      <c r="J403" s="65" t="s">
        <v>331</v>
      </c>
    </row>
    <row r="404" spans="2:10" ht="15">
      <c r="B404" s="78"/>
      <c r="C404" s="71"/>
      <c r="D404" s="71"/>
      <c r="F404" s="71"/>
      <c r="G404" s="71"/>
      <c r="H404" s="71"/>
      <c r="I404" s="77"/>
      <c r="J404" s="65" t="s">
        <v>331</v>
      </c>
    </row>
    <row r="405" spans="2:10" ht="15">
      <c r="B405" s="78"/>
      <c r="C405" s="71"/>
      <c r="D405" s="71"/>
      <c r="F405" s="71"/>
      <c r="G405" s="71"/>
      <c r="H405" s="71"/>
      <c r="I405" s="77"/>
      <c r="J405" s="65" t="s">
        <v>331</v>
      </c>
    </row>
    <row r="406" spans="2:10" ht="15">
      <c r="B406" s="78"/>
      <c r="C406" s="71"/>
      <c r="D406" s="71"/>
      <c r="F406" s="71"/>
      <c r="G406" s="71"/>
      <c r="H406" s="71"/>
      <c r="I406" s="77"/>
      <c r="J406" s="65" t="s">
        <v>331</v>
      </c>
    </row>
    <row r="407" spans="2:10" ht="15">
      <c r="B407" s="78"/>
      <c r="C407" s="71"/>
      <c r="D407" s="71"/>
      <c r="F407" s="71"/>
      <c r="G407" s="71"/>
      <c r="H407" s="71"/>
      <c r="I407" s="77"/>
      <c r="J407" s="65" t="s">
        <v>331</v>
      </c>
    </row>
    <row r="408" spans="2:10" ht="15">
      <c r="B408" s="78"/>
      <c r="C408" s="71"/>
      <c r="D408" s="71"/>
      <c r="F408" s="71"/>
      <c r="G408" s="71"/>
      <c r="H408" s="71"/>
      <c r="I408" s="77"/>
      <c r="J408" s="65" t="s">
        <v>331</v>
      </c>
    </row>
    <row r="409" spans="2:10" ht="15">
      <c r="B409" s="78"/>
      <c r="C409" s="71"/>
      <c r="D409" s="71"/>
      <c r="F409" s="71"/>
      <c r="G409" s="71"/>
      <c r="H409" s="71"/>
      <c r="I409" s="77"/>
      <c r="J409" s="65" t="s">
        <v>331</v>
      </c>
    </row>
    <row r="410" spans="2:10" ht="15">
      <c r="B410" s="78"/>
      <c r="C410" s="71"/>
      <c r="D410" s="71"/>
      <c r="F410" s="71"/>
      <c r="G410" s="71"/>
      <c r="H410" s="71"/>
      <c r="I410" s="77"/>
      <c r="J410" s="65" t="s">
        <v>331</v>
      </c>
    </row>
    <row r="411" spans="2:10" ht="15">
      <c r="B411" s="78"/>
      <c r="C411" s="71"/>
      <c r="D411" s="71"/>
      <c r="F411" s="71"/>
      <c r="G411" s="71"/>
      <c r="H411" s="71"/>
      <c r="I411" s="77"/>
      <c r="J411" s="65" t="s">
        <v>331</v>
      </c>
    </row>
    <row r="412" spans="2:10" ht="15">
      <c r="B412" s="78"/>
      <c r="C412" s="71"/>
      <c r="D412" s="71"/>
      <c r="F412" s="71"/>
      <c r="G412" s="71"/>
      <c r="H412" s="71"/>
      <c r="I412" s="77"/>
      <c r="J412" s="65" t="s">
        <v>331</v>
      </c>
    </row>
    <row r="413" spans="2:10" ht="15">
      <c r="B413" s="78"/>
      <c r="C413" s="71"/>
      <c r="D413" s="71"/>
      <c r="F413" s="71"/>
      <c r="G413" s="71"/>
      <c r="H413" s="71"/>
      <c r="I413" s="77"/>
      <c r="J413" s="65" t="s">
        <v>331</v>
      </c>
    </row>
    <row r="414" spans="2:10" ht="15">
      <c r="B414" s="78"/>
      <c r="C414" s="71"/>
      <c r="D414" s="71"/>
      <c r="F414" s="71"/>
      <c r="G414" s="71"/>
      <c r="H414" s="71"/>
      <c r="I414" s="77"/>
      <c r="J414" s="65" t="s">
        <v>331</v>
      </c>
    </row>
    <row r="415" spans="2:10" ht="15">
      <c r="B415" s="78"/>
      <c r="C415" s="71"/>
      <c r="D415" s="71"/>
      <c r="F415" s="71"/>
      <c r="G415" s="71"/>
      <c r="H415" s="71"/>
      <c r="I415" s="77"/>
      <c r="J415" s="65" t="s">
        <v>331</v>
      </c>
    </row>
    <row r="416" spans="2:10" ht="15">
      <c r="B416" s="78"/>
      <c r="C416" s="71"/>
      <c r="D416" s="71"/>
      <c r="F416" s="71"/>
      <c r="G416" s="71"/>
      <c r="H416" s="71"/>
      <c r="I416" s="77"/>
      <c r="J416" s="65" t="s">
        <v>331</v>
      </c>
    </row>
    <row r="417" spans="2:10" ht="15">
      <c r="B417" s="78"/>
      <c r="C417" s="71"/>
      <c r="D417" s="71"/>
      <c r="F417" s="71"/>
      <c r="G417" s="71"/>
      <c r="H417" s="71"/>
      <c r="I417" s="77"/>
      <c r="J417" s="65" t="s">
        <v>331</v>
      </c>
    </row>
    <row r="418" spans="2:10" ht="15">
      <c r="B418" s="78"/>
      <c r="C418" s="71"/>
      <c r="D418" s="71"/>
      <c r="F418" s="71"/>
      <c r="G418" s="71"/>
      <c r="H418" s="71"/>
      <c r="I418" s="77"/>
      <c r="J418" s="65" t="s">
        <v>331</v>
      </c>
    </row>
    <row r="419" spans="2:10" ht="15">
      <c r="B419" s="78"/>
      <c r="C419" s="71"/>
      <c r="D419" s="71"/>
      <c r="F419" s="71"/>
      <c r="G419" s="71"/>
      <c r="H419" s="71"/>
      <c r="I419" s="77"/>
      <c r="J419" s="65" t="s">
        <v>331</v>
      </c>
    </row>
    <row r="420" spans="2:10" ht="15">
      <c r="B420" s="78"/>
      <c r="C420" s="71"/>
      <c r="D420" s="71"/>
      <c r="F420" s="71"/>
      <c r="G420" s="71"/>
      <c r="H420" s="71"/>
      <c r="I420" s="77"/>
      <c r="J420" s="65" t="s">
        <v>331</v>
      </c>
    </row>
    <row r="421" spans="2:10" ht="15">
      <c r="B421" s="78"/>
      <c r="C421" s="71"/>
      <c r="D421" s="71"/>
      <c r="F421" s="71"/>
      <c r="G421" s="71"/>
      <c r="H421" s="71"/>
      <c r="I421" s="77"/>
      <c r="J421" s="65" t="s">
        <v>331</v>
      </c>
    </row>
    <row r="422" spans="2:10" ht="15">
      <c r="B422" s="78"/>
      <c r="C422" s="71"/>
      <c r="D422" s="71"/>
      <c r="F422" s="71"/>
      <c r="G422" s="71"/>
      <c r="H422" s="71"/>
      <c r="I422" s="77"/>
      <c r="J422" s="65" t="s">
        <v>331</v>
      </c>
    </row>
    <row r="423" spans="2:10" ht="15">
      <c r="B423" s="78"/>
      <c r="C423" s="71"/>
      <c r="D423" s="71"/>
      <c r="F423" s="71"/>
      <c r="G423" s="71"/>
      <c r="H423" s="71"/>
      <c r="I423" s="77"/>
      <c r="J423" s="65" t="s">
        <v>331</v>
      </c>
    </row>
    <row r="424" spans="2:10" ht="15">
      <c r="B424" s="78"/>
      <c r="C424" s="71"/>
      <c r="D424" s="71"/>
      <c r="F424" s="71"/>
      <c r="G424" s="71"/>
      <c r="H424" s="71"/>
      <c r="I424" s="77"/>
      <c r="J424" s="65" t="s">
        <v>331</v>
      </c>
    </row>
    <row r="425" spans="2:10" ht="15">
      <c r="B425" s="78"/>
      <c r="C425" s="71"/>
      <c r="D425" s="71"/>
      <c r="F425" s="71"/>
      <c r="G425" s="71"/>
      <c r="H425" s="71"/>
      <c r="I425" s="77"/>
      <c r="J425" s="65" t="s">
        <v>331</v>
      </c>
    </row>
    <row r="426" spans="2:10" ht="15">
      <c r="B426" s="78"/>
      <c r="C426" s="71"/>
      <c r="D426" s="71"/>
      <c r="F426" s="71"/>
      <c r="G426" s="71"/>
      <c r="H426" s="71"/>
      <c r="I426" s="77"/>
      <c r="J426" s="65" t="s">
        <v>331</v>
      </c>
    </row>
    <row r="427" spans="2:10" ht="15">
      <c r="B427" s="78"/>
      <c r="C427" s="71"/>
      <c r="D427" s="71"/>
      <c r="F427" s="71"/>
      <c r="G427" s="71"/>
      <c r="H427" s="71"/>
      <c r="I427" s="77"/>
      <c r="J427" s="65" t="s">
        <v>331</v>
      </c>
    </row>
    <row r="428" spans="2:10" ht="15">
      <c r="B428" s="78"/>
      <c r="C428" s="71"/>
      <c r="D428" s="71"/>
      <c r="F428" s="71"/>
      <c r="G428" s="71"/>
      <c r="H428" s="71"/>
      <c r="I428" s="77"/>
      <c r="J428" s="65" t="s">
        <v>331</v>
      </c>
    </row>
    <row r="429" spans="2:10" ht="15">
      <c r="B429" s="78"/>
      <c r="C429" s="71"/>
      <c r="D429" s="71"/>
      <c r="F429" s="71"/>
      <c r="G429" s="71"/>
      <c r="H429" s="71"/>
      <c r="I429" s="77"/>
      <c r="J429" s="65" t="s">
        <v>331</v>
      </c>
    </row>
    <row r="430" spans="2:10" ht="15">
      <c r="B430" s="78"/>
      <c r="C430" s="71"/>
      <c r="D430" s="71"/>
      <c r="F430" s="71"/>
      <c r="G430" s="71"/>
      <c r="H430" s="71"/>
      <c r="I430" s="77"/>
      <c r="J430" s="65" t="s">
        <v>331</v>
      </c>
    </row>
    <row r="431" spans="2:10" ht="15">
      <c r="B431" s="78"/>
      <c r="C431" s="71"/>
      <c r="D431" s="71"/>
      <c r="F431" s="71"/>
      <c r="G431" s="71"/>
      <c r="H431" s="71"/>
      <c r="I431" s="77"/>
      <c r="J431" s="65" t="s">
        <v>331</v>
      </c>
    </row>
    <row r="432" spans="2:10" ht="15">
      <c r="B432" s="78"/>
      <c r="C432" s="71"/>
      <c r="D432" s="71"/>
      <c r="F432" s="71"/>
      <c r="G432" s="71"/>
      <c r="H432" s="71"/>
      <c r="I432" s="77"/>
      <c r="J432" s="65" t="s">
        <v>331</v>
      </c>
    </row>
    <row r="433" spans="2:10" ht="15">
      <c r="B433" s="78"/>
      <c r="C433" s="71"/>
      <c r="D433" s="71"/>
      <c r="F433" s="71"/>
      <c r="G433" s="71"/>
      <c r="H433" s="71"/>
      <c r="I433" s="77"/>
      <c r="J433" s="65" t="s">
        <v>331</v>
      </c>
    </row>
    <row r="434" spans="2:10" ht="15">
      <c r="B434" s="78"/>
      <c r="C434" s="71"/>
      <c r="D434" s="71"/>
      <c r="F434" s="71"/>
      <c r="G434" s="71"/>
      <c r="H434" s="71"/>
      <c r="I434" s="77"/>
      <c r="J434" s="65" t="s">
        <v>331</v>
      </c>
    </row>
    <row r="435" spans="2:10" ht="15">
      <c r="B435" s="78"/>
      <c r="C435" s="71"/>
      <c r="D435" s="71"/>
      <c r="F435" s="71"/>
      <c r="G435" s="71"/>
      <c r="H435" s="71"/>
      <c r="I435" s="77"/>
      <c r="J435" s="65" t="s">
        <v>331</v>
      </c>
    </row>
    <row r="436" spans="2:10" ht="15">
      <c r="B436" s="78"/>
      <c r="C436" s="71"/>
      <c r="D436" s="71"/>
      <c r="F436" s="71"/>
      <c r="G436" s="71"/>
      <c r="H436" s="71"/>
      <c r="I436" s="77"/>
      <c r="J436" s="65" t="s">
        <v>331</v>
      </c>
    </row>
    <row r="437" spans="2:10" ht="15">
      <c r="B437" s="78"/>
      <c r="C437" s="71"/>
      <c r="D437" s="71"/>
      <c r="F437" s="71"/>
      <c r="G437" s="71"/>
      <c r="H437" s="71"/>
      <c r="I437" s="77"/>
      <c r="J437" s="65" t="s">
        <v>331</v>
      </c>
    </row>
    <row r="438" spans="2:10" ht="15">
      <c r="B438" s="78"/>
      <c r="C438" s="71"/>
      <c r="D438" s="71"/>
      <c r="F438" s="71"/>
      <c r="G438" s="71"/>
      <c r="H438" s="71"/>
      <c r="I438" s="77"/>
      <c r="J438" s="65" t="s">
        <v>331</v>
      </c>
    </row>
    <row r="439" spans="2:10" ht="15">
      <c r="B439" s="78"/>
      <c r="C439" s="71"/>
      <c r="D439" s="71"/>
      <c r="F439" s="71"/>
      <c r="G439" s="71"/>
      <c r="H439" s="71"/>
      <c r="I439" s="77"/>
      <c r="J439" s="65" t="s">
        <v>331</v>
      </c>
    </row>
    <row r="440" spans="2:10" ht="15">
      <c r="B440" s="78"/>
      <c r="C440" s="71"/>
      <c r="D440" s="71"/>
      <c r="F440" s="71"/>
      <c r="G440" s="71"/>
      <c r="H440" s="71"/>
      <c r="I440" s="77"/>
      <c r="J440" s="65" t="s">
        <v>331</v>
      </c>
    </row>
    <row r="441" spans="2:10" ht="15">
      <c r="B441" s="78"/>
      <c r="C441" s="71"/>
      <c r="D441" s="71"/>
      <c r="F441" s="71"/>
      <c r="G441" s="71"/>
      <c r="H441" s="71"/>
      <c r="I441" s="77"/>
      <c r="J441" s="65" t="s">
        <v>331</v>
      </c>
    </row>
    <row r="442" spans="2:10" ht="15">
      <c r="B442" s="78"/>
      <c r="C442" s="71"/>
      <c r="D442" s="71"/>
      <c r="F442" s="71"/>
      <c r="G442" s="71"/>
      <c r="H442" s="71"/>
      <c r="I442" s="77"/>
      <c r="J442" s="65" t="s">
        <v>331</v>
      </c>
    </row>
    <row r="443" spans="2:10" ht="15">
      <c r="B443" s="78"/>
      <c r="C443" s="71"/>
      <c r="D443" s="71"/>
      <c r="F443" s="71"/>
      <c r="G443" s="71"/>
      <c r="H443" s="71"/>
      <c r="I443" s="77"/>
      <c r="J443" s="65" t="s">
        <v>331</v>
      </c>
    </row>
    <row r="444" spans="2:10" ht="15">
      <c r="B444" s="78"/>
      <c r="C444" s="71"/>
      <c r="D444" s="71"/>
      <c r="F444" s="71"/>
      <c r="G444" s="71"/>
      <c r="H444" s="71"/>
      <c r="I444" s="77"/>
      <c r="J444" s="65" t="s">
        <v>331</v>
      </c>
    </row>
    <row r="445" spans="2:10" ht="15">
      <c r="B445" s="78"/>
      <c r="C445" s="71"/>
      <c r="D445" s="71"/>
      <c r="F445" s="71"/>
      <c r="G445" s="71"/>
      <c r="H445" s="71"/>
      <c r="I445" s="77"/>
      <c r="J445" s="65" t="s">
        <v>331</v>
      </c>
    </row>
    <row r="446" spans="2:10" ht="15">
      <c r="B446" s="78"/>
      <c r="C446" s="71"/>
      <c r="D446" s="71"/>
      <c r="F446" s="71"/>
      <c r="G446" s="71"/>
      <c r="H446" s="71"/>
      <c r="I446" s="77"/>
      <c r="J446" s="65" t="s">
        <v>331</v>
      </c>
    </row>
    <row r="447" spans="2:10" ht="15">
      <c r="B447" s="78"/>
      <c r="C447" s="71"/>
      <c r="D447" s="71"/>
      <c r="F447" s="71"/>
      <c r="G447" s="71"/>
      <c r="H447" s="71"/>
      <c r="I447" s="77"/>
      <c r="J447" s="65" t="s">
        <v>331</v>
      </c>
    </row>
    <row r="448" spans="2:10" ht="15">
      <c r="B448" s="78"/>
      <c r="C448" s="71"/>
      <c r="D448" s="71"/>
      <c r="F448" s="71"/>
      <c r="G448" s="71"/>
      <c r="H448" s="71"/>
      <c r="I448" s="77"/>
      <c r="J448" s="65" t="s">
        <v>331</v>
      </c>
    </row>
    <row r="449" spans="2:10" ht="15">
      <c r="B449" s="78"/>
      <c r="C449" s="71"/>
      <c r="D449" s="71"/>
      <c r="F449" s="71"/>
      <c r="G449" s="71"/>
      <c r="H449" s="71"/>
      <c r="I449" s="77"/>
      <c r="J449" s="65" t="s">
        <v>331</v>
      </c>
    </row>
    <row r="450" spans="2:10" ht="15">
      <c r="B450" s="78"/>
      <c r="C450" s="71"/>
      <c r="D450" s="71"/>
      <c r="F450" s="71"/>
      <c r="G450" s="71"/>
      <c r="H450" s="71"/>
      <c r="I450" s="77"/>
      <c r="J450" s="65" t="s">
        <v>331</v>
      </c>
    </row>
    <row r="451" spans="2:10" ht="15">
      <c r="B451" s="78"/>
      <c r="C451" s="71"/>
      <c r="D451" s="71"/>
      <c r="F451" s="71"/>
      <c r="G451" s="71"/>
      <c r="H451" s="71"/>
      <c r="I451" s="77"/>
      <c r="J451" s="65" t="s">
        <v>331</v>
      </c>
    </row>
    <row r="452" spans="2:10" ht="15">
      <c r="B452" s="78"/>
      <c r="C452" s="71"/>
      <c r="D452" s="71"/>
      <c r="F452" s="71"/>
      <c r="G452" s="71"/>
      <c r="H452" s="71"/>
      <c r="I452" s="77"/>
      <c r="J452" s="65" t="s">
        <v>331</v>
      </c>
    </row>
    <row r="453" spans="2:10" ht="15">
      <c r="B453" s="78"/>
      <c r="C453" s="71"/>
      <c r="D453" s="71"/>
      <c r="F453" s="71"/>
      <c r="G453" s="71"/>
      <c r="H453" s="71"/>
      <c r="I453" s="77"/>
      <c r="J453" s="65" t="s">
        <v>331</v>
      </c>
    </row>
    <row r="454" spans="2:10" ht="15">
      <c r="B454" s="78"/>
      <c r="C454" s="71"/>
      <c r="D454" s="71"/>
      <c r="F454" s="71"/>
      <c r="G454" s="71"/>
      <c r="H454" s="71"/>
      <c r="I454" s="77"/>
      <c r="J454" s="65" t="s">
        <v>331</v>
      </c>
    </row>
    <row r="455" spans="2:10" ht="15">
      <c r="B455" s="78"/>
      <c r="C455" s="71"/>
      <c r="D455" s="71"/>
      <c r="F455" s="71"/>
      <c r="G455" s="71"/>
      <c r="H455" s="71"/>
      <c r="I455" s="77"/>
      <c r="J455" s="65" t="s">
        <v>331</v>
      </c>
    </row>
    <row r="456" spans="2:10" ht="15">
      <c r="B456" s="78"/>
      <c r="C456" s="71"/>
      <c r="D456" s="71"/>
      <c r="F456" s="71"/>
      <c r="G456" s="71"/>
      <c r="H456" s="71"/>
      <c r="I456" s="77"/>
      <c r="J456" s="65" t="s">
        <v>331</v>
      </c>
    </row>
    <row r="457" spans="2:10" ht="15">
      <c r="B457" s="78"/>
      <c r="C457" s="71"/>
      <c r="D457" s="71"/>
      <c r="F457" s="71"/>
      <c r="G457" s="71"/>
      <c r="H457" s="71"/>
      <c r="I457" s="77"/>
      <c r="J457" s="65" t="s">
        <v>331</v>
      </c>
    </row>
    <row r="458" spans="2:10" ht="15">
      <c r="B458" s="78"/>
      <c r="C458" s="71"/>
      <c r="D458" s="71"/>
      <c r="F458" s="71"/>
      <c r="G458" s="71"/>
      <c r="H458" s="71"/>
      <c r="I458" s="77"/>
      <c r="J458" s="65" t="s">
        <v>331</v>
      </c>
    </row>
    <row r="459" spans="2:10" ht="15">
      <c r="B459" s="78"/>
      <c r="C459" s="71"/>
      <c r="D459" s="71"/>
      <c r="F459" s="71"/>
      <c r="G459" s="71"/>
      <c r="H459" s="71"/>
      <c r="I459" s="77"/>
      <c r="J459" s="65" t="s">
        <v>331</v>
      </c>
    </row>
    <row r="460" spans="2:10" ht="15">
      <c r="B460" s="78"/>
      <c r="C460" s="71"/>
      <c r="D460" s="71"/>
      <c r="F460" s="71"/>
      <c r="G460" s="71"/>
      <c r="H460" s="71"/>
      <c r="I460" s="77"/>
      <c r="J460" s="65" t="s">
        <v>331</v>
      </c>
    </row>
    <row r="461" spans="2:10" ht="15">
      <c r="B461" s="78"/>
      <c r="C461" s="71"/>
      <c r="D461" s="71"/>
      <c r="F461" s="71"/>
      <c r="G461" s="71"/>
      <c r="H461" s="71"/>
      <c r="I461" s="77"/>
      <c r="J461" s="65" t="s">
        <v>331</v>
      </c>
    </row>
    <row r="462" spans="2:10" ht="15">
      <c r="B462" s="78"/>
      <c r="C462" s="71"/>
      <c r="D462" s="71"/>
      <c r="F462" s="71"/>
      <c r="G462" s="71"/>
      <c r="H462" s="71"/>
      <c r="I462" s="77"/>
      <c r="J462" s="65" t="s">
        <v>331</v>
      </c>
    </row>
    <row r="463" spans="2:10" ht="15">
      <c r="B463" s="78"/>
      <c r="C463" s="71"/>
      <c r="D463" s="71"/>
      <c r="F463" s="71"/>
      <c r="G463" s="71"/>
      <c r="H463" s="71"/>
      <c r="I463" s="77"/>
      <c r="J463" s="65" t="s">
        <v>331</v>
      </c>
    </row>
    <row r="464" spans="2:10" ht="15">
      <c r="B464" s="78"/>
      <c r="C464" s="71"/>
      <c r="D464" s="71"/>
      <c r="F464" s="71"/>
      <c r="G464" s="71"/>
      <c r="H464" s="71"/>
      <c r="I464" s="77"/>
      <c r="J464" s="65" t="s">
        <v>331</v>
      </c>
    </row>
    <row r="465" spans="2:10" ht="15">
      <c r="B465" s="78"/>
      <c r="C465" s="71"/>
      <c r="D465" s="71"/>
      <c r="F465" s="71"/>
      <c r="G465" s="71"/>
      <c r="H465" s="71"/>
      <c r="I465" s="77"/>
      <c r="J465" s="65" t="s">
        <v>331</v>
      </c>
    </row>
    <row r="466" spans="2:10" ht="15">
      <c r="B466" s="78"/>
      <c r="C466" s="71"/>
      <c r="D466" s="71"/>
      <c r="F466" s="71"/>
      <c r="G466" s="71"/>
      <c r="H466" s="71"/>
      <c r="I466" s="77"/>
      <c r="J466" s="65" t="s">
        <v>331</v>
      </c>
    </row>
    <row r="467" spans="2:10" ht="15">
      <c r="B467" s="78"/>
      <c r="C467" s="71"/>
      <c r="D467" s="71"/>
      <c r="F467" s="71"/>
      <c r="G467" s="71"/>
      <c r="H467" s="71"/>
      <c r="I467" s="77"/>
      <c r="J467" s="65" t="s">
        <v>331</v>
      </c>
    </row>
    <row r="468" spans="2:10" ht="15">
      <c r="B468" s="78"/>
      <c r="C468" s="71"/>
      <c r="D468" s="71"/>
      <c r="F468" s="71"/>
      <c r="G468" s="71"/>
      <c r="H468" s="71"/>
      <c r="I468" s="77"/>
      <c r="J468" s="65" t="s">
        <v>331</v>
      </c>
    </row>
    <row r="469" spans="2:10" ht="15">
      <c r="B469" s="78"/>
      <c r="C469" s="71"/>
      <c r="D469" s="71"/>
      <c r="F469" s="71"/>
      <c r="G469" s="71"/>
      <c r="H469" s="71"/>
      <c r="I469" s="77"/>
      <c r="J469" s="65" t="s">
        <v>331</v>
      </c>
    </row>
    <row r="470" spans="2:10" ht="15">
      <c r="B470" s="78"/>
      <c r="C470" s="71"/>
      <c r="D470" s="71"/>
      <c r="F470" s="71"/>
      <c r="G470" s="71"/>
      <c r="H470" s="71"/>
      <c r="I470" s="77"/>
      <c r="J470" s="65" t="s">
        <v>331</v>
      </c>
    </row>
    <row r="471" spans="2:10" ht="15">
      <c r="B471" s="78"/>
      <c r="C471" s="71"/>
      <c r="D471" s="71"/>
      <c r="F471" s="71"/>
      <c r="G471" s="71"/>
      <c r="H471" s="71"/>
      <c r="I471" s="77"/>
      <c r="J471" s="65" t="s">
        <v>331</v>
      </c>
    </row>
    <row r="472" spans="2:10" ht="15">
      <c r="B472" s="78"/>
      <c r="C472" s="71"/>
      <c r="D472" s="71"/>
      <c r="F472" s="71"/>
      <c r="G472" s="71"/>
      <c r="H472" s="71"/>
      <c r="I472" s="77"/>
      <c r="J472" s="65" t="s">
        <v>331</v>
      </c>
    </row>
    <row r="473" spans="2:10" ht="15">
      <c r="B473" s="78"/>
      <c r="C473" s="71"/>
      <c r="D473" s="71"/>
      <c r="F473" s="71"/>
      <c r="G473" s="71"/>
      <c r="H473" s="71"/>
      <c r="I473" s="77"/>
      <c r="J473" s="65" t="s">
        <v>331</v>
      </c>
    </row>
    <row r="474" spans="2:10" ht="15">
      <c r="B474" s="78"/>
      <c r="C474" s="71"/>
      <c r="D474" s="71"/>
      <c r="F474" s="71"/>
      <c r="G474" s="71"/>
      <c r="H474" s="71"/>
      <c r="I474" s="77"/>
      <c r="J474" s="65" t="s">
        <v>331</v>
      </c>
    </row>
    <row r="475" spans="2:10" ht="15">
      <c r="B475" s="78"/>
      <c r="C475" s="71"/>
      <c r="D475" s="71"/>
      <c r="F475" s="71"/>
      <c r="G475" s="71"/>
      <c r="H475" s="71"/>
      <c r="I475" s="77"/>
      <c r="J475" s="65" t="s">
        <v>331</v>
      </c>
    </row>
    <row r="476" spans="2:10" ht="15">
      <c r="B476" s="78"/>
      <c r="C476" s="71"/>
      <c r="D476" s="71"/>
      <c r="F476" s="71"/>
      <c r="G476" s="71"/>
      <c r="H476" s="71"/>
      <c r="I476" s="77"/>
      <c r="J476" s="65" t="s">
        <v>331</v>
      </c>
    </row>
    <row r="477" spans="2:10" ht="15">
      <c r="B477" s="78"/>
      <c r="C477" s="71"/>
      <c r="D477" s="71"/>
      <c r="F477" s="71"/>
      <c r="G477" s="71"/>
      <c r="H477" s="71"/>
      <c r="I477" s="77"/>
      <c r="J477" s="65" t="s">
        <v>331</v>
      </c>
    </row>
    <row r="478" spans="2:10" ht="15">
      <c r="B478" s="78"/>
      <c r="C478" s="71"/>
      <c r="D478" s="71"/>
      <c r="F478" s="71"/>
      <c r="G478" s="71"/>
      <c r="H478" s="71"/>
      <c r="I478" s="77"/>
      <c r="J478" s="65" t="s">
        <v>331</v>
      </c>
    </row>
    <row r="479" spans="2:10" ht="15">
      <c r="B479" s="78"/>
      <c r="C479" s="71"/>
      <c r="D479" s="71"/>
      <c r="F479" s="71"/>
      <c r="G479" s="71"/>
      <c r="H479" s="71"/>
      <c r="I479" s="77"/>
      <c r="J479" s="65" t="s">
        <v>331</v>
      </c>
    </row>
    <row r="480" spans="2:10" ht="15">
      <c r="B480" s="78"/>
      <c r="C480" s="71"/>
      <c r="D480" s="71"/>
      <c r="F480" s="71"/>
      <c r="G480" s="71"/>
      <c r="H480" s="71"/>
      <c r="I480" s="77"/>
      <c r="J480" s="65" t="s">
        <v>331</v>
      </c>
    </row>
    <row r="481" spans="2:10" ht="15">
      <c r="B481" s="78"/>
      <c r="C481" s="71"/>
      <c r="D481" s="71"/>
      <c r="F481" s="71"/>
      <c r="G481" s="71"/>
      <c r="H481" s="71"/>
      <c r="I481" s="77"/>
      <c r="J481" s="65" t="s">
        <v>331</v>
      </c>
    </row>
    <row r="482" spans="2:10" ht="15">
      <c r="B482" s="78"/>
      <c r="C482" s="71"/>
      <c r="D482" s="71"/>
      <c r="F482" s="71"/>
      <c r="G482" s="71"/>
      <c r="H482" s="71"/>
      <c r="I482" s="77"/>
      <c r="J482" s="65" t="s">
        <v>331</v>
      </c>
    </row>
    <row r="483" spans="2:10" ht="15">
      <c r="B483" s="78"/>
      <c r="C483" s="71"/>
      <c r="D483" s="71"/>
      <c r="F483" s="71"/>
      <c r="G483" s="71"/>
      <c r="H483" s="71"/>
      <c r="I483" s="77"/>
      <c r="J483" s="65" t="s">
        <v>331</v>
      </c>
    </row>
    <row r="484" spans="2:10" ht="15">
      <c r="B484" s="78"/>
      <c r="C484" s="71"/>
      <c r="D484" s="71"/>
      <c r="F484" s="71"/>
      <c r="G484" s="71"/>
      <c r="H484" s="71"/>
      <c r="I484" s="77"/>
      <c r="J484" s="65" t="s">
        <v>331</v>
      </c>
    </row>
    <row r="485" spans="2:10" ht="15">
      <c r="B485" s="78"/>
      <c r="C485" s="71"/>
      <c r="D485" s="71"/>
      <c r="F485" s="71"/>
      <c r="G485" s="71"/>
      <c r="H485" s="71"/>
      <c r="I485" s="77"/>
      <c r="J485" s="65" t="s">
        <v>331</v>
      </c>
    </row>
    <row r="486" spans="2:10" ht="15">
      <c r="B486" s="78"/>
      <c r="C486" s="71"/>
      <c r="D486" s="71"/>
      <c r="F486" s="71"/>
      <c r="G486" s="71"/>
      <c r="H486" s="71"/>
      <c r="I486" s="77"/>
      <c r="J486" s="65" t="s">
        <v>331</v>
      </c>
    </row>
    <row r="487" spans="2:10" ht="15">
      <c r="B487" s="78"/>
      <c r="C487" s="71"/>
      <c r="D487" s="71"/>
      <c r="F487" s="71"/>
      <c r="G487" s="71"/>
      <c r="H487" s="71"/>
      <c r="I487" s="77"/>
      <c r="J487" s="65" t="s">
        <v>331</v>
      </c>
    </row>
    <row r="488" spans="2:10" ht="15">
      <c r="B488" s="78"/>
      <c r="C488" s="71"/>
      <c r="D488" s="71"/>
      <c r="F488" s="71"/>
      <c r="G488" s="71"/>
      <c r="H488" s="71"/>
      <c r="I488" s="77"/>
      <c r="J488" s="65" t="s">
        <v>331</v>
      </c>
    </row>
    <row r="489" spans="2:10" ht="15">
      <c r="B489" s="78"/>
      <c r="C489" s="71"/>
      <c r="D489" s="71"/>
      <c r="F489" s="71"/>
      <c r="G489" s="71"/>
      <c r="H489" s="71"/>
      <c r="I489" s="77"/>
      <c r="J489" s="65" t="s">
        <v>331</v>
      </c>
    </row>
    <row r="490" spans="2:10" ht="15">
      <c r="B490" s="78"/>
      <c r="C490" s="71"/>
      <c r="D490" s="71"/>
      <c r="F490" s="71"/>
      <c r="G490" s="71"/>
      <c r="H490" s="71"/>
      <c r="I490" s="77"/>
      <c r="J490" s="65" t="s">
        <v>331</v>
      </c>
    </row>
    <row r="491" spans="2:10" ht="15">
      <c r="B491" s="78"/>
      <c r="C491" s="71"/>
      <c r="D491" s="71"/>
      <c r="F491" s="71"/>
      <c r="G491" s="71"/>
      <c r="H491" s="71"/>
      <c r="I491" s="77"/>
      <c r="J491" s="65" t="s">
        <v>331</v>
      </c>
    </row>
    <row r="492" spans="2:10" ht="15">
      <c r="B492" s="78"/>
      <c r="C492" s="71"/>
      <c r="D492" s="71"/>
      <c r="F492" s="71"/>
      <c r="G492" s="71"/>
      <c r="H492" s="71"/>
      <c r="I492" s="77"/>
      <c r="J492" s="65" t="s">
        <v>331</v>
      </c>
    </row>
    <row r="493" spans="2:10" ht="15">
      <c r="B493" s="78"/>
      <c r="C493" s="71"/>
      <c r="D493" s="71"/>
      <c r="F493" s="71"/>
      <c r="G493" s="71"/>
      <c r="H493" s="71"/>
      <c r="I493" s="77"/>
      <c r="J493" s="65" t="s">
        <v>331</v>
      </c>
    </row>
    <row r="494" spans="2:10" ht="15">
      <c r="B494" s="78"/>
      <c r="C494" s="71"/>
      <c r="D494" s="71"/>
      <c r="F494" s="71"/>
      <c r="G494" s="71"/>
      <c r="H494" s="71"/>
      <c r="I494" s="77"/>
      <c r="J494" s="65" t="s">
        <v>331</v>
      </c>
    </row>
    <row r="495" spans="2:10" ht="15">
      <c r="B495" s="78"/>
      <c r="C495" s="71"/>
      <c r="D495" s="71"/>
      <c r="F495" s="71"/>
      <c r="G495" s="71"/>
      <c r="H495" s="71"/>
      <c r="I495" s="77"/>
      <c r="J495" s="65" t="s">
        <v>331</v>
      </c>
    </row>
    <row r="496" spans="2:10" ht="15">
      <c r="B496" s="78"/>
      <c r="C496" s="71"/>
      <c r="D496" s="71"/>
      <c r="F496" s="71"/>
      <c r="G496" s="71"/>
      <c r="H496" s="71"/>
      <c r="I496" s="77"/>
      <c r="J496" s="65" t="s">
        <v>331</v>
      </c>
    </row>
    <row r="497" spans="2:10" ht="15">
      <c r="B497" s="78"/>
      <c r="C497" s="71"/>
      <c r="D497" s="71"/>
      <c r="F497" s="71"/>
      <c r="G497" s="71"/>
      <c r="H497" s="71"/>
      <c r="I497" s="77"/>
      <c r="J497" s="65" t="s">
        <v>331</v>
      </c>
    </row>
    <row r="498" spans="2:10" ht="15">
      <c r="B498" s="78"/>
      <c r="C498" s="71"/>
      <c r="D498" s="71"/>
      <c r="F498" s="71"/>
      <c r="G498" s="71"/>
      <c r="H498" s="71"/>
      <c r="I498" s="77"/>
      <c r="J498" s="65" t="s">
        <v>331</v>
      </c>
    </row>
    <row r="499" spans="2:10" ht="15">
      <c r="B499" s="78"/>
      <c r="C499" s="71"/>
      <c r="D499" s="71"/>
      <c r="F499" s="71"/>
      <c r="G499" s="71"/>
      <c r="H499" s="71"/>
      <c r="I499" s="77"/>
      <c r="J499" s="65" t="s">
        <v>331</v>
      </c>
    </row>
    <row r="500" spans="2:10" ht="15">
      <c r="B500" s="78"/>
      <c r="C500" s="71"/>
      <c r="D500" s="71"/>
      <c r="F500" s="71"/>
      <c r="G500" s="71"/>
      <c r="H500" s="71"/>
      <c r="I500" s="77"/>
      <c r="J500" s="65" t="s">
        <v>331</v>
      </c>
    </row>
    <row r="501" spans="2:10" ht="15">
      <c r="B501" s="78"/>
      <c r="C501" s="71"/>
      <c r="D501" s="71"/>
      <c r="F501" s="71"/>
      <c r="G501" s="71"/>
      <c r="H501" s="71"/>
      <c r="I501" s="77"/>
      <c r="J501" s="65" t="s">
        <v>331</v>
      </c>
    </row>
    <row r="502" spans="2:10" ht="15">
      <c r="B502" s="78"/>
      <c r="C502" s="71"/>
      <c r="D502" s="71"/>
      <c r="F502" s="71"/>
      <c r="G502" s="71"/>
      <c r="H502" s="71"/>
      <c r="I502" s="77"/>
      <c r="J502" s="65" t="s">
        <v>331</v>
      </c>
    </row>
    <row r="503" spans="2:10" ht="15">
      <c r="B503" s="78"/>
      <c r="C503" s="71"/>
      <c r="D503" s="71"/>
      <c r="F503" s="71"/>
      <c r="G503" s="71"/>
      <c r="H503" s="71"/>
      <c r="I503" s="77"/>
      <c r="J503" s="65" t="s">
        <v>331</v>
      </c>
    </row>
    <row r="504" spans="2:10" ht="15">
      <c r="B504" s="78"/>
      <c r="C504" s="71"/>
      <c r="D504" s="71"/>
      <c r="F504" s="71"/>
      <c r="G504" s="71"/>
      <c r="H504" s="71"/>
      <c r="I504" s="77"/>
      <c r="J504" s="65" t="s">
        <v>331</v>
      </c>
    </row>
    <row r="505" spans="2:10" ht="15">
      <c r="B505" s="78"/>
      <c r="C505" s="71"/>
      <c r="D505" s="71"/>
      <c r="F505" s="71"/>
      <c r="G505" s="71"/>
      <c r="H505" s="71"/>
      <c r="I505" s="77"/>
      <c r="J505" s="65" t="s">
        <v>331</v>
      </c>
    </row>
    <row r="506" spans="2:10" ht="15">
      <c r="B506" s="78"/>
      <c r="C506" s="71"/>
      <c r="D506" s="71"/>
      <c r="F506" s="71"/>
      <c r="G506" s="71"/>
      <c r="H506" s="71"/>
      <c r="I506" s="77"/>
      <c r="J506" s="65" t="s">
        <v>331</v>
      </c>
    </row>
    <row r="507" spans="2:10" ht="15">
      <c r="B507" s="78"/>
      <c r="C507" s="71"/>
      <c r="D507" s="71"/>
      <c r="F507" s="71"/>
      <c r="G507" s="71"/>
      <c r="H507" s="71"/>
      <c r="I507" s="77"/>
      <c r="J507" s="65" t="s">
        <v>331</v>
      </c>
    </row>
    <row r="508" spans="2:10" ht="15">
      <c r="B508" s="78"/>
      <c r="C508" s="71"/>
      <c r="D508" s="71"/>
      <c r="F508" s="71"/>
      <c r="G508" s="71"/>
      <c r="H508" s="71"/>
      <c r="I508" s="77"/>
      <c r="J508" s="65" t="s">
        <v>331</v>
      </c>
    </row>
    <row r="509" spans="2:10" ht="15">
      <c r="B509" s="78"/>
      <c r="C509" s="71"/>
      <c r="D509" s="71"/>
      <c r="F509" s="71"/>
      <c r="G509" s="71"/>
      <c r="H509" s="71"/>
      <c r="I509" s="77"/>
      <c r="J509" s="65" t="s">
        <v>331</v>
      </c>
    </row>
    <row r="510" spans="2:10" ht="15">
      <c r="B510" s="78"/>
      <c r="C510" s="71"/>
      <c r="D510" s="71"/>
      <c r="F510" s="71"/>
      <c r="G510" s="71"/>
      <c r="H510" s="71"/>
      <c r="I510" s="77"/>
      <c r="J510" s="65" t="s">
        <v>331</v>
      </c>
    </row>
    <row r="511" spans="2:10" ht="15">
      <c r="B511" s="78"/>
      <c r="C511" s="71"/>
      <c r="D511" s="71"/>
      <c r="F511" s="71"/>
      <c r="G511" s="71"/>
      <c r="H511" s="71"/>
      <c r="I511" s="77"/>
      <c r="J511" s="65" t="s">
        <v>331</v>
      </c>
    </row>
    <row r="512" spans="2:10" ht="15">
      <c r="B512" s="78"/>
      <c r="C512" s="71"/>
      <c r="D512" s="71"/>
      <c r="F512" s="71"/>
      <c r="G512" s="71"/>
      <c r="H512" s="71"/>
      <c r="I512" s="77"/>
      <c r="J512" s="65" t="s">
        <v>331</v>
      </c>
    </row>
    <row r="513" spans="2:10" ht="15">
      <c r="B513" s="78"/>
      <c r="C513" s="71"/>
      <c r="D513" s="71"/>
      <c r="F513" s="71"/>
      <c r="G513" s="71"/>
      <c r="H513" s="71"/>
      <c r="I513" s="77"/>
      <c r="J513" s="65" t="s">
        <v>331</v>
      </c>
    </row>
    <row r="514" spans="2:10" ht="15">
      <c r="B514" s="78"/>
      <c r="C514" s="71"/>
      <c r="D514" s="71"/>
      <c r="F514" s="71"/>
      <c r="G514" s="71"/>
      <c r="H514" s="71"/>
      <c r="I514" s="77"/>
      <c r="J514" s="65" t="s">
        <v>331</v>
      </c>
    </row>
    <row r="515" spans="2:10" ht="15">
      <c r="B515" s="78"/>
      <c r="C515" s="71"/>
      <c r="D515" s="71"/>
      <c r="F515" s="71"/>
      <c r="G515" s="71"/>
      <c r="H515" s="71"/>
      <c r="I515" s="77"/>
      <c r="J515" s="65" t="s">
        <v>331</v>
      </c>
    </row>
    <row r="516" spans="2:10" ht="15">
      <c r="B516" s="78"/>
      <c r="C516" s="71"/>
      <c r="D516" s="71"/>
      <c r="F516" s="71"/>
      <c r="G516" s="71"/>
      <c r="H516" s="71"/>
      <c r="I516" s="77"/>
      <c r="J516" s="65" t="s">
        <v>331</v>
      </c>
    </row>
    <row r="517" spans="2:10" ht="15">
      <c r="B517" s="78"/>
      <c r="C517" s="71"/>
      <c r="D517" s="71"/>
      <c r="F517" s="71"/>
      <c r="G517" s="71"/>
      <c r="H517" s="71"/>
      <c r="I517" s="77"/>
      <c r="J517" s="65" t="s">
        <v>331</v>
      </c>
    </row>
    <row r="518" spans="2:10" ht="15">
      <c r="B518" s="78"/>
      <c r="C518" s="71"/>
      <c r="D518" s="71"/>
      <c r="F518" s="71"/>
      <c r="G518" s="71"/>
      <c r="H518" s="71"/>
      <c r="I518" s="77"/>
      <c r="J518" s="65" t="s">
        <v>331</v>
      </c>
    </row>
    <row r="519" spans="2:10" ht="15">
      <c r="B519" s="78"/>
      <c r="C519" s="71"/>
      <c r="D519" s="71"/>
      <c r="F519" s="71"/>
      <c r="G519" s="71"/>
      <c r="H519" s="71"/>
      <c r="I519" s="77"/>
      <c r="J519" s="65" t="s">
        <v>331</v>
      </c>
    </row>
    <row r="520" spans="2:10" ht="15">
      <c r="B520" s="78"/>
      <c r="C520" s="71"/>
      <c r="D520" s="71"/>
      <c r="F520" s="71"/>
      <c r="G520" s="71"/>
      <c r="H520" s="71"/>
      <c r="I520" s="77"/>
      <c r="J520" s="65" t="s">
        <v>331</v>
      </c>
    </row>
    <row r="521" spans="2:10" ht="15">
      <c r="B521" s="78"/>
      <c r="C521" s="71"/>
      <c r="D521" s="71"/>
      <c r="F521" s="71"/>
      <c r="G521" s="71"/>
      <c r="H521" s="71"/>
      <c r="I521" s="77"/>
      <c r="J521" s="65" t="s">
        <v>331</v>
      </c>
    </row>
    <row r="522" spans="2:10" ht="15">
      <c r="B522" s="78"/>
      <c r="C522" s="71"/>
      <c r="D522" s="71"/>
      <c r="F522" s="71"/>
      <c r="G522" s="71"/>
      <c r="H522" s="71"/>
      <c r="I522" s="77"/>
      <c r="J522" s="65" t="s">
        <v>331</v>
      </c>
    </row>
    <row r="523" spans="2:10" ht="15">
      <c r="B523" s="78"/>
      <c r="C523" s="71"/>
      <c r="D523" s="71"/>
      <c r="F523" s="71"/>
      <c r="G523" s="71"/>
      <c r="H523" s="71"/>
      <c r="I523" s="77"/>
      <c r="J523" s="65" t="s">
        <v>331</v>
      </c>
    </row>
    <row r="524" spans="2:10" ht="15">
      <c r="B524" s="78"/>
      <c r="C524" s="71"/>
      <c r="D524" s="71"/>
      <c r="F524" s="71"/>
      <c r="G524" s="71"/>
      <c r="H524" s="71"/>
      <c r="I524" s="77"/>
      <c r="J524" s="65" t="s">
        <v>331</v>
      </c>
    </row>
    <row r="525" spans="2:10" ht="15">
      <c r="B525" s="78"/>
      <c r="C525" s="71"/>
      <c r="D525" s="71"/>
      <c r="F525" s="71"/>
      <c r="G525" s="71"/>
      <c r="H525" s="71"/>
      <c r="I525" s="77"/>
      <c r="J525" s="65" t="s">
        <v>331</v>
      </c>
    </row>
    <row r="526" spans="2:10" ht="15">
      <c r="B526" s="78"/>
      <c r="C526" s="71"/>
      <c r="D526" s="71"/>
      <c r="F526" s="71"/>
      <c r="G526" s="71"/>
      <c r="H526" s="71"/>
      <c r="I526" s="77"/>
      <c r="J526" s="65" t="s">
        <v>331</v>
      </c>
    </row>
    <row r="527" spans="2:10" ht="15">
      <c r="B527" s="78"/>
      <c r="C527" s="71"/>
      <c r="D527" s="71"/>
      <c r="F527" s="71"/>
      <c r="G527" s="71"/>
      <c r="H527" s="71"/>
      <c r="I527" s="77"/>
      <c r="J527" s="65" t="s">
        <v>331</v>
      </c>
    </row>
    <row r="528" spans="2:10" ht="15">
      <c r="B528" s="78"/>
      <c r="C528" s="71"/>
      <c r="D528" s="71"/>
      <c r="F528" s="71"/>
      <c r="G528" s="71"/>
      <c r="H528" s="71"/>
      <c r="I528" s="77"/>
      <c r="J528" s="65" t="s">
        <v>331</v>
      </c>
    </row>
    <row r="529" spans="2:10" ht="15">
      <c r="B529" s="78"/>
      <c r="C529" s="71"/>
      <c r="D529" s="71"/>
      <c r="F529" s="71"/>
      <c r="G529" s="71"/>
      <c r="H529" s="71"/>
      <c r="I529" s="77"/>
      <c r="J529" s="65" t="s">
        <v>331</v>
      </c>
    </row>
    <row r="530" spans="2:10" ht="15">
      <c r="B530" s="78"/>
      <c r="C530" s="71"/>
      <c r="D530" s="71"/>
      <c r="F530" s="71"/>
      <c r="G530" s="71"/>
      <c r="H530" s="71"/>
      <c r="I530" s="77"/>
      <c r="J530" s="65" t="s">
        <v>331</v>
      </c>
    </row>
    <row r="531" spans="2:10" ht="15">
      <c r="B531" s="78"/>
      <c r="C531" s="71"/>
      <c r="D531" s="71"/>
      <c r="F531" s="71"/>
      <c r="G531" s="71"/>
      <c r="H531" s="71"/>
      <c r="I531" s="77"/>
      <c r="J531" s="65" t="s">
        <v>331</v>
      </c>
    </row>
    <row r="532" spans="2:10" ht="15">
      <c r="B532" s="78"/>
      <c r="C532" s="71"/>
      <c r="D532" s="71"/>
      <c r="F532" s="71"/>
      <c r="G532" s="71"/>
      <c r="H532" s="71"/>
      <c r="I532" s="77"/>
      <c r="J532" s="65" t="s">
        <v>331</v>
      </c>
    </row>
    <row r="533" spans="2:10" ht="15">
      <c r="B533" s="78"/>
      <c r="C533" s="71"/>
      <c r="D533" s="71"/>
      <c r="F533" s="71"/>
      <c r="G533" s="71"/>
      <c r="H533" s="71"/>
      <c r="I533" s="77"/>
      <c r="J533" s="65" t="s">
        <v>331</v>
      </c>
    </row>
    <row r="534" spans="2:10" ht="15">
      <c r="B534" s="78"/>
      <c r="C534" s="71"/>
      <c r="D534" s="71"/>
      <c r="F534" s="71"/>
      <c r="G534" s="71"/>
      <c r="H534" s="71"/>
      <c r="I534" s="77"/>
      <c r="J534" s="65" t="s">
        <v>331</v>
      </c>
    </row>
    <row r="535" spans="2:10" ht="15">
      <c r="B535" s="78"/>
      <c r="C535" s="71"/>
      <c r="D535" s="71"/>
      <c r="F535" s="71"/>
      <c r="G535" s="71"/>
      <c r="H535" s="71"/>
      <c r="I535" s="77"/>
      <c r="J535" s="65" t="s">
        <v>331</v>
      </c>
    </row>
    <row r="536" spans="2:10" ht="15">
      <c r="B536" s="78"/>
      <c r="C536" s="71"/>
      <c r="D536" s="71"/>
      <c r="F536" s="71"/>
      <c r="G536" s="71"/>
      <c r="H536" s="71"/>
      <c r="I536" s="77"/>
      <c r="J536" s="65" t="s">
        <v>331</v>
      </c>
    </row>
    <row r="537" spans="2:10" ht="15">
      <c r="B537" s="78"/>
      <c r="C537" s="71"/>
      <c r="D537" s="71"/>
      <c r="F537" s="71"/>
      <c r="G537" s="71"/>
      <c r="H537" s="71"/>
      <c r="I537" s="77"/>
      <c r="J537" s="65" t="s">
        <v>331</v>
      </c>
    </row>
    <row r="538" spans="2:10" ht="15">
      <c r="B538" s="78"/>
      <c r="C538" s="71"/>
      <c r="D538" s="71"/>
      <c r="F538" s="71"/>
      <c r="G538" s="71"/>
      <c r="H538" s="71"/>
      <c r="I538" s="77"/>
      <c r="J538" s="65" t="s">
        <v>331</v>
      </c>
    </row>
    <row r="539" spans="2:10" ht="15">
      <c r="B539" s="78"/>
      <c r="C539" s="71"/>
      <c r="D539" s="71"/>
      <c r="F539" s="71"/>
      <c r="G539" s="71"/>
      <c r="H539" s="71"/>
      <c r="I539" s="77"/>
      <c r="J539" s="65" t="s">
        <v>331</v>
      </c>
    </row>
    <row r="540" spans="2:10" ht="15">
      <c r="B540" s="78"/>
      <c r="C540" s="71"/>
      <c r="D540" s="71"/>
      <c r="F540" s="71"/>
      <c r="G540" s="71"/>
      <c r="H540" s="71"/>
      <c r="I540" s="77"/>
      <c r="J540" s="65" t="s">
        <v>331</v>
      </c>
    </row>
    <row r="541" spans="2:10" ht="15">
      <c r="B541" s="78"/>
      <c r="C541" s="71"/>
      <c r="D541" s="71"/>
      <c r="F541" s="71"/>
      <c r="G541" s="71"/>
      <c r="H541" s="71"/>
      <c r="I541" s="77"/>
      <c r="J541" s="65" t="s">
        <v>331</v>
      </c>
    </row>
    <row r="542" spans="2:10" ht="15">
      <c r="B542" s="78"/>
      <c r="C542" s="71"/>
      <c r="D542" s="71"/>
      <c r="F542" s="71"/>
      <c r="G542" s="71"/>
      <c r="H542" s="71"/>
      <c r="I542" s="77"/>
      <c r="J542" s="65" t="s">
        <v>331</v>
      </c>
    </row>
    <row r="543" spans="2:10" ht="15">
      <c r="B543" s="78"/>
      <c r="C543" s="71"/>
      <c r="D543" s="71"/>
      <c r="F543" s="71"/>
      <c r="G543" s="71"/>
      <c r="H543" s="71"/>
      <c r="I543" s="77"/>
      <c r="J543" s="65" t="s">
        <v>331</v>
      </c>
    </row>
    <row r="544" spans="2:10" ht="15">
      <c r="B544" s="78"/>
      <c r="C544" s="71"/>
      <c r="D544" s="71"/>
      <c r="F544" s="71"/>
      <c r="G544" s="71"/>
      <c r="H544" s="71"/>
      <c r="I544" s="77"/>
      <c r="J544" s="65" t="s">
        <v>331</v>
      </c>
    </row>
    <row r="545" spans="2:10" ht="15">
      <c r="B545" s="78"/>
      <c r="C545" s="71"/>
      <c r="D545" s="71"/>
      <c r="F545" s="71"/>
      <c r="G545" s="71"/>
      <c r="H545" s="71"/>
      <c r="I545" s="77"/>
      <c r="J545" s="65" t="s">
        <v>331</v>
      </c>
    </row>
    <row r="546" spans="2:10" ht="15">
      <c r="B546" s="78"/>
      <c r="C546" s="71"/>
      <c r="D546" s="71"/>
      <c r="F546" s="71"/>
      <c r="G546" s="71"/>
      <c r="H546" s="71"/>
      <c r="I546" s="77"/>
      <c r="J546" s="65" t="s">
        <v>331</v>
      </c>
    </row>
    <row r="547" spans="2:10" ht="15">
      <c r="B547" s="78"/>
      <c r="C547" s="71"/>
      <c r="D547" s="71"/>
      <c r="F547" s="71"/>
      <c r="G547" s="71"/>
      <c r="H547" s="71"/>
      <c r="I547" s="77"/>
      <c r="J547" s="65" t="s">
        <v>331</v>
      </c>
    </row>
    <row r="548" spans="2:10" ht="15">
      <c r="B548" s="78"/>
      <c r="C548" s="71"/>
      <c r="D548" s="71"/>
      <c r="F548" s="71"/>
      <c r="G548" s="71"/>
      <c r="H548" s="71"/>
      <c r="I548" s="77"/>
      <c r="J548" s="65" t="s">
        <v>331</v>
      </c>
    </row>
    <row r="549" spans="2:10" ht="15">
      <c r="B549" s="78"/>
      <c r="C549" s="71"/>
      <c r="D549" s="71"/>
      <c r="F549" s="71"/>
      <c r="G549" s="71"/>
      <c r="H549" s="71"/>
      <c r="I549" s="77"/>
      <c r="J549" s="65" t="s">
        <v>331</v>
      </c>
    </row>
    <row r="550" spans="2:10" ht="15">
      <c r="B550" s="78"/>
      <c r="C550" s="71"/>
      <c r="D550" s="71"/>
      <c r="F550" s="71"/>
      <c r="G550" s="71"/>
      <c r="H550" s="71"/>
      <c r="I550" s="77"/>
      <c r="J550" s="65" t="s">
        <v>331</v>
      </c>
    </row>
    <row r="551" spans="2:10" ht="15">
      <c r="B551" s="78"/>
      <c r="C551" s="71"/>
      <c r="D551" s="71"/>
      <c r="F551" s="71"/>
      <c r="G551" s="71"/>
      <c r="H551" s="71"/>
      <c r="I551" s="77"/>
      <c r="J551" s="65" t="s">
        <v>331</v>
      </c>
    </row>
    <row r="552" spans="2:10" ht="15">
      <c r="B552" s="78"/>
      <c r="C552" s="71"/>
      <c r="D552" s="71"/>
      <c r="F552" s="71"/>
      <c r="G552" s="71"/>
      <c r="H552" s="71"/>
      <c r="I552" s="77"/>
      <c r="J552" s="65" t="s">
        <v>331</v>
      </c>
    </row>
    <row r="553" spans="2:10" ht="15">
      <c r="B553" s="78"/>
      <c r="C553" s="71"/>
      <c r="D553" s="71"/>
      <c r="F553" s="71"/>
      <c r="G553" s="71"/>
      <c r="H553" s="71"/>
      <c r="I553" s="77"/>
      <c r="J553" s="65" t="s">
        <v>331</v>
      </c>
    </row>
    <row r="554" spans="2:10" ht="15">
      <c r="B554" s="78"/>
      <c r="C554" s="71"/>
      <c r="D554" s="71"/>
      <c r="F554" s="71"/>
      <c r="G554" s="71"/>
      <c r="H554" s="71"/>
      <c r="I554" s="77"/>
      <c r="J554" s="65" t="s">
        <v>331</v>
      </c>
    </row>
    <row r="555" spans="2:10" ht="15">
      <c r="B555" s="78"/>
      <c r="C555" s="71"/>
      <c r="D555" s="71"/>
      <c r="F555" s="71"/>
      <c r="G555" s="71"/>
      <c r="H555" s="71"/>
      <c r="I555" s="77"/>
      <c r="J555" s="65" t="s">
        <v>331</v>
      </c>
    </row>
    <row r="556" spans="2:10" ht="15">
      <c r="B556" s="78"/>
      <c r="C556" s="71"/>
      <c r="D556" s="71"/>
      <c r="F556" s="71"/>
      <c r="G556" s="71"/>
      <c r="H556" s="71"/>
      <c r="I556" s="77"/>
      <c r="J556" s="65" t="s">
        <v>331</v>
      </c>
    </row>
    <row r="557" spans="2:10" ht="15">
      <c r="B557" s="78"/>
      <c r="C557" s="71"/>
      <c r="D557" s="71"/>
      <c r="F557" s="71"/>
      <c r="G557" s="71"/>
      <c r="H557" s="71"/>
      <c r="I557" s="77"/>
      <c r="J557" s="65" t="s">
        <v>331</v>
      </c>
    </row>
    <row r="558" spans="2:10" ht="15">
      <c r="B558" s="78"/>
      <c r="C558" s="71"/>
      <c r="D558" s="71"/>
      <c r="F558" s="71"/>
      <c r="G558" s="71"/>
      <c r="H558" s="71"/>
      <c r="I558" s="77"/>
      <c r="J558" s="65" t="s">
        <v>331</v>
      </c>
    </row>
    <row r="559" spans="2:10" ht="15">
      <c r="B559" s="78"/>
      <c r="C559" s="71"/>
      <c r="D559" s="71"/>
      <c r="F559" s="71"/>
      <c r="G559" s="71"/>
      <c r="H559" s="71"/>
      <c r="I559" s="77"/>
      <c r="J559" s="65" t="s">
        <v>331</v>
      </c>
    </row>
    <row r="560" spans="2:10" ht="15">
      <c r="B560" s="78"/>
      <c r="C560" s="71"/>
      <c r="D560" s="71"/>
      <c r="F560" s="71"/>
      <c r="G560" s="71"/>
      <c r="H560" s="71"/>
      <c r="I560" s="77"/>
      <c r="J560" s="65" t="s">
        <v>331</v>
      </c>
    </row>
    <row r="561" spans="2:10" ht="15">
      <c r="B561" s="78"/>
      <c r="C561" s="71"/>
      <c r="D561" s="71"/>
      <c r="F561" s="71"/>
      <c r="G561" s="71"/>
      <c r="H561" s="71"/>
      <c r="I561" s="77"/>
      <c r="J561" s="65" t="s">
        <v>331</v>
      </c>
    </row>
    <row r="562" spans="2:10" ht="15">
      <c r="B562" s="78"/>
      <c r="C562" s="71"/>
      <c r="D562" s="71"/>
      <c r="F562" s="71"/>
      <c r="G562" s="71"/>
      <c r="H562" s="71"/>
      <c r="I562" s="77"/>
      <c r="J562" s="65" t="s">
        <v>331</v>
      </c>
    </row>
    <row r="563" spans="2:10" ht="15">
      <c r="B563" s="78"/>
      <c r="C563" s="71"/>
      <c r="D563" s="71"/>
      <c r="F563" s="71"/>
      <c r="G563" s="71"/>
      <c r="H563" s="71"/>
      <c r="I563" s="77"/>
      <c r="J563" s="65" t="s">
        <v>331</v>
      </c>
    </row>
    <row r="564" spans="2:10" ht="15">
      <c r="B564" s="78"/>
      <c r="C564" s="71"/>
      <c r="D564" s="71"/>
      <c r="F564" s="71"/>
      <c r="G564" s="71"/>
      <c r="H564" s="71"/>
      <c r="I564" s="77"/>
      <c r="J564" s="65" t="s">
        <v>331</v>
      </c>
    </row>
    <row r="565" spans="2:10" ht="15">
      <c r="B565" s="78"/>
      <c r="C565" s="71"/>
      <c r="D565" s="71"/>
      <c r="F565" s="71"/>
      <c r="G565" s="71"/>
      <c r="H565" s="71"/>
      <c r="I565" s="77"/>
      <c r="J565" s="65" t="s">
        <v>331</v>
      </c>
    </row>
    <row r="566" spans="2:10" ht="15">
      <c r="B566" s="78"/>
      <c r="C566" s="71"/>
      <c r="D566" s="71"/>
      <c r="F566" s="71"/>
      <c r="G566" s="71"/>
      <c r="H566" s="71"/>
      <c r="I566" s="77"/>
      <c r="J566" s="65" t="s">
        <v>331</v>
      </c>
    </row>
    <row r="567" spans="2:10" ht="15">
      <c r="B567" s="78"/>
      <c r="C567" s="71"/>
      <c r="D567" s="71"/>
      <c r="F567" s="71"/>
      <c r="G567" s="71"/>
      <c r="H567" s="71"/>
      <c r="I567" s="77"/>
      <c r="J567" s="65" t="s">
        <v>331</v>
      </c>
    </row>
    <row r="568" spans="2:10" ht="15">
      <c r="B568" s="78"/>
      <c r="C568" s="71"/>
      <c r="D568" s="71"/>
      <c r="F568" s="71"/>
      <c r="G568" s="71"/>
      <c r="H568" s="71"/>
      <c r="I568" s="77"/>
      <c r="J568" s="65" t="s">
        <v>331</v>
      </c>
    </row>
    <row r="569" spans="2:10" ht="15">
      <c r="B569" s="78"/>
      <c r="C569" s="71"/>
      <c r="D569" s="71"/>
      <c r="F569" s="71"/>
      <c r="G569" s="71"/>
      <c r="H569" s="71"/>
      <c r="I569" s="77"/>
      <c r="J569" s="65" t="s">
        <v>331</v>
      </c>
    </row>
    <row r="570" spans="2:10" ht="15">
      <c r="B570" s="78"/>
      <c r="C570" s="71"/>
      <c r="D570" s="71"/>
      <c r="F570" s="71"/>
      <c r="G570" s="71"/>
      <c r="H570" s="71"/>
      <c r="I570" s="77"/>
      <c r="J570" s="65" t="s">
        <v>331</v>
      </c>
    </row>
    <row r="571" spans="2:10" ht="15">
      <c r="B571" s="78"/>
      <c r="C571" s="71"/>
      <c r="D571" s="71"/>
      <c r="F571" s="71"/>
      <c r="G571" s="71"/>
      <c r="H571" s="71"/>
      <c r="I571" s="77"/>
      <c r="J571" s="65" t="s">
        <v>331</v>
      </c>
    </row>
    <row r="572" spans="2:10" ht="15">
      <c r="B572" s="78"/>
      <c r="C572" s="71"/>
      <c r="D572" s="71"/>
      <c r="F572" s="71"/>
      <c r="G572" s="71"/>
      <c r="H572" s="71"/>
      <c r="I572" s="77"/>
      <c r="J572" s="65" t="s">
        <v>331</v>
      </c>
    </row>
    <row r="573" spans="2:10" ht="15">
      <c r="B573" s="78"/>
      <c r="C573" s="71"/>
      <c r="D573" s="71"/>
      <c r="F573" s="71"/>
      <c r="G573" s="71"/>
      <c r="H573" s="71"/>
      <c r="I573" s="77"/>
      <c r="J573" s="65" t="s">
        <v>331</v>
      </c>
    </row>
    <row r="574" spans="2:10" ht="15">
      <c r="B574" s="78"/>
      <c r="C574" s="71"/>
      <c r="D574" s="71"/>
      <c r="F574" s="71"/>
      <c r="G574" s="71"/>
      <c r="H574" s="71"/>
      <c r="I574" s="77"/>
      <c r="J574" s="65" t="s">
        <v>331</v>
      </c>
    </row>
    <row r="575" spans="2:10" ht="15">
      <c r="B575" s="78"/>
      <c r="C575" s="71"/>
      <c r="D575" s="71"/>
      <c r="F575" s="71"/>
      <c r="G575" s="71"/>
      <c r="H575" s="71"/>
      <c r="I575" s="77"/>
      <c r="J575" s="65" t="s">
        <v>331</v>
      </c>
    </row>
    <row r="576" spans="2:10" ht="15">
      <c r="B576" s="78"/>
      <c r="C576" s="71"/>
      <c r="D576" s="71"/>
      <c r="F576" s="71"/>
      <c r="G576" s="71"/>
      <c r="H576" s="71"/>
      <c r="I576" s="77"/>
      <c r="J576" s="65" t="s">
        <v>331</v>
      </c>
    </row>
    <row r="577" spans="2:10" ht="15">
      <c r="B577" s="78"/>
      <c r="C577" s="71"/>
      <c r="D577" s="71"/>
      <c r="F577" s="71"/>
      <c r="G577" s="71"/>
      <c r="H577" s="71"/>
      <c r="I577" s="77"/>
      <c r="J577" s="65" t="s">
        <v>331</v>
      </c>
    </row>
    <row r="578" spans="2:10" ht="15">
      <c r="B578" s="78"/>
      <c r="C578" s="71"/>
      <c r="D578" s="71"/>
      <c r="F578" s="71"/>
      <c r="G578" s="71"/>
      <c r="H578" s="71"/>
      <c r="I578" s="77"/>
      <c r="J578" s="65" t="s">
        <v>331</v>
      </c>
    </row>
    <row r="579" spans="2:10" ht="15">
      <c r="B579" s="78"/>
      <c r="C579" s="71"/>
      <c r="D579" s="71"/>
      <c r="F579" s="71"/>
      <c r="G579" s="71"/>
      <c r="H579" s="71"/>
      <c r="I579" s="77"/>
      <c r="J579" s="65" t="s">
        <v>331</v>
      </c>
    </row>
    <row r="580" spans="2:10" ht="15">
      <c r="B580" s="78"/>
      <c r="C580" s="71"/>
      <c r="D580" s="71"/>
      <c r="F580" s="71"/>
      <c r="G580" s="71"/>
      <c r="H580" s="71"/>
      <c r="I580" s="77"/>
      <c r="J580" s="65" t="s">
        <v>331</v>
      </c>
    </row>
    <row r="581" spans="2:10" ht="15">
      <c r="B581" s="78"/>
      <c r="C581" s="71"/>
      <c r="D581" s="71"/>
      <c r="F581" s="71"/>
      <c r="G581" s="71"/>
      <c r="H581" s="71"/>
      <c r="I581" s="77"/>
      <c r="J581" s="65" t="s">
        <v>331</v>
      </c>
    </row>
    <row r="582" spans="2:10" ht="15">
      <c r="B582" s="78"/>
      <c r="C582" s="71"/>
      <c r="D582" s="71"/>
      <c r="F582" s="71"/>
      <c r="G582" s="71"/>
      <c r="H582" s="71"/>
      <c r="I582" s="77"/>
      <c r="J582" s="65" t="s">
        <v>331</v>
      </c>
    </row>
    <row r="583" spans="2:10" ht="15">
      <c r="B583" s="78"/>
      <c r="C583" s="71"/>
      <c r="D583" s="71"/>
      <c r="F583" s="71"/>
      <c r="G583" s="71"/>
      <c r="H583" s="71"/>
      <c r="I583" s="77"/>
      <c r="J583" s="65" t="s">
        <v>331</v>
      </c>
    </row>
    <row r="584" spans="2:10" ht="15">
      <c r="B584" s="78"/>
      <c r="C584" s="71"/>
      <c r="D584" s="71"/>
      <c r="F584" s="71"/>
      <c r="G584" s="71"/>
      <c r="H584" s="71"/>
      <c r="I584" s="77"/>
      <c r="J584" s="65" t="s">
        <v>331</v>
      </c>
    </row>
    <row r="585" spans="2:10" ht="15">
      <c r="B585" s="78"/>
      <c r="C585" s="71"/>
      <c r="D585" s="71"/>
      <c r="F585" s="71"/>
      <c r="G585" s="71"/>
      <c r="H585" s="71"/>
      <c r="I585" s="77"/>
      <c r="J585" s="65" t="s">
        <v>331</v>
      </c>
    </row>
    <row r="586" spans="2:10" ht="15">
      <c r="B586" s="78"/>
      <c r="C586" s="71"/>
      <c r="D586" s="71"/>
      <c r="F586" s="71"/>
      <c r="G586" s="71"/>
      <c r="H586" s="71"/>
      <c r="I586" s="77"/>
      <c r="J586" s="65" t="s">
        <v>331</v>
      </c>
    </row>
    <row r="587" spans="2:10" ht="15">
      <c r="B587" s="78"/>
      <c r="C587" s="71"/>
      <c r="D587" s="71"/>
      <c r="F587" s="71"/>
      <c r="G587" s="71"/>
      <c r="H587" s="71"/>
      <c r="I587" s="77"/>
      <c r="J587" s="65" t="s">
        <v>331</v>
      </c>
    </row>
    <row r="588" spans="2:10" ht="15">
      <c r="B588" s="78"/>
      <c r="C588" s="71"/>
      <c r="D588" s="71"/>
      <c r="F588" s="71"/>
      <c r="G588" s="71"/>
      <c r="H588" s="71"/>
      <c r="I588" s="77"/>
      <c r="J588" s="65" t="s">
        <v>331</v>
      </c>
    </row>
    <row r="589" spans="2:10" ht="15">
      <c r="B589" s="78"/>
      <c r="C589" s="71"/>
      <c r="D589" s="71"/>
      <c r="F589" s="71"/>
      <c r="G589" s="71"/>
      <c r="H589" s="71"/>
      <c r="I589" s="77"/>
      <c r="J589" s="65" t="s">
        <v>331</v>
      </c>
    </row>
    <row r="590" spans="2:10" ht="15">
      <c r="B590" s="78"/>
      <c r="C590" s="71"/>
      <c r="D590" s="71"/>
      <c r="F590" s="71"/>
      <c r="G590" s="71"/>
      <c r="H590" s="71"/>
      <c r="I590" s="77"/>
      <c r="J590" s="65" t="s">
        <v>331</v>
      </c>
    </row>
    <row r="591" spans="2:10" ht="15">
      <c r="B591" s="78"/>
      <c r="C591" s="71"/>
      <c r="D591" s="71"/>
      <c r="F591" s="71"/>
      <c r="G591" s="71"/>
      <c r="H591" s="71"/>
      <c r="I591" s="77"/>
      <c r="J591" s="65" t="s">
        <v>331</v>
      </c>
    </row>
    <row r="592" spans="2:10" ht="15">
      <c r="B592" s="78"/>
      <c r="C592" s="71"/>
      <c r="D592" s="71"/>
      <c r="F592" s="71"/>
      <c r="G592" s="71"/>
      <c r="H592" s="71"/>
      <c r="I592" s="77"/>
      <c r="J592" s="65" t="s">
        <v>331</v>
      </c>
    </row>
    <row r="593" spans="2:10" ht="15">
      <c r="B593" s="78"/>
      <c r="C593" s="71"/>
      <c r="D593" s="71"/>
      <c r="F593" s="71"/>
      <c r="G593" s="71"/>
      <c r="H593" s="71"/>
      <c r="I593" s="77"/>
      <c r="J593" s="65" t="s">
        <v>331</v>
      </c>
    </row>
    <row r="594" spans="2:10" ht="15">
      <c r="B594" s="78"/>
      <c r="C594" s="71"/>
      <c r="D594" s="71"/>
      <c r="F594" s="71"/>
      <c r="G594" s="71"/>
      <c r="H594" s="71"/>
      <c r="I594" s="77"/>
      <c r="J594" s="65" t="s">
        <v>331</v>
      </c>
    </row>
    <row r="595" spans="2:10" ht="15">
      <c r="B595" s="78"/>
      <c r="C595" s="71"/>
      <c r="D595" s="71"/>
      <c r="F595" s="71"/>
      <c r="G595" s="71"/>
      <c r="H595" s="71"/>
      <c r="I595" s="77"/>
      <c r="J595" s="65" t="s">
        <v>331</v>
      </c>
    </row>
    <row r="596" spans="2:10" ht="15">
      <c r="B596" s="78"/>
      <c r="C596" s="71"/>
      <c r="D596" s="71"/>
      <c r="F596" s="71"/>
      <c r="G596" s="71"/>
      <c r="H596" s="71"/>
      <c r="I596" s="77"/>
      <c r="J596" s="65" t="s">
        <v>331</v>
      </c>
    </row>
    <row r="597" spans="2:10" ht="15">
      <c r="B597" s="78"/>
      <c r="C597" s="71"/>
      <c r="D597" s="71"/>
      <c r="F597" s="71"/>
      <c r="G597" s="71"/>
      <c r="H597" s="71"/>
      <c r="I597" s="77"/>
      <c r="J597" s="65" t="s">
        <v>331</v>
      </c>
    </row>
    <row r="598" spans="2:10" ht="15">
      <c r="B598" s="78"/>
      <c r="C598" s="71"/>
      <c r="D598" s="71"/>
      <c r="F598" s="71"/>
      <c r="G598" s="71"/>
      <c r="H598" s="71"/>
      <c r="I598" s="77"/>
      <c r="J598" s="65" t="s">
        <v>331</v>
      </c>
    </row>
    <row r="599" spans="2:10" ht="15">
      <c r="B599" s="78"/>
      <c r="C599" s="71"/>
      <c r="D599" s="71"/>
      <c r="F599" s="71"/>
      <c r="G599" s="71"/>
      <c r="H599" s="71"/>
      <c r="I599" s="77"/>
      <c r="J599" s="65" t="s">
        <v>331</v>
      </c>
    </row>
    <row r="600" spans="2:10" ht="15">
      <c r="B600" s="78"/>
      <c r="C600" s="71"/>
      <c r="D600" s="71"/>
      <c r="F600" s="71"/>
      <c r="G600" s="71"/>
      <c r="H600" s="71"/>
      <c r="I600" s="77"/>
      <c r="J600" s="65" t="s">
        <v>331</v>
      </c>
    </row>
    <row r="601" spans="2:10" ht="15">
      <c r="B601" s="78"/>
      <c r="C601" s="71"/>
      <c r="D601" s="71"/>
      <c r="F601" s="71"/>
      <c r="G601" s="71"/>
      <c r="H601" s="71"/>
      <c r="I601" s="77"/>
      <c r="J601" s="65" t="s">
        <v>331</v>
      </c>
    </row>
    <row r="602" spans="2:10" ht="15">
      <c r="B602" s="78"/>
      <c r="C602" s="71"/>
      <c r="D602" s="71"/>
      <c r="F602" s="71"/>
      <c r="G602" s="71"/>
      <c r="H602" s="71"/>
      <c r="I602" s="77"/>
      <c r="J602" s="65" t="s">
        <v>331</v>
      </c>
    </row>
    <row r="603" spans="2:10" ht="15">
      <c r="B603" s="78"/>
      <c r="C603" s="71"/>
      <c r="D603" s="71"/>
      <c r="F603" s="71"/>
      <c r="G603" s="71"/>
      <c r="H603" s="71"/>
      <c r="I603" s="77"/>
      <c r="J603" s="65" t="s">
        <v>331</v>
      </c>
    </row>
    <row r="604" spans="2:10" ht="15">
      <c r="B604" s="78"/>
      <c r="C604" s="71"/>
      <c r="D604" s="71"/>
      <c r="F604" s="71"/>
      <c r="G604" s="71"/>
      <c r="H604" s="71"/>
      <c r="I604" s="77"/>
      <c r="J604" s="65" t="s">
        <v>331</v>
      </c>
    </row>
    <row r="605" spans="2:10" ht="15">
      <c r="B605" s="78"/>
      <c r="C605" s="71"/>
      <c r="D605" s="71"/>
      <c r="F605" s="71"/>
      <c r="G605" s="71"/>
      <c r="H605" s="71"/>
      <c r="I605" s="77"/>
      <c r="J605" s="65" t="s">
        <v>331</v>
      </c>
    </row>
    <row r="606" spans="2:10" ht="15">
      <c r="B606" s="78"/>
      <c r="C606" s="71"/>
      <c r="D606" s="71"/>
      <c r="F606" s="71"/>
      <c r="G606" s="71"/>
      <c r="H606" s="71"/>
      <c r="I606" s="77"/>
      <c r="J606" s="65" t="s">
        <v>331</v>
      </c>
    </row>
    <row r="607" spans="2:10" ht="15">
      <c r="B607" s="78"/>
      <c r="C607" s="71"/>
      <c r="D607" s="71"/>
      <c r="F607" s="71"/>
      <c r="G607" s="71"/>
      <c r="H607" s="71"/>
      <c r="I607" s="77"/>
      <c r="J607" s="65" t="s">
        <v>331</v>
      </c>
    </row>
    <row r="608" spans="2:10" ht="15">
      <c r="B608" s="78"/>
      <c r="C608" s="71"/>
      <c r="D608" s="71"/>
      <c r="F608" s="71"/>
      <c r="G608" s="71"/>
      <c r="H608" s="71"/>
      <c r="I608" s="77"/>
      <c r="J608" s="65" t="s">
        <v>331</v>
      </c>
    </row>
    <row r="609" spans="2:10" ht="15">
      <c r="B609" s="78"/>
      <c r="C609" s="71"/>
      <c r="D609" s="71"/>
      <c r="F609" s="71"/>
      <c r="G609" s="71"/>
      <c r="H609" s="71"/>
      <c r="I609" s="77"/>
      <c r="J609" s="65" t="s">
        <v>331</v>
      </c>
    </row>
    <row r="610" spans="2:10" ht="15">
      <c r="B610" s="78"/>
      <c r="C610" s="71"/>
      <c r="D610" s="71"/>
      <c r="F610" s="71"/>
      <c r="G610" s="71"/>
      <c r="H610" s="71"/>
      <c r="I610" s="77"/>
      <c r="J610" s="65" t="s">
        <v>331</v>
      </c>
    </row>
    <row r="611" spans="2:10" ht="15">
      <c r="B611" s="78"/>
      <c r="C611" s="71"/>
      <c r="D611" s="71"/>
      <c r="F611" s="71"/>
      <c r="G611" s="71"/>
      <c r="H611" s="71"/>
      <c r="I611" s="77"/>
      <c r="J611" s="65" t="s">
        <v>331</v>
      </c>
    </row>
    <row r="612" spans="2:10" ht="15">
      <c r="B612" s="78"/>
      <c r="C612" s="71"/>
      <c r="D612" s="71"/>
      <c r="F612" s="71"/>
      <c r="G612" s="71"/>
      <c r="H612" s="71"/>
      <c r="I612" s="77"/>
      <c r="J612" s="65" t="s">
        <v>331</v>
      </c>
    </row>
    <row r="613" spans="2:10" ht="15">
      <c r="B613" s="78"/>
      <c r="C613" s="71"/>
      <c r="D613" s="71"/>
      <c r="F613" s="71"/>
      <c r="G613" s="71"/>
      <c r="H613" s="71"/>
      <c r="I613" s="77"/>
      <c r="J613" s="65" t="s">
        <v>331</v>
      </c>
    </row>
    <row r="614" spans="2:10" ht="15">
      <c r="B614" s="78"/>
      <c r="C614" s="71"/>
      <c r="D614" s="71"/>
      <c r="F614" s="71"/>
      <c r="G614" s="71"/>
      <c r="H614" s="71"/>
      <c r="I614" s="77"/>
      <c r="J614" s="65" t="s">
        <v>331</v>
      </c>
    </row>
    <row r="615" spans="2:10" ht="15">
      <c r="B615" s="78"/>
      <c r="C615" s="71"/>
      <c r="D615" s="71"/>
      <c r="F615" s="71"/>
      <c r="G615" s="71"/>
      <c r="H615" s="71"/>
      <c r="I615" s="77"/>
      <c r="J615" s="65" t="s">
        <v>331</v>
      </c>
    </row>
    <row r="616" spans="2:10" ht="15">
      <c r="B616" s="78"/>
      <c r="C616" s="71"/>
      <c r="D616" s="71"/>
      <c r="F616" s="71"/>
      <c r="G616" s="71"/>
      <c r="H616" s="71"/>
      <c r="I616" s="77"/>
      <c r="J616" s="65" t="s">
        <v>331</v>
      </c>
    </row>
    <row r="617" spans="2:10" ht="15">
      <c r="B617" s="78"/>
      <c r="C617" s="71"/>
      <c r="D617" s="71"/>
      <c r="F617" s="71"/>
      <c r="G617" s="71"/>
      <c r="H617" s="71"/>
      <c r="I617" s="77"/>
      <c r="J617" s="65" t="s">
        <v>331</v>
      </c>
    </row>
    <row r="618" spans="2:10" ht="15">
      <c r="B618" s="78"/>
      <c r="C618" s="71"/>
      <c r="D618" s="71"/>
      <c r="F618" s="71"/>
      <c r="G618" s="71"/>
      <c r="H618" s="71"/>
      <c r="I618" s="77"/>
      <c r="J618" s="65" t="s">
        <v>331</v>
      </c>
    </row>
    <row r="619" spans="2:10" ht="15">
      <c r="B619" s="78"/>
      <c r="C619" s="71"/>
      <c r="D619" s="71"/>
      <c r="F619" s="71"/>
      <c r="G619" s="71"/>
      <c r="H619" s="71"/>
      <c r="I619" s="77"/>
      <c r="J619" s="65" t="s">
        <v>331</v>
      </c>
    </row>
    <row r="620" spans="2:10" ht="15">
      <c r="B620" s="78"/>
      <c r="C620" s="71"/>
      <c r="D620" s="71"/>
      <c r="F620" s="71"/>
      <c r="G620" s="71"/>
      <c r="H620" s="71"/>
      <c r="I620" s="77"/>
      <c r="J620" s="65" t="s">
        <v>331</v>
      </c>
    </row>
    <row r="621" spans="2:10" ht="15">
      <c r="B621" s="78"/>
      <c r="C621" s="71"/>
      <c r="D621" s="71"/>
      <c r="F621" s="71"/>
      <c r="G621" s="71"/>
      <c r="H621" s="71"/>
      <c r="I621" s="77"/>
      <c r="J621" s="65" t="s">
        <v>331</v>
      </c>
    </row>
    <row r="622" spans="2:10" ht="15">
      <c r="B622" s="78"/>
      <c r="C622" s="71"/>
      <c r="D622" s="71"/>
      <c r="F622" s="71"/>
      <c r="G622" s="71"/>
      <c r="H622" s="71"/>
      <c r="I622" s="77"/>
      <c r="J622" s="65" t="s">
        <v>331</v>
      </c>
    </row>
    <row r="623" spans="2:10" ht="15">
      <c r="B623" s="78"/>
      <c r="C623" s="71"/>
      <c r="D623" s="71"/>
      <c r="F623" s="71"/>
      <c r="G623" s="71"/>
      <c r="H623" s="71"/>
      <c r="I623" s="77"/>
      <c r="J623" s="65" t="s">
        <v>331</v>
      </c>
    </row>
    <row r="624" spans="2:10" ht="15">
      <c r="B624" s="78"/>
      <c r="C624" s="71"/>
      <c r="D624" s="71"/>
      <c r="F624" s="71"/>
      <c r="G624" s="71"/>
      <c r="H624" s="71"/>
      <c r="I624" s="77"/>
      <c r="J624" s="65" t="s">
        <v>331</v>
      </c>
    </row>
    <row r="625" spans="2:10" ht="15">
      <c r="B625" s="78"/>
      <c r="C625" s="71"/>
      <c r="D625" s="71"/>
      <c r="F625" s="71"/>
      <c r="G625" s="71"/>
      <c r="H625" s="71"/>
      <c r="I625" s="77"/>
      <c r="J625" s="65" t="s">
        <v>331</v>
      </c>
    </row>
    <row r="626" spans="2:10" ht="15">
      <c r="B626" s="78"/>
      <c r="C626" s="71"/>
      <c r="D626" s="71"/>
      <c r="F626" s="71"/>
      <c r="G626" s="71"/>
      <c r="H626" s="71"/>
      <c r="I626" s="77"/>
      <c r="J626" s="65" t="s">
        <v>331</v>
      </c>
    </row>
    <row r="627" spans="2:10" ht="15">
      <c r="B627" s="78"/>
      <c r="C627" s="71"/>
      <c r="D627" s="71"/>
      <c r="F627" s="71"/>
      <c r="G627" s="71"/>
      <c r="H627" s="71"/>
      <c r="I627" s="77"/>
      <c r="J627" s="65" t="s">
        <v>331</v>
      </c>
    </row>
    <row r="628" spans="2:10" ht="15">
      <c r="B628" s="78"/>
      <c r="C628" s="71"/>
      <c r="D628" s="71"/>
      <c r="F628" s="71"/>
      <c r="G628" s="71"/>
      <c r="H628" s="71"/>
      <c r="I628" s="77"/>
      <c r="J628" s="65" t="s">
        <v>331</v>
      </c>
    </row>
    <row r="629" spans="2:10" ht="15">
      <c r="B629" s="78"/>
      <c r="C629" s="71"/>
      <c r="D629" s="71"/>
      <c r="F629" s="71"/>
      <c r="G629" s="71"/>
      <c r="H629" s="71"/>
      <c r="I629" s="77"/>
      <c r="J629" s="65" t="s">
        <v>331</v>
      </c>
    </row>
    <row r="630" spans="2:10" ht="15">
      <c r="B630" s="78"/>
      <c r="C630" s="71"/>
      <c r="D630" s="71"/>
      <c r="F630" s="71"/>
      <c r="G630" s="71"/>
      <c r="H630" s="71"/>
      <c r="I630" s="77"/>
      <c r="J630" s="65" t="s">
        <v>331</v>
      </c>
    </row>
    <row r="631" spans="2:10" ht="15">
      <c r="B631" s="78"/>
      <c r="C631" s="71"/>
      <c r="D631" s="71"/>
      <c r="F631" s="71"/>
      <c r="G631" s="71"/>
      <c r="H631" s="71"/>
      <c r="I631" s="77"/>
      <c r="J631" s="65" t="s">
        <v>331</v>
      </c>
    </row>
    <row r="632" spans="2:10" ht="15">
      <c r="B632" s="78"/>
      <c r="C632" s="71"/>
      <c r="D632" s="71"/>
      <c r="F632" s="71"/>
      <c r="G632" s="71"/>
      <c r="H632" s="71"/>
      <c r="I632" s="77"/>
      <c r="J632" s="65" t="s">
        <v>331</v>
      </c>
    </row>
    <row r="633" spans="2:10" ht="15">
      <c r="B633" s="78"/>
      <c r="C633" s="71"/>
      <c r="D633" s="71"/>
      <c r="F633" s="71"/>
      <c r="G633" s="71"/>
      <c r="H633" s="71"/>
      <c r="I633" s="77"/>
      <c r="J633" s="65" t="s">
        <v>331</v>
      </c>
    </row>
    <row r="634" spans="2:10" ht="15">
      <c r="B634" s="78"/>
      <c r="C634" s="71"/>
      <c r="D634" s="71"/>
      <c r="F634" s="71"/>
      <c r="G634" s="71"/>
      <c r="H634" s="71"/>
      <c r="I634" s="77"/>
      <c r="J634" s="65" t="s">
        <v>331</v>
      </c>
    </row>
    <row r="635" spans="2:10" ht="15">
      <c r="B635" s="78"/>
      <c r="C635" s="71"/>
      <c r="D635" s="71"/>
      <c r="F635" s="71"/>
      <c r="G635" s="71"/>
      <c r="H635" s="71"/>
      <c r="I635" s="77"/>
      <c r="J635" s="65" t="s">
        <v>331</v>
      </c>
    </row>
    <row r="636" spans="2:10" ht="15">
      <c r="B636" s="78"/>
      <c r="C636" s="71"/>
      <c r="D636" s="71"/>
      <c r="F636" s="71"/>
      <c r="G636" s="71"/>
      <c r="H636" s="71"/>
      <c r="I636" s="77"/>
      <c r="J636" s="65" t="s">
        <v>331</v>
      </c>
    </row>
    <row r="637" spans="2:10" ht="15">
      <c r="B637" s="78"/>
      <c r="C637" s="71"/>
      <c r="D637" s="71"/>
      <c r="F637" s="71"/>
      <c r="G637" s="71"/>
      <c r="H637" s="71"/>
      <c r="I637" s="77"/>
      <c r="J637" s="65" t="s">
        <v>331</v>
      </c>
    </row>
    <row r="638" spans="2:10" ht="15">
      <c r="B638" s="78"/>
      <c r="C638" s="71"/>
      <c r="D638" s="71"/>
      <c r="F638" s="71"/>
      <c r="G638" s="71"/>
      <c r="H638" s="71"/>
      <c r="I638" s="77"/>
      <c r="J638" s="65" t="s">
        <v>331</v>
      </c>
    </row>
    <row r="639" spans="2:10" ht="15">
      <c r="B639" s="78"/>
      <c r="C639" s="71"/>
      <c r="D639" s="71"/>
      <c r="F639" s="71"/>
      <c r="G639" s="71"/>
      <c r="H639" s="71"/>
      <c r="I639" s="77"/>
      <c r="J639" s="65" t="s">
        <v>331</v>
      </c>
    </row>
    <row r="640" spans="2:10" ht="15">
      <c r="B640" s="78"/>
      <c r="C640" s="71"/>
      <c r="D640" s="71"/>
      <c r="F640" s="71"/>
      <c r="G640" s="71"/>
      <c r="H640" s="71"/>
      <c r="I640" s="77"/>
      <c r="J640" s="65" t="s">
        <v>331</v>
      </c>
    </row>
    <row r="641" spans="2:10" ht="15">
      <c r="B641" s="78"/>
      <c r="C641" s="71"/>
      <c r="D641" s="71"/>
      <c r="F641" s="71"/>
      <c r="G641" s="71"/>
      <c r="H641" s="71"/>
      <c r="I641" s="77"/>
      <c r="J641" s="65" t="s">
        <v>331</v>
      </c>
    </row>
    <row r="642" spans="2:10" ht="15">
      <c r="B642" s="78"/>
      <c r="C642" s="71"/>
      <c r="D642" s="71"/>
      <c r="F642" s="71"/>
      <c r="G642" s="71"/>
      <c r="H642" s="71"/>
      <c r="I642" s="77"/>
      <c r="J642" s="65" t="s">
        <v>331</v>
      </c>
    </row>
    <row r="643" spans="2:10" ht="15">
      <c r="B643" s="78"/>
      <c r="C643" s="71"/>
      <c r="D643" s="71"/>
      <c r="F643" s="71"/>
      <c r="G643" s="71"/>
      <c r="H643" s="71"/>
      <c r="I643" s="77"/>
      <c r="J643" s="65" t="s">
        <v>331</v>
      </c>
    </row>
    <row r="644" spans="2:10" ht="15">
      <c r="B644" s="78"/>
      <c r="C644" s="71"/>
      <c r="D644" s="71"/>
      <c r="F644" s="71"/>
      <c r="G644" s="71"/>
      <c r="H644" s="71"/>
      <c r="I644" s="77"/>
      <c r="J644" s="65" t="s">
        <v>331</v>
      </c>
    </row>
    <row r="645" spans="2:10" ht="15">
      <c r="B645" s="78"/>
      <c r="C645" s="71"/>
      <c r="D645" s="71"/>
      <c r="F645" s="71"/>
      <c r="G645" s="71"/>
      <c r="H645" s="71"/>
      <c r="I645" s="77"/>
      <c r="J645" s="65" t="s">
        <v>331</v>
      </c>
    </row>
    <row r="646" spans="2:10" ht="15">
      <c r="B646" s="78"/>
      <c r="C646" s="71"/>
      <c r="D646" s="71"/>
      <c r="F646" s="71"/>
      <c r="G646" s="71"/>
      <c r="H646" s="71"/>
      <c r="I646" s="77"/>
      <c r="J646" s="65" t="s">
        <v>331</v>
      </c>
    </row>
    <row r="647" spans="2:10" ht="15">
      <c r="B647" s="78"/>
      <c r="C647" s="71"/>
      <c r="D647" s="71"/>
      <c r="F647" s="71"/>
      <c r="G647" s="71"/>
      <c r="H647" s="71"/>
      <c r="I647" s="77"/>
      <c r="J647" s="65" t="s">
        <v>331</v>
      </c>
    </row>
    <row r="648" spans="2:10" ht="15">
      <c r="B648" s="78"/>
      <c r="C648" s="71"/>
      <c r="D648" s="71"/>
      <c r="F648" s="71"/>
      <c r="G648" s="71"/>
      <c r="H648" s="71"/>
      <c r="I648" s="77"/>
      <c r="J648" s="65" t="s">
        <v>331</v>
      </c>
    </row>
    <row r="649" spans="2:10" ht="15">
      <c r="B649" s="78"/>
      <c r="C649" s="71"/>
      <c r="D649" s="71"/>
      <c r="F649" s="71"/>
      <c r="G649" s="71"/>
      <c r="H649" s="71"/>
      <c r="I649" s="77"/>
      <c r="J649" s="65" t="s">
        <v>331</v>
      </c>
    </row>
    <row r="650" spans="2:10" ht="15">
      <c r="B650" s="78"/>
      <c r="C650" s="71"/>
      <c r="D650" s="71"/>
      <c r="F650" s="71"/>
      <c r="G650" s="71"/>
      <c r="H650" s="71"/>
      <c r="I650" s="77"/>
      <c r="J650" s="65" t="s">
        <v>331</v>
      </c>
    </row>
    <row r="651" spans="2:10" ht="15">
      <c r="B651" s="78"/>
      <c r="C651" s="71"/>
      <c r="D651" s="71"/>
      <c r="F651" s="71"/>
      <c r="G651" s="71"/>
      <c r="H651" s="71"/>
      <c r="I651" s="77"/>
      <c r="J651" s="65" t="s">
        <v>331</v>
      </c>
    </row>
    <row r="652" spans="2:10" ht="15">
      <c r="B652" s="78"/>
      <c r="C652" s="71"/>
      <c r="D652" s="71"/>
      <c r="F652" s="71"/>
      <c r="G652" s="71"/>
      <c r="H652" s="71"/>
      <c r="I652" s="77"/>
      <c r="J652" s="65" t="s">
        <v>331</v>
      </c>
    </row>
    <row r="653" spans="2:10" ht="15">
      <c r="B653" s="78"/>
      <c r="C653" s="71"/>
      <c r="D653" s="71"/>
      <c r="F653" s="71"/>
      <c r="G653" s="71"/>
      <c r="H653" s="71"/>
      <c r="I653" s="77"/>
      <c r="J653" s="65" t="s">
        <v>331</v>
      </c>
    </row>
    <row r="654" spans="2:10" ht="15">
      <c r="B654" s="78"/>
      <c r="C654" s="71"/>
      <c r="D654" s="71"/>
      <c r="F654" s="71"/>
      <c r="G654" s="71"/>
      <c r="H654" s="71"/>
      <c r="I654" s="77"/>
      <c r="J654" s="65" t="s">
        <v>331</v>
      </c>
    </row>
    <row r="655" spans="2:10" ht="15">
      <c r="B655" s="78"/>
      <c r="C655" s="71"/>
      <c r="D655" s="71"/>
      <c r="F655" s="71"/>
      <c r="G655" s="71"/>
      <c r="H655" s="71"/>
      <c r="I655" s="77"/>
      <c r="J655" s="65" t="s">
        <v>331</v>
      </c>
    </row>
    <row r="656" spans="2:10" ht="15">
      <c r="B656" s="78"/>
      <c r="C656" s="71"/>
      <c r="D656" s="71"/>
      <c r="F656" s="71"/>
      <c r="G656" s="71"/>
      <c r="H656" s="71"/>
      <c r="I656" s="77"/>
      <c r="J656" s="65" t="s">
        <v>331</v>
      </c>
    </row>
    <row r="657" spans="2:10" ht="15">
      <c r="B657" s="78"/>
      <c r="C657" s="71"/>
      <c r="D657" s="71"/>
      <c r="F657" s="71"/>
      <c r="G657" s="71"/>
      <c r="H657" s="71"/>
      <c r="I657" s="77"/>
      <c r="J657" s="65" t="s">
        <v>331</v>
      </c>
    </row>
    <row r="658" spans="2:10" ht="15">
      <c r="B658" s="78"/>
      <c r="C658" s="71"/>
      <c r="D658" s="71"/>
      <c r="F658" s="71"/>
      <c r="G658" s="71"/>
      <c r="H658" s="71"/>
      <c r="I658" s="77"/>
      <c r="J658" s="65" t="s">
        <v>331</v>
      </c>
    </row>
    <row r="659" spans="2:10" ht="15">
      <c r="B659" s="78"/>
      <c r="C659" s="71"/>
      <c r="D659" s="71"/>
      <c r="F659" s="71"/>
      <c r="G659" s="71"/>
      <c r="H659" s="71"/>
      <c r="I659" s="77"/>
      <c r="J659" s="65" t="s">
        <v>331</v>
      </c>
    </row>
    <row r="660" spans="2:10" ht="15">
      <c r="B660" s="78"/>
      <c r="C660" s="71"/>
      <c r="D660" s="71"/>
      <c r="F660" s="71"/>
      <c r="G660" s="71"/>
      <c r="H660" s="71"/>
      <c r="I660" s="77"/>
      <c r="J660" s="65" t="s">
        <v>331</v>
      </c>
    </row>
    <row r="661" spans="2:10" ht="15">
      <c r="B661" s="78"/>
      <c r="C661" s="71"/>
      <c r="D661" s="71"/>
      <c r="F661" s="71"/>
      <c r="G661" s="71"/>
      <c r="H661" s="71"/>
      <c r="I661" s="77"/>
      <c r="J661" s="65" t="s">
        <v>331</v>
      </c>
    </row>
    <row r="662" spans="2:10" ht="15">
      <c r="B662" s="78"/>
      <c r="C662" s="71"/>
      <c r="D662" s="71"/>
      <c r="F662" s="71"/>
      <c r="G662" s="71"/>
      <c r="H662" s="71"/>
      <c r="I662" s="77"/>
      <c r="J662" s="65" t="s">
        <v>331</v>
      </c>
    </row>
    <row r="663" spans="2:10" ht="15">
      <c r="B663" s="78"/>
      <c r="C663" s="71"/>
      <c r="D663" s="71"/>
      <c r="F663" s="71"/>
      <c r="G663" s="71"/>
      <c r="H663" s="71"/>
      <c r="I663" s="77"/>
      <c r="J663" s="65" t="s">
        <v>331</v>
      </c>
    </row>
    <row r="664" spans="2:10" ht="15">
      <c r="B664" s="78"/>
      <c r="C664" s="71"/>
      <c r="D664" s="71"/>
      <c r="F664" s="71"/>
      <c r="G664" s="71"/>
      <c r="H664" s="71"/>
      <c r="I664" s="77"/>
      <c r="J664" s="65" t="s">
        <v>331</v>
      </c>
    </row>
    <row r="665" spans="2:10" ht="15">
      <c r="B665" s="78"/>
      <c r="C665" s="71"/>
      <c r="D665" s="71"/>
      <c r="F665" s="71"/>
      <c r="G665" s="71"/>
      <c r="H665" s="71"/>
      <c r="I665" s="77"/>
      <c r="J665" s="65" t="s">
        <v>331</v>
      </c>
    </row>
    <row r="666" spans="2:10" ht="15">
      <c r="B666" s="78"/>
      <c r="C666" s="71"/>
      <c r="D666" s="71"/>
      <c r="F666" s="71"/>
      <c r="G666" s="71"/>
      <c r="H666" s="71"/>
      <c r="I666" s="77"/>
      <c r="J666" s="65" t="s">
        <v>331</v>
      </c>
    </row>
    <row r="667" spans="2:10" ht="15">
      <c r="B667" s="78"/>
      <c r="C667" s="71"/>
      <c r="D667" s="71"/>
      <c r="F667" s="71"/>
      <c r="G667" s="71"/>
      <c r="H667" s="71"/>
      <c r="I667" s="77"/>
      <c r="J667" s="65" t="s">
        <v>331</v>
      </c>
    </row>
    <row r="668" spans="2:10" ht="15">
      <c r="B668" s="78"/>
      <c r="C668" s="71"/>
      <c r="D668" s="71"/>
      <c r="F668" s="71"/>
      <c r="G668" s="71"/>
      <c r="H668" s="71"/>
      <c r="I668" s="77"/>
      <c r="J668" s="65" t="s">
        <v>331</v>
      </c>
    </row>
    <row r="669" spans="2:10" ht="15">
      <c r="B669" s="78"/>
      <c r="C669" s="71"/>
      <c r="D669" s="71"/>
      <c r="F669" s="71"/>
      <c r="G669" s="71"/>
      <c r="H669" s="71"/>
      <c r="I669" s="77"/>
      <c r="J669" s="65" t="s">
        <v>331</v>
      </c>
    </row>
    <row r="670" spans="2:10" ht="15">
      <c r="B670" s="78"/>
      <c r="C670" s="71"/>
      <c r="D670" s="71"/>
      <c r="F670" s="71"/>
      <c r="G670" s="71"/>
      <c r="H670" s="71"/>
      <c r="I670" s="77"/>
      <c r="J670" s="65" t="s">
        <v>331</v>
      </c>
    </row>
    <row r="671" spans="2:10" ht="15">
      <c r="B671" s="78"/>
      <c r="C671" s="71"/>
      <c r="D671" s="71"/>
      <c r="F671" s="71"/>
      <c r="G671" s="71"/>
      <c r="H671" s="71"/>
      <c r="I671" s="77"/>
      <c r="J671" s="65" t="s">
        <v>331</v>
      </c>
    </row>
    <row r="672" spans="2:10" ht="15">
      <c r="B672" s="78"/>
      <c r="C672" s="71"/>
      <c r="D672" s="71"/>
      <c r="F672" s="71"/>
      <c r="G672" s="71"/>
      <c r="H672" s="71"/>
      <c r="I672" s="77"/>
      <c r="J672" s="65" t="s">
        <v>331</v>
      </c>
    </row>
    <row r="673" spans="2:10" ht="15">
      <c r="B673" s="78"/>
      <c r="C673" s="71"/>
      <c r="D673" s="71"/>
      <c r="F673" s="71"/>
      <c r="G673" s="71"/>
      <c r="H673" s="71"/>
      <c r="I673" s="77"/>
      <c r="J673" s="65" t="s">
        <v>331</v>
      </c>
    </row>
    <row r="674" spans="2:10" ht="15">
      <c r="B674" s="78"/>
      <c r="C674" s="71"/>
      <c r="D674" s="71"/>
      <c r="F674" s="71"/>
      <c r="G674" s="71"/>
      <c r="H674" s="71"/>
      <c r="I674" s="77"/>
      <c r="J674" s="65" t="s">
        <v>331</v>
      </c>
    </row>
    <row r="675" spans="2:10" ht="15">
      <c r="B675" s="78"/>
      <c r="C675" s="71"/>
      <c r="D675" s="71"/>
      <c r="F675" s="71"/>
      <c r="G675" s="71"/>
      <c r="H675" s="71"/>
      <c r="I675" s="77"/>
      <c r="J675" s="65" t="s">
        <v>331</v>
      </c>
    </row>
    <row r="676" spans="2:10" ht="15">
      <c r="B676" s="78"/>
      <c r="C676" s="71"/>
      <c r="D676" s="71"/>
      <c r="F676" s="71"/>
      <c r="G676" s="71"/>
      <c r="H676" s="71"/>
      <c r="I676" s="77"/>
      <c r="J676" s="65" t="s">
        <v>331</v>
      </c>
    </row>
    <row r="677" spans="2:10" ht="15">
      <c r="B677" s="78"/>
      <c r="C677" s="71"/>
      <c r="D677" s="71"/>
      <c r="F677" s="71"/>
      <c r="G677" s="71"/>
      <c r="H677" s="71"/>
      <c r="I677" s="77"/>
      <c r="J677" s="65" t="s">
        <v>331</v>
      </c>
    </row>
    <row r="678" spans="2:10" ht="15">
      <c r="B678" s="78"/>
      <c r="C678" s="71"/>
      <c r="D678" s="71"/>
      <c r="F678" s="71"/>
      <c r="G678" s="71"/>
      <c r="H678" s="71"/>
      <c r="I678" s="77"/>
      <c r="J678" s="65" t="s">
        <v>331</v>
      </c>
    </row>
    <row r="679" spans="2:10" ht="15">
      <c r="B679" s="78"/>
      <c r="C679" s="71"/>
      <c r="D679" s="71"/>
      <c r="F679" s="71"/>
      <c r="G679" s="71"/>
      <c r="H679" s="71"/>
      <c r="I679" s="77"/>
      <c r="J679" s="65" t="s">
        <v>331</v>
      </c>
    </row>
    <row r="680" spans="2:10" ht="15">
      <c r="B680" s="78"/>
      <c r="C680" s="71"/>
      <c r="D680" s="71"/>
      <c r="F680" s="71"/>
      <c r="G680" s="71"/>
      <c r="H680" s="71"/>
      <c r="I680" s="77"/>
      <c r="J680" s="65" t="s">
        <v>331</v>
      </c>
    </row>
    <row r="681" spans="2:10" ht="15">
      <c r="B681" s="78"/>
      <c r="C681" s="71"/>
      <c r="D681" s="71"/>
      <c r="F681" s="71"/>
      <c r="G681" s="71"/>
      <c r="H681" s="71"/>
      <c r="I681" s="77"/>
      <c r="J681" s="65" t="s">
        <v>331</v>
      </c>
    </row>
    <row r="682" spans="2:10" ht="15">
      <c r="B682" s="78"/>
      <c r="C682" s="71"/>
      <c r="D682" s="71"/>
      <c r="F682" s="71"/>
      <c r="G682" s="71"/>
      <c r="H682" s="71"/>
      <c r="I682" s="77"/>
      <c r="J682" s="65" t="s">
        <v>331</v>
      </c>
    </row>
    <row r="683" spans="2:10" ht="15">
      <c r="B683" s="78"/>
      <c r="C683" s="71"/>
      <c r="D683" s="71"/>
      <c r="F683" s="71"/>
      <c r="G683" s="71"/>
      <c r="H683" s="71"/>
      <c r="I683" s="77"/>
      <c r="J683" s="65" t="s">
        <v>331</v>
      </c>
    </row>
    <row r="684" spans="2:10" ht="15">
      <c r="B684" s="78"/>
      <c r="C684" s="71"/>
      <c r="D684" s="71"/>
      <c r="F684" s="71"/>
      <c r="G684" s="71"/>
      <c r="H684" s="71"/>
      <c r="I684" s="77"/>
      <c r="J684" s="65" t="s">
        <v>331</v>
      </c>
    </row>
    <row r="685" spans="2:10" ht="15">
      <c r="B685" s="78"/>
      <c r="C685" s="71"/>
      <c r="D685" s="71"/>
      <c r="F685" s="71"/>
      <c r="G685" s="71"/>
      <c r="H685" s="71"/>
      <c r="I685" s="77"/>
      <c r="J685" s="65" t="s">
        <v>331</v>
      </c>
    </row>
    <row r="686" spans="2:10" ht="15">
      <c r="B686" s="78"/>
      <c r="C686" s="71"/>
      <c r="D686" s="71"/>
      <c r="F686" s="71"/>
      <c r="G686" s="71"/>
      <c r="H686" s="71"/>
      <c r="I686" s="77"/>
      <c r="J686" s="65" t="s">
        <v>331</v>
      </c>
    </row>
    <row r="687" spans="2:10" ht="15">
      <c r="B687" s="78"/>
      <c r="C687" s="71"/>
      <c r="D687" s="71"/>
      <c r="F687" s="71"/>
      <c r="G687" s="71"/>
      <c r="H687" s="71"/>
      <c r="I687" s="77"/>
      <c r="J687" s="65" t="s">
        <v>331</v>
      </c>
    </row>
    <row r="688" spans="2:10" ht="15">
      <c r="B688" s="78"/>
      <c r="C688" s="71"/>
      <c r="D688" s="71"/>
      <c r="F688" s="71"/>
      <c r="G688" s="71"/>
      <c r="H688" s="71"/>
      <c r="I688" s="77"/>
      <c r="J688" s="65" t="s">
        <v>331</v>
      </c>
    </row>
    <row r="689" spans="2:10" ht="15">
      <c r="B689" s="78"/>
      <c r="C689" s="71"/>
      <c r="D689" s="71"/>
      <c r="F689" s="71"/>
      <c r="G689" s="71"/>
      <c r="H689" s="71"/>
      <c r="I689" s="77"/>
      <c r="J689" s="65" t="s">
        <v>331</v>
      </c>
    </row>
    <row r="690" spans="2:10" ht="15">
      <c r="B690" s="78"/>
      <c r="C690" s="71"/>
      <c r="D690" s="71"/>
      <c r="F690" s="71"/>
      <c r="G690" s="71"/>
      <c r="H690" s="71"/>
      <c r="I690" s="77"/>
      <c r="J690" s="65" t="s">
        <v>331</v>
      </c>
    </row>
    <row r="691" spans="2:10" ht="15">
      <c r="B691" s="78"/>
      <c r="C691" s="71"/>
      <c r="D691" s="71"/>
      <c r="F691" s="71"/>
      <c r="G691" s="71"/>
      <c r="H691" s="71"/>
      <c r="I691" s="77"/>
      <c r="J691" s="65" t="s">
        <v>331</v>
      </c>
    </row>
    <row r="692" spans="2:10" ht="15">
      <c r="B692" s="78"/>
      <c r="C692" s="71"/>
      <c r="D692" s="71"/>
      <c r="F692" s="71"/>
      <c r="G692" s="71"/>
      <c r="H692" s="71"/>
      <c r="I692" s="77"/>
      <c r="J692" s="65" t="s">
        <v>331</v>
      </c>
    </row>
    <row r="693" spans="2:10" ht="15">
      <c r="B693" s="78"/>
      <c r="C693" s="71"/>
      <c r="D693" s="71"/>
      <c r="F693" s="71"/>
      <c r="G693" s="71"/>
      <c r="H693" s="71"/>
      <c r="I693" s="77"/>
      <c r="J693" s="65" t="s">
        <v>331</v>
      </c>
    </row>
    <row r="694" spans="2:10" ht="15">
      <c r="B694" s="78"/>
      <c r="C694" s="71"/>
      <c r="D694" s="71"/>
      <c r="F694" s="71"/>
      <c r="G694" s="71"/>
      <c r="H694" s="71"/>
      <c r="I694" s="77"/>
      <c r="J694" s="65" t="s">
        <v>331</v>
      </c>
    </row>
    <row r="695" spans="2:10" ht="15">
      <c r="B695" s="78"/>
      <c r="C695" s="71"/>
      <c r="D695" s="71"/>
      <c r="F695" s="71"/>
      <c r="G695" s="71"/>
      <c r="H695" s="71"/>
      <c r="I695" s="77"/>
      <c r="J695" s="65" t="s">
        <v>331</v>
      </c>
    </row>
    <row r="696" spans="2:10" ht="15">
      <c r="B696" s="78"/>
      <c r="C696" s="71"/>
      <c r="D696" s="71"/>
      <c r="F696" s="71"/>
      <c r="G696" s="71"/>
      <c r="H696" s="71"/>
      <c r="I696" s="77"/>
      <c r="J696" s="65" t="s">
        <v>331</v>
      </c>
    </row>
    <row r="697" spans="2:10" ht="15">
      <c r="B697" s="78"/>
      <c r="C697" s="71"/>
      <c r="D697" s="71"/>
      <c r="F697" s="71"/>
      <c r="G697" s="71"/>
      <c r="H697" s="71"/>
      <c r="I697" s="77"/>
      <c r="J697" s="65" t="s">
        <v>331</v>
      </c>
    </row>
    <row r="698" spans="2:10" ht="15">
      <c r="B698" s="78"/>
      <c r="C698" s="71"/>
      <c r="D698" s="71"/>
      <c r="F698" s="71"/>
      <c r="G698" s="71"/>
      <c r="H698" s="71"/>
      <c r="I698" s="77"/>
      <c r="J698" s="65" t="s">
        <v>331</v>
      </c>
    </row>
    <row r="699" spans="2:10" ht="15">
      <c r="B699" s="78"/>
      <c r="C699" s="71"/>
      <c r="D699" s="71"/>
      <c r="F699" s="71"/>
      <c r="G699" s="71"/>
      <c r="H699" s="71"/>
      <c r="I699" s="77"/>
      <c r="J699" s="65" t="s">
        <v>331</v>
      </c>
    </row>
    <row r="700" spans="2:10" ht="15">
      <c r="B700" s="78"/>
      <c r="C700" s="71"/>
      <c r="D700" s="71"/>
      <c r="F700" s="71"/>
      <c r="G700" s="71"/>
      <c r="H700" s="71"/>
      <c r="I700" s="77"/>
      <c r="J700" s="65" t="s">
        <v>331</v>
      </c>
    </row>
    <row r="701" spans="2:10" ht="15">
      <c r="B701" s="78"/>
      <c r="C701" s="71"/>
      <c r="D701" s="71"/>
      <c r="F701" s="71"/>
      <c r="G701" s="71"/>
      <c r="H701" s="71"/>
      <c r="I701" s="77"/>
      <c r="J701" s="65" t="s">
        <v>331</v>
      </c>
    </row>
    <row r="702" spans="2:10" ht="15">
      <c r="B702" s="78"/>
      <c r="C702" s="71"/>
      <c r="D702" s="71"/>
      <c r="F702" s="71"/>
      <c r="G702" s="71"/>
      <c r="H702" s="71"/>
      <c r="I702" s="77"/>
      <c r="J702" s="65" t="s">
        <v>331</v>
      </c>
    </row>
    <row r="703" spans="2:10" ht="15">
      <c r="B703" s="78"/>
      <c r="C703" s="71"/>
      <c r="D703" s="71"/>
      <c r="F703" s="71"/>
      <c r="G703" s="71"/>
      <c r="H703" s="71"/>
      <c r="I703" s="77"/>
      <c r="J703" s="65" t="s">
        <v>331</v>
      </c>
    </row>
    <row r="704" spans="2:10" ht="15">
      <c r="B704" s="78"/>
      <c r="C704" s="71"/>
      <c r="D704" s="71"/>
      <c r="F704" s="71"/>
      <c r="G704" s="71"/>
      <c r="H704" s="71"/>
      <c r="I704" s="77"/>
      <c r="J704" s="65" t="s">
        <v>331</v>
      </c>
    </row>
    <row r="705" spans="2:10" ht="15">
      <c r="B705" s="78"/>
      <c r="C705" s="71"/>
      <c r="D705" s="71"/>
      <c r="F705" s="71"/>
      <c r="G705" s="71"/>
      <c r="H705" s="71"/>
      <c r="I705" s="77"/>
      <c r="J705" s="65" t="s">
        <v>331</v>
      </c>
    </row>
    <row r="706" spans="2:10" ht="15">
      <c r="B706" s="78"/>
      <c r="C706" s="71"/>
      <c r="D706" s="71"/>
      <c r="F706" s="71"/>
      <c r="G706" s="71"/>
      <c r="H706" s="71"/>
      <c r="I706" s="77"/>
      <c r="J706" s="65" t="s">
        <v>331</v>
      </c>
    </row>
    <row r="707" spans="2:10" ht="15">
      <c r="B707" s="78"/>
      <c r="C707" s="71"/>
      <c r="D707" s="71"/>
      <c r="F707" s="71"/>
      <c r="G707" s="71"/>
      <c r="H707" s="71"/>
      <c r="I707" s="77"/>
      <c r="J707" s="65" t="s">
        <v>331</v>
      </c>
    </row>
    <row r="708" spans="2:10" ht="15">
      <c r="B708" s="78"/>
      <c r="C708" s="71"/>
      <c r="D708" s="71"/>
      <c r="F708" s="71"/>
      <c r="G708" s="71"/>
      <c r="H708" s="71"/>
      <c r="I708" s="77"/>
      <c r="J708" s="65" t="s">
        <v>331</v>
      </c>
    </row>
    <row r="709" spans="2:10" ht="15">
      <c r="B709" s="78"/>
      <c r="C709" s="71"/>
      <c r="D709" s="71"/>
      <c r="F709" s="71"/>
      <c r="G709" s="71"/>
      <c r="H709" s="71"/>
      <c r="I709" s="77"/>
      <c r="J709" s="65" t="s">
        <v>331</v>
      </c>
    </row>
    <row r="710" spans="2:10" ht="15">
      <c r="B710" s="78"/>
      <c r="C710" s="71"/>
      <c r="D710" s="71"/>
      <c r="F710" s="71"/>
      <c r="G710" s="71"/>
      <c r="H710" s="71"/>
      <c r="I710" s="77"/>
      <c r="J710" s="65" t="s">
        <v>331</v>
      </c>
    </row>
    <row r="711" spans="2:10" ht="15">
      <c r="B711" s="78"/>
      <c r="C711" s="71"/>
      <c r="D711" s="71"/>
      <c r="F711" s="71"/>
      <c r="G711" s="71"/>
      <c r="H711" s="71"/>
      <c r="I711" s="77"/>
      <c r="J711" s="65" t="s">
        <v>331</v>
      </c>
    </row>
    <row r="712" spans="2:10" ht="15">
      <c r="B712" s="78"/>
      <c r="C712" s="71"/>
      <c r="D712" s="71"/>
      <c r="F712" s="71"/>
      <c r="G712" s="71"/>
      <c r="H712" s="71"/>
      <c r="I712" s="77"/>
      <c r="J712" s="65" t="s">
        <v>331</v>
      </c>
    </row>
    <row r="713" spans="2:10" ht="15">
      <c r="B713" s="78"/>
      <c r="C713" s="71"/>
      <c r="D713" s="71"/>
      <c r="F713" s="71"/>
      <c r="G713" s="71"/>
      <c r="H713" s="71"/>
      <c r="I713" s="77"/>
      <c r="J713" s="65" t="s">
        <v>331</v>
      </c>
    </row>
    <row r="714" spans="2:10" ht="15">
      <c r="B714" s="78"/>
      <c r="C714" s="71"/>
      <c r="D714" s="71"/>
      <c r="F714" s="71"/>
      <c r="G714" s="71"/>
      <c r="H714" s="71"/>
      <c r="I714" s="77"/>
      <c r="J714" s="65" t="s">
        <v>331</v>
      </c>
    </row>
    <row r="715" spans="2:10" ht="15">
      <c r="B715" s="78"/>
      <c r="C715" s="71"/>
      <c r="D715" s="71"/>
      <c r="F715" s="71"/>
      <c r="G715" s="71"/>
      <c r="H715" s="71"/>
      <c r="I715" s="77"/>
      <c r="J715" s="65" t="s">
        <v>331</v>
      </c>
    </row>
    <row r="716" spans="2:10" ht="15">
      <c r="B716" s="78"/>
      <c r="C716" s="71"/>
      <c r="D716" s="71"/>
      <c r="F716" s="71"/>
      <c r="G716" s="71"/>
      <c r="H716" s="71"/>
      <c r="I716" s="77"/>
      <c r="J716" s="65" t="s">
        <v>331</v>
      </c>
    </row>
    <row r="717" spans="2:10" ht="15">
      <c r="B717" s="78"/>
      <c r="C717" s="71"/>
      <c r="D717" s="71"/>
      <c r="F717" s="71"/>
      <c r="G717" s="71"/>
      <c r="H717" s="71"/>
      <c r="I717" s="77"/>
      <c r="J717" s="65" t="s">
        <v>331</v>
      </c>
    </row>
    <row r="718" spans="2:10" ht="15">
      <c r="B718" s="78"/>
      <c r="C718" s="71"/>
      <c r="D718" s="71"/>
      <c r="F718" s="71"/>
      <c r="G718" s="71"/>
      <c r="H718" s="71"/>
      <c r="I718" s="77"/>
      <c r="J718" s="65" t="s">
        <v>331</v>
      </c>
    </row>
    <row r="719" spans="2:10" ht="15">
      <c r="B719" s="78"/>
      <c r="C719" s="71"/>
      <c r="D719" s="71"/>
      <c r="F719" s="71"/>
      <c r="G719" s="71"/>
      <c r="H719" s="71"/>
      <c r="I719" s="77"/>
      <c r="J719" s="65" t="s">
        <v>331</v>
      </c>
    </row>
    <row r="720" spans="2:10" ht="15">
      <c r="B720" s="78"/>
      <c r="C720" s="71"/>
      <c r="D720" s="71"/>
      <c r="F720" s="71"/>
      <c r="G720" s="71"/>
      <c r="H720" s="71"/>
      <c r="I720" s="77"/>
      <c r="J720" s="65" t="s">
        <v>331</v>
      </c>
    </row>
    <row r="721" spans="2:10" ht="15">
      <c r="B721" s="78"/>
      <c r="C721" s="71"/>
      <c r="D721" s="71"/>
      <c r="F721" s="71"/>
      <c r="G721" s="71"/>
      <c r="H721" s="71"/>
      <c r="I721" s="77"/>
      <c r="J721" s="65" t="s">
        <v>331</v>
      </c>
    </row>
    <row r="722" spans="2:10" ht="15">
      <c r="B722" s="78"/>
      <c r="C722" s="71"/>
      <c r="D722" s="71"/>
      <c r="F722" s="71"/>
      <c r="G722" s="71"/>
      <c r="H722" s="71"/>
      <c r="I722" s="77"/>
      <c r="J722" s="65" t="s">
        <v>331</v>
      </c>
    </row>
    <row r="723" spans="2:10" ht="15">
      <c r="B723" s="78"/>
      <c r="C723" s="71"/>
      <c r="D723" s="71"/>
      <c r="F723" s="71"/>
      <c r="G723" s="71"/>
      <c r="H723" s="71"/>
      <c r="I723" s="77"/>
      <c r="J723" s="65" t="s">
        <v>331</v>
      </c>
    </row>
    <row r="724" spans="2:10" ht="15">
      <c r="B724" s="78"/>
      <c r="C724" s="71"/>
      <c r="D724" s="71"/>
      <c r="F724" s="71"/>
      <c r="G724" s="71"/>
      <c r="H724" s="71"/>
      <c r="I724" s="77"/>
      <c r="J724" s="65" t="s">
        <v>331</v>
      </c>
    </row>
    <row r="725" spans="2:10" ht="15">
      <c r="B725" s="78"/>
      <c r="C725" s="71"/>
      <c r="D725" s="71"/>
      <c r="F725" s="71"/>
      <c r="G725" s="71"/>
      <c r="H725" s="71"/>
      <c r="I725" s="77"/>
      <c r="J725" s="65" t="s">
        <v>331</v>
      </c>
    </row>
    <row r="726" spans="2:10" ht="15">
      <c r="B726" s="78"/>
      <c r="C726" s="71"/>
      <c r="D726" s="71"/>
      <c r="F726" s="71"/>
      <c r="G726" s="71"/>
      <c r="H726" s="71"/>
      <c r="I726" s="77"/>
      <c r="J726" s="65" t="s">
        <v>331</v>
      </c>
    </row>
    <row r="727" spans="2:10" ht="15">
      <c r="B727" s="78"/>
      <c r="C727" s="71"/>
      <c r="D727" s="71"/>
      <c r="F727" s="71"/>
      <c r="G727" s="71"/>
      <c r="H727" s="71"/>
      <c r="I727" s="77"/>
      <c r="J727" s="65" t="s">
        <v>331</v>
      </c>
    </row>
    <row r="728" spans="2:10" ht="15">
      <c r="B728" s="78"/>
      <c r="C728" s="71"/>
      <c r="D728" s="71"/>
      <c r="F728" s="71"/>
      <c r="G728" s="71"/>
      <c r="H728" s="71"/>
      <c r="I728" s="77"/>
      <c r="J728" s="65" t="s">
        <v>331</v>
      </c>
    </row>
    <row r="729" spans="2:10" ht="15">
      <c r="B729" s="78"/>
      <c r="C729" s="71"/>
      <c r="D729" s="71"/>
      <c r="F729" s="71"/>
      <c r="G729" s="71"/>
      <c r="H729" s="71"/>
      <c r="I729" s="77"/>
      <c r="J729" s="65" t="s">
        <v>331</v>
      </c>
    </row>
    <row r="730" spans="2:10" ht="15">
      <c r="B730" s="78"/>
      <c r="C730" s="71"/>
      <c r="D730" s="71"/>
      <c r="F730" s="71"/>
      <c r="G730" s="71"/>
      <c r="H730" s="71"/>
      <c r="I730" s="77"/>
      <c r="J730" s="65" t="s">
        <v>331</v>
      </c>
    </row>
    <row r="731" spans="2:10" ht="15">
      <c r="B731" s="78"/>
      <c r="C731" s="71"/>
      <c r="D731" s="71"/>
      <c r="F731" s="71"/>
      <c r="G731" s="71"/>
      <c r="H731" s="71"/>
      <c r="I731" s="77"/>
      <c r="J731" s="65" t="s">
        <v>331</v>
      </c>
    </row>
    <row r="732" spans="2:10" ht="15">
      <c r="B732" s="78"/>
      <c r="C732" s="71"/>
      <c r="D732" s="71"/>
      <c r="F732" s="71"/>
      <c r="G732" s="71"/>
      <c r="H732" s="71"/>
      <c r="I732" s="77"/>
      <c r="J732" s="65" t="s">
        <v>331</v>
      </c>
    </row>
    <row r="733" spans="2:10" ht="15">
      <c r="B733" s="78"/>
      <c r="C733" s="71"/>
      <c r="D733" s="71"/>
      <c r="F733" s="71"/>
      <c r="G733" s="71"/>
      <c r="H733" s="71"/>
      <c r="I733" s="77"/>
      <c r="J733" s="65" t="s">
        <v>331</v>
      </c>
    </row>
    <row r="734" spans="2:10" ht="15">
      <c r="B734" s="78"/>
      <c r="C734" s="71"/>
      <c r="D734" s="71"/>
      <c r="F734" s="71"/>
      <c r="G734" s="71"/>
      <c r="H734" s="71"/>
      <c r="I734" s="77"/>
      <c r="J734" s="65" t="s">
        <v>331</v>
      </c>
    </row>
    <row r="735" spans="2:10" ht="15">
      <c r="B735" s="78"/>
      <c r="C735" s="71"/>
      <c r="D735" s="71"/>
      <c r="F735" s="71"/>
      <c r="G735" s="71"/>
      <c r="H735" s="71"/>
      <c r="I735" s="77"/>
      <c r="J735" s="65" t="s">
        <v>331</v>
      </c>
    </row>
    <row r="736" spans="2:10" ht="15">
      <c r="B736" s="78"/>
      <c r="C736" s="71"/>
      <c r="D736" s="71"/>
      <c r="F736" s="71"/>
      <c r="G736" s="71"/>
      <c r="H736" s="71"/>
      <c r="I736" s="77"/>
      <c r="J736" s="65" t="s">
        <v>331</v>
      </c>
    </row>
    <row r="737" spans="2:10" ht="15">
      <c r="B737" s="78"/>
      <c r="C737" s="71"/>
      <c r="D737" s="71"/>
      <c r="F737" s="71"/>
      <c r="G737" s="71"/>
      <c r="H737" s="71"/>
      <c r="I737" s="77"/>
      <c r="J737" s="65" t="s">
        <v>331</v>
      </c>
    </row>
    <row r="738" spans="2:10" ht="15">
      <c r="B738" s="78"/>
      <c r="C738" s="71"/>
      <c r="D738" s="71"/>
      <c r="F738" s="71"/>
      <c r="G738" s="71"/>
      <c r="H738" s="71"/>
      <c r="I738" s="77"/>
      <c r="J738" s="65" t="s">
        <v>331</v>
      </c>
    </row>
    <row r="739" spans="2:10" ht="15">
      <c r="B739" s="78"/>
      <c r="C739" s="71"/>
      <c r="D739" s="71"/>
      <c r="F739" s="71"/>
      <c r="G739" s="71"/>
      <c r="H739" s="71"/>
      <c r="I739" s="77"/>
      <c r="J739" s="65" t="s">
        <v>331</v>
      </c>
    </row>
    <row r="740" spans="2:10" ht="15">
      <c r="B740" s="78"/>
      <c r="C740" s="71"/>
      <c r="D740" s="71"/>
      <c r="F740" s="71"/>
      <c r="G740" s="71"/>
      <c r="H740" s="71"/>
      <c r="I740" s="77"/>
      <c r="J740" s="65" t="s">
        <v>331</v>
      </c>
    </row>
    <row r="741" spans="2:10" ht="15">
      <c r="B741" s="78"/>
      <c r="C741" s="71"/>
      <c r="D741" s="71"/>
      <c r="F741" s="71"/>
      <c r="G741" s="71"/>
      <c r="H741" s="71"/>
      <c r="I741" s="77"/>
      <c r="J741" s="65" t="s">
        <v>331</v>
      </c>
    </row>
    <row r="742" spans="2:10" ht="15">
      <c r="B742" s="78"/>
      <c r="C742" s="71"/>
      <c r="D742" s="71"/>
      <c r="F742" s="71"/>
      <c r="G742" s="71"/>
      <c r="H742" s="71"/>
      <c r="I742" s="77"/>
      <c r="J742" s="65" t="s">
        <v>331</v>
      </c>
    </row>
    <row r="743" spans="2:10" ht="15">
      <c r="B743" s="78"/>
      <c r="C743" s="71"/>
      <c r="D743" s="71"/>
      <c r="F743" s="71"/>
      <c r="G743" s="71"/>
      <c r="H743" s="71"/>
      <c r="I743" s="77"/>
      <c r="J743" s="65" t="s">
        <v>331</v>
      </c>
    </row>
    <row r="744" spans="2:10" ht="15">
      <c r="B744" s="78"/>
      <c r="C744" s="71"/>
      <c r="D744" s="71"/>
      <c r="F744" s="71"/>
      <c r="G744" s="71"/>
      <c r="H744" s="71"/>
      <c r="I744" s="77"/>
      <c r="J744" s="65" t="s">
        <v>331</v>
      </c>
    </row>
    <row r="745" spans="2:10" ht="15">
      <c r="B745" s="78"/>
      <c r="C745" s="71"/>
      <c r="D745" s="71"/>
      <c r="F745" s="71"/>
      <c r="G745" s="71"/>
      <c r="H745" s="71"/>
      <c r="I745" s="77"/>
      <c r="J745" s="65" t="s">
        <v>331</v>
      </c>
    </row>
    <row r="746" spans="2:10" ht="15">
      <c r="B746" s="78"/>
      <c r="C746" s="71"/>
      <c r="D746" s="71"/>
      <c r="F746" s="71"/>
      <c r="G746" s="71"/>
      <c r="H746" s="71"/>
      <c r="I746" s="77"/>
      <c r="J746" s="65" t="s">
        <v>331</v>
      </c>
    </row>
    <row r="747" spans="2:10" ht="15">
      <c r="B747" s="78"/>
      <c r="C747" s="71"/>
      <c r="D747" s="71"/>
      <c r="F747" s="71"/>
      <c r="G747" s="71"/>
      <c r="H747" s="71"/>
      <c r="I747" s="77"/>
      <c r="J747" s="65" t="s">
        <v>331</v>
      </c>
    </row>
    <row r="748" spans="2:10" ht="15">
      <c r="B748" s="78"/>
      <c r="C748" s="71"/>
      <c r="D748" s="71"/>
      <c r="F748" s="71"/>
      <c r="G748" s="71"/>
      <c r="H748" s="71"/>
      <c r="I748" s="77"/>
      <c r="J748" s="65" t="s">
        <v>331</v>
      </c>
    </row>
    <row r="749" spans="2:10" ht="15">
      <c r="B749" s="78"/>
      <c r="C749" s="71"/>
      <c r="D749" s="71"/>
      <c r="F749" s="71"/>
      <c r="G749" s="71"/>
      <c r="H749" s="71"/>
      <c r="I749" s="77"/>
      <c r="J749" s="65" t="s">
        <v>331</v>
      </c>
    </row>
    <row r="750" spans="2:10" ht="15">
      <c r="B750" s="78"/>
      <c r="C750" s="71"/>
      <c r="D750" s="71"/>
      <c r="F750" s="71"/>
      <c r="G750" s="71"/>
      <c r="H750" s="71"/>
      <c r="I750" s="77"/>
      <c r="J750" s="65" t="s">
        <v>331</v>
      </c>
    </row>
    <row r="751" spans="2:10" ht="15">
      <c r="B751" s="78"/>
      <c r="C751" s="71"/>
      <c r="D751" s="71"/>
      <c r="F751" s="71"/>
      <c r="G751" s="71"/>
      <c r="H751" s="71"/>
      <c r="I751" s="77"/>
      <c r="J751" s="65" t="s">
        <v>331</v>
      </c>
    </row>
    <row r="752" spans="2:10" ht="15">
      <c r="B752" s="78"/>
      <c r="C752" s="71"/>
      <c r="D752" s="71"/>
      <c r="F752" s="71"/>
      <c r="G752" s="71"/>
      <c r="H752" s="71"/>
      <c r="I752" s="77"/>
      <c r="J752" s="65" t="s">
        <v>331</v>
      </c>
    </row>
    <row r="753" spans="2:10" ht="15">
      <c r="B753" s="78"/>
      <c r="C753" s="71"/>
      <c r="D753" s="71"/>
      <c r="F753" s="71"/>
      <c r="G753" s="71"/>
      <c r="H753" s="71"/>
      <c r="I753" s="77"/>
      <c r="J753" s="65" t="s">
        <v>331</v>
      </c>
    </row>
    <row r="754" spans="2:10" ht="15">
      <c r="B754" s="78"/>
      <c r="C754" s="71"/>
      <c r="D754" s="71"/>
      <c r="F754" s="71"/>
      <c r="G754" s="71"/>
      <c r="H754" s="71"/>
      <c r="I754" s="77"/>
      <c r="J754" s="65" t="s">
        <v>331</v>
      </c>
    </row>
    <row r="755" spans="2:10" ht="15">
      <c r="B755" s="78"/>
      <c r="C755" s="71"/>
      <c r="D755" s="71"/>
      <c r="F755" s="71"/>
      <c r="G755" s="71"/>
      <c r="H755" s="71"/>
      <c r="I755" s="77"/>
      <c r="J755" s="65" t="s">
        <v>331</v>
      </c>
    </row>
    <row r="756" spans="2:10" ht="15">
      <c r="B756" s="78"/>
      <c r="C756" s="71"/>
      <c r="D756" s="71"/>
      <c r="F756" s="71"/>
      <c r="G756" s="71"/>
      <c r="H756" s="71"/>
      <c r="I756" s="77"/>
      <c r="J756" s="65" t="s">
        <v>331</v>
      </c>
    </row>
    <row r="757" spans="2:10" ht="15">
      <c r="B757" s="78"/>
      <c r="C757" s="71"/>
      <c r="D757" s="71"/>
      <c r="F757" s="71"/>
      <c r="G757" s="71"/>
      <c r="H757" s="71"/>
      <c r="I757" s="77"/>
      <c r="J757" s="65" t="s">
        <v>331</v>
      </c>
    </row>
    <row r="758" spans="2:10" ht="15">
      <c r="B758" s="78"/>
      <c r="C758" s="71"/>
      <c r="D758" s="71"/>
      <c r="F758" s="71"/>
      <c r="G758" s="71"/>
      <c r="H758" s="71"/>
      <c r="I758" s="77"/>
      <c r="J758" s="65" t="s">
        <v>331</v>
      </c>
    </row>
    <row r="759" spans="2:10" ht="15">
      <c r="B759" s="78"/>
      <c r="C759" s="71"/>
      <c r="D759" s="71"/>
      <c r="F759" s="71"/>
      <c r="G759" s="71"/>
      <c r="H759" s="71"/>
      <c r="I759" s="77"/>
      <c r="J759" s="65" t="s">
        <v>331</v>
      </c>
    </row>
    <row r="760" spans="2:10" ht="15">
      <c r="B760" s="78"/>
      <c r="C760" s="71"/>
      <c r="D760" s="71"/>
      <c r="F760" s="71"/>
      <c r="G760" s="71"/>
      <c r="H760" s="71"/>
      <c r="I760" s="77"/>
      <c r="J760" s="65" t="s">
        <v>331</v>
      </c>
    </row>
    <row r="761" spans="2:10" ht="15">
      <c r="B761" s="78"/>
      <c r="C761" s="71"/>
      <c r="D761" s="71"/>
      <c r="F761" s="71"/>
      <c r="G761" s="71"/>
      <c r="H761" s="71"/>
      <c r="I761" s="77"/>
      <c r="J761" s="65" t="s">
        <v>331</v>
      </c>
    </row>
    <row r="762" spans="2:10" ht="15">
      <c r="B762" s="78"/>
      <c r="C762" s="71"/>
      <c r="D762" s="71"/>
      <c r="F762" s="71"/>
      <c r="G762" s="71"/>
      <c r="H762" s="71"/>
      <c r="I762" s="77"/>
      <c r="J762" s="65" t="s">
        <v>331</v>
      </c>
    </row>
    <row r="763" spans="2:10" ht="15">
      <c r="B763" s="78"/>
      <c r="C763" s="71"/>
      <c r="D763" s="71"/>
      <c r="F763" s="71"/>
      <c r="G763" s="71"/>
      <c r="H763" s="71"/>
      <c r="I763" s="77"/>
      <c r="J763" s="65" t="s">
        <v>331</v>
      </c>
    </row>
    <row r="764" spans="2:10" ht="15">
      <c r="B764" s="78"/>
      <c r="C764" s="71"/>
      <c r="D764" s="71"/>
      <c r="F764" s="71"/>
      <c r="G764" s="71"/>
      <c r="H764" s="71"/>
      <c r="I764" s="77"/>
      <c r="J764" s="65" t="s">
        <v>331</v>
      </c>
    </row>
    <row r="765" spans="2:10" ht="15">
      <c r="B765" s="78"/>
      <c r="C765" s="71"/>
      <c r="D765" s="71"/>
      <c r="F765" s="71"/>
      <c r="G765" s="71"/>
      <c r="H765" s="71"/>
      <c r="I765" s="77"/>
      <c r="J765" s="65" t="s">
        <v>331</v>
      </c>
    </row>
    <row r="766" spans="2:10" ht="15">
      <c r="B766" s="78"/>
      <c r="C766" s="71"/>
      <c r="D766" s="71"/>
      <c r="F766" s="71"/>
      <c r="G766" s="71"/>
      <c r="H766" s="71"/>
      <c r="I766" s="77"/>
      <c r="J766" s="65" t="s">
        <v>331</v>
      </c>
    </row>
    <row r="767" spans="2:10" ht="15">
      <c r="B767" s="78"/>
      <c r="C767" s="71"/>
      <c r="D767" s="71"/>
      <c r="F767" s="71"/>
      <c r="G767" s="71"/>
      <c r="H767" s="71"/>
      <c r="I767" s="77"/>
      <c r="J767" s="65" t="s">
        <v>331</v>
      </c>
    </row>
    <row r="768" spans="2:10" ht="15">
      <c r="B768" s="78"/>
      <c r="C768" s="71"/>
      <c r="D768" s="71"/>
      <c r="F768" s="71"/>
      <c r="G768" s="71"/>
      <c r="H768" s="71"/>
      <c r="I768" s="77"/>
      <c r="J768" s="65" t="s">
        <v>331</v>
      </c>
    </row>
    <row r="769" spans="2:10" ht="15">
      <c r="B769" s="78"/>
      <c r="C769" s="71"/>
      <c r="D769" s="71"/>
      <c r="F769" s="71"/>
      <c r="G769" s="71"/>
      <c r="H769" s="71"/>
      <c r="I769" s="77"/>
      <c r="J769" s="65" t="s">
        <v>331</v>
      </c>
    </row>
    <row r="770" spans="2:10" ht="15">
      <c r="B770" s="78"/>
      <c r="C770" s="71"/>
      <c r="D770" s="71"/>
      <c r="F770" s="71"/>
      <c r="G770" s="71"/>
      <c r="H770" s="71"/>
      <c r="I770" s="77"/>
      <c r="J770" s="65" t="s">
        <v>331</v>
      </c>
    </row>
    <row r="771" spans="2:10" ht="15">
      <c r="B771" s="78"/>
      <c r="C771" s="71"/>
      <c r="D771" s="71"/>
      <c r="F771" s="71"/>
      <c r="G771" s="71"/>
      <c r="H771" s="71"/>
      <c r="I771" s="77"/>
      <c r="J771" s="65" t="s">
        <v>331</v>
      </c>
    </row>
    <row r="772" spans="2:10" ht="15">
      <c r="B772" s="78"/>
      <c r="C772" s="71"/>
      <c r="D772" s="71"/>
      <c r="F772" s="71"/>
      <c r="G772" s="71"/>
      <c r="H772" s="71"/>
      <c r="I772" s="77"/>
      <c r="J772" s="65" t="s">
        <v>331</v>
      </c>
    </row>
    <row r="773" spans="2:10" ht="15">
      <c r="B773" s="78"/>
      <c r="C773" s="71"/>
      <c r="D773" s="71"/>
      <c r="F773" s="71"/>
      <c r="G773" s="71"/>
      <c r="H773" s="71"/>
      <c r="I773" s="77"/>
      <c r="J773" s="65" t="s">
        <v>331</v>
      </c>
    </row>
    <row r="774" spans="2:10" ht="15">
      <c r="B774" s="78"/>
      <c r="C774" s="71"/>
      <c r="D774" s="71"/>
      <c r="F774" s="71"/>
      <c r="G774" s="71"/>
      <c r="H774" s="71"/>
      <c r="I774" s="77"/>
      <c r="J774" s="65" t="s">
        <v>331</v>
      </c>
    </row>
    <row r="775" spans="2:10" ht="15">
      <c r="B775" s="78"/>
      <c r="C775" s="71"/>
      <c r="D775" s="71"/>
      <c r="F775" s="71"/>
      <c r="G775" s="71"/>
      <c r="H775" s="71"/>
      <c r="I775" s="77"/>
      <c r="J775" s="65" t="s">
        <v>331</v>
      </c>
    </row>
    <row r="776" spans="2:10" ht="15">
      <c r="B776" s="78"/>
      <c r="C776" s="71"/>
      <c r="D776" s="71"/>
      <c r="F776" s="71"/>
      <c r="G776" s="71"/>
      <c r="H776" s="71"/>
      <c r="I776" s="77"/>
      <c r="J776" s="65" t="s">
        <v>331</v>
      </c>
    </row>
    <row r="777" spans="2:10" ht="15">
      <c r="B777" s="78"/>
      <c r="C777" s="71"/>
      <c r="D777" s="71"/>
      <c r="F777" s="71"/>
      <c r="G777" s="71"/>
      <c r="H777" s="71"/>
      <c r="I777" s="77"/>
      <c r="J777" s="65" t="s">
        <v>331</v>
      </c>
    </row>
    <row r="778" spans="2:10" ht="15">
      <c r="B778" s="78"/>
      <c r="C778" s="71"/>
      <c r="D778" s="71"/>
      <c r="F778" s="71"/>
      <c r="G778" s="71"/>
      <c r="H778" s="71"/>
      <c r="I778" s="77"/>
      <c r="J778" s="65" t="s">
        <v>331</v>
      </c>
    </row>
    <row r="779" spans="2:10" ht="15">
      <c r="B779" s="78"/>
      <c r="C779" s="71"/>
      <c r="D779" s="71"/>
      <c r="F779" s="71"/>
      <c r="G779" s="71"/>
      <c r="H779" s="71"/>
      <c r="I779" s="77"/>
      <c r="J779" s="65" t="s">
        <v>331</v>
      </c>
    </row>
    <row r="780" spans="2:10" ht="15">
      <c r="B780" s="78"/>
      <c r="C780" s="71"/>
      <c r="D780" s="71"/>
      <c r="F780" s="71"/>
      <c r="G780" s="71"/>
      <c r="H780" s="71"/>
      <c r="I780" s="77"/>
      <c r="J780" s="65" t="s">
        <v>331</v>
      </c>
    </row>
    <row r="781" spans="2:10" ht="15">
      <c r="B781" s="78"/>
      <c r="C781" s="71"/>
      <c r="D781" s="71"/>
      <c r="F781" s="71"/>
      <c r="G781" s="71"/>
      <c r="H781" s="71"/>
      <c r="I781" s="77"/>
      <c r="J781" s="65" t="s">
        <v>331</v>
      </c>
    </row>
    <row r="782" spans="2:10" ht="15">
      <c r="B782" s="78"/>
      <c r="C782" s="71"/>
      <c r="D782" s="71"/>
      <c r="F782" s="71"/>
      <c r="G782" s="71"/>
      <c r="H782" s="71"/>
      <c r="I782" s="77"/>
      <c r="J782" s="65" t="s">
        <v>331</v>
      </c>
    </row>
    <row r="783" spans="2:10" ht="15">
      <c r="B783" s="78"/>
      <c r="C783" s="71"/>
      <c r="D783" s="71"/>
      <c r="F783" s="71"/>
      <c r="G783" s="71"/>
      <c r="H783" s="71"/>
      <c r="I783" s="77"/>
      <c r="J783" s="65" t="s">
        <v>331</v>
      </c>
    </row>
    <row r="784" spans="2:10" ht="15">
      <c r="B784" s="78"/>
      <c r="C784" s="71"/>
      <c r="D784" s="71"/>
      <c r="F784" s="71"/>
      <c r="G784" s="71"/>
      <c r="H784" s="71"/>
      <c r="I784" s="77"/>
      <c r="J784" s="65" t="s">
        <v>331</v>
      </c>
    </row>
    <row r="785" spans="2:10" ht="15">
      <c r="B785" s="78"/>
      <c r="C785" s="71"/>
      <c r="D785" s="71"/>
      <c r="F785" s="71"/>
      <c r="G785" s="71"/>
      <c r="H785" s="71"/>
      <c r="I785" s="77"/>
      <c r="J785" s="65" t="s">
        <v>331</v>
      </c>
    </row>
    <row r="786" spans="2:10" ht="15">
      <c r="B786" s="78"/>
      <c r="C786" s="71"/>
      <c r="D786" s="71"/>
      <c r="F786" s="71"/>
      <c r="G786" s="71"/>
      <c r="H786" s="71"/>
      <c r="I786" s="77"/>
      <c r="J786" s="65" t="s">
        <v>331</v>
      </c>
    </row>
    <row r="787" spans="2:10" ht="15">
      <c r="B787" s="78"/>
      <c r="C787" s="71"/>
      <c r="D787" s="71"/>
      <c r="F787" s="71"/>
      <c r="G787" s="71"/>
      <c r="H787" s="71"/>
      <c r="I787" s="77"/>
      <c r="J787" s="65" t="s">
        <v>331</v>
      </c>
    </row>
    <row r="788" spans="2:10" ht="15">
      <c r="B788" s="78"/>
      <c r="C788" s="71"/>
      <c r="D788" s="71"/>
      <c r="F788" s="71"/>
      <c r="G788" s="71"/>
      <c r="H788" s="71"/>
      <c r="I788" s="77"/>
      <c r="J788" s="65" t="s">
        <v>331</v>
      </c>
    </row>
    <row r="789" spans="2:10" ht="15">
      <c r="B789" s="78"/>
      <c r="C789" s="71"/>
      <c r="D789" s="71"/>
      <c r="F789" s="71"/>
      <c r="G789" s="71"/>
      <c r="H789" s="71"/>
      <c r="I789" s="77"/>
      <c r="J789" s="65" t="s">
        <v>331</v>
      </c>
    </row>
    <row r="790" spans="2:10" ht="15">
      <c r="B790" s="78"/>
      <c r="C790" s="71"/>
      <c r="D790" s="71"/>
      <c r="F790" s="71"/>
      <c r="G790" s="71"/>
      <c r="H790" s="71"/>
      <c r="I790" s="77"/>
      <c r="J790" s="65" t="s">
        <v>331</v>
      </c>
    </row>
    <row r="791" spans="2:10" ht="15">
      <c r="B791" s="78"/>
      <c r="C791" s="71"/>
      <c r="D791" s="71"/>
      <c r="F791" s="71"/>
      <c r="G791" s="71"/>
      <c r="H791" s="71"/>
      <c r="I791" s="77"/>
      <c r="J791" s="65" t="s">
        <v>331</v>
      </c>
    </row>
    <row r="792" spans="2:10" ht="15">
      <c r="B792" s="78"/>
      <c r="C792" s="71"/>
      <c r="D792" s="71"/>
      <c r="F792" s="71"/>
      <c r="G792" s="71"/>
      <c r="H792" s="71"/>
      <c r="I792" s="77"/>
      <c r="J792" s="65" t="s">
        <v>331</v>
      </c>
    </row>
    <row r="793" spans="2:10" ht="15">
      <c r="B793" s="78"/>
      <c r="C793" s="71"/>
      <c r="D793" s="71"/>
      <c r="F793" s="71"/>
      <c r="G793" s="71"/>
      <c r="H793" s="71"/>
      <c r="I793" s="77"/>
      <c r="J793" s="65" t="s">
        <v>331</v>
      </c>
    </row>
    <row r="794" spans="2:10" ht="15">
      <c r="B794" s="78"/>
      <c r="C794" s="71"/>
      <c r="D794" s="71"/>
      <c r="F794" s="71"/>
      <c r="G794" s="71"/>
      <c r="H794" s="71"/>
      <c r="I794" s="77"/>
      <c r="J794" s="65" t="s">
        <v>331</v>
      </c>
    </row>
    <row r="795" spans="2:10" ht="15">
      <c r="B795" s="78"/>
      <c r="C795" s="71"/>
      <c r="D795" s="71"/>
      <c r="F795" s="71"/>
      <c r="G795" s="71"/>
      <c r="H795" s="71"/>
      <c r="I795" s="77"/>
      <c r="J795" s="65" t="s">
        <v>331</v>
      </c>
    </row>
    <row r="796" spans="2:10" ht="15">
      <c r="B796" s="78"/>
      <c r="C796" s="71"/>
      <c r="D796" s="71"/>
      <c r="F796" s="71"/>
      <c r="G796" s="71"/>
      <c r="H796" s="71"/>
      <c r="I796" s="77"/>
      <c r="J796" s="65" t="s">
        <v>331</v>
      </c>
    </row>
    <row r="797" spans="2:10" ht="15">
      <c r="B797" s="78"/>
      <c r="C797" s="71"/>
      <c r="D797" s="71"/>
      <c r="F797" s="71"/>
      <c r="G797" s="71"/>
      <c r="H797" s="71"/>
      <c r="I797" s="77"/>
      <c r="J797" s="65" t="s">
        <v>331</v>
      </c>
    </row>
    <row r="798" spans="2:10" ht="15">
      <c r="B798" s="78"/>
      <c r="C798" s="71"/>
      <c r="D798" s="71"/>
      <c r="F798" s="71"/>
      <c r="G798" s="71"/>
      <c r="H798" s="71"/>
      <c r="I798" s="77"/>
      <c r="J798" s="65" t="s">
        <v>331</v>
      </c>
    </row>
    <row r="799" spans="2:10" ht="15">
      <c r="B799" s="78"/>
      <c r="C799" s="71"/>
      <c r="D799" s="71"/>
      <c r="F799" s="71"/>
      <c r="G799" s="71"/>
      <c r="H799" s="71"/>
      <c r="I799" s="77"/>
      <c r="J799" s="65" t="s">
        <v>331</v>
      </c>
    </row>
    <row r="800" spans="2:10" ht="15">
      <c r="B800" s="78"/>
      <c r="C800" s="71"/>
      <c r="D800" s="71"/>
      <c r="F800" s="71"/>
      <c r="G800" s="71"/>
      <c r="H800" s="71"/>
      <c r="I800" s="77"/>
      <c r="J800" s="65" t="s">
        <v>331</v>
      </c>
    </row>
    <row r="801" spans="2:10" ht="15">
      <c r="B801" s="78"/>
      <c r="C801" s="71"/>
      <c r="D801" s="71"/>
      <c r="F801" s="71"/>
      <c r="G801" s="71"/>
      <c r="H801" s="71"/>
      <c r="I801" s="77"/>
      <c r="J801" s="65" t="s">
        <v>331</v>
      </c>
    </row>
    <row r="802" spans="2:10" ht="15">
      <c r="B802" s="78"/>
      <c r="C802" s="71"/>
      <c r="D802" s="71"/>
      <c r="F802" s="71"/>
      <c r="G802" s="71"/>
      <c r="H802" s="71"/>
      <c r="I802" s="77"/>
      <c r="J802" s="65" t="s">
        <v>331</v>
      </c>
    </row>
    <row r="803" spans="2:10" ht="15">
      <c r="B803" s="78"/>
      <c r="C803" s="71"/>
      <c r="D803" s="71"/>
      <c r="E803" s="81"/>
      <c r="F803" s="71"/>
      <c r="G803" s="71"/>
      <c r="H803" s="71"/>
      <c r="I803" s="77"/>
      <c r="J803" s="65" t="s">
        <v>331</v>
      </c>
    </row>
    <row r="804" spans="2:10" ht="15">
      <c r="B804" s="78"/>
      <c r="C804" s="71"/>
      <c r="D804" s="71"/>
      <c r="E804" s="81"/>
      <c r="F804" s="71"/>
      <c r="G804" s="71"/>
      <c r="H804" s="71"/>
      <c r="I804" s="77"/>
      <c r="J804" s="65" t="s">
        <v>331</v>
      </c>
    </row>
    <row r="805" spans="2:10" ht="15">
      <c r="B805" s="78"/>
      <c r="C805" s="71"/>
      <c r="D805" s="71"/>
      <c r="E805" s="81"/>
      <c r="F805" s="71"/>
      <c r="G805" s="71"/>
      <c r="H805" s="71"/>
      <c r="I805" s="77"/>
      <c r="J805" s="65" t="s">
        <v>331</v>
      </c>
    </row>
    <row r="806" spans="2:10" ht="15">
      <c r="B806" s="78"/>
      <c r="C806" s="71"/>
      <c r="D806" s="71"/>
      <c r="E806" s="81"/>
      <c r="F806" s="71"/>
      <c r="G806" s="71"/>
      <c r="H806" s="71"/>
      <c r="I806" s="77"/>
      <c r="J806" s="65" t="s">
        <v>331</v>
      </c>
    </row>
    <row r="807" spans="2:10" ht="15">
      <c r="B807" s="78"/>
      <c r="C807" s="71"/>
      <c r="D807" s="71"/>
      <c r="E807" s="81"/>
      <c r="F807" s="71"/>
      <c r="G807" s="71"/>
      <c r="H807" s="71"/>
      <c r="I807" s="77"/>
      <c r="J807" s="65" t="s">
        <v>331</v>
      </c>
    </row>
    <row r="808" spans="2:10" ht="15">
      <c r="B808" s="78"/>
      <c r="C808" s="71"/>
      <c r="D808" s="71"/>
      <c r="E808" s="81"/>
      <c r="F808" s="71"/>
      <c r="G808" s="71"/>
      <c r="H808" s="71"/>
      <c r="I808" s="77"/>
      <c r="J808" s="65" t="s">
        <v>331</v>
      </c>
    </row>
    <row r="809" spans="2:10" ht="15">
      <c r="B809" s="73"/>
      <c r="F809" s="71"/>
      <c r="G809" s="71"/>
      <c r="H809" s="71"/>
      <c r="I809" s="72"/>
      <c r="J809" s="65" t="s">
        <v>331</v>
      </c>
    </row>
    <row r="810" spans="2:10" ht="15">
      <c r="B810" s="73"/>
      <c r="F810" s="71"/>
      <c r="G810" s="71"/>
      <c r="H810" s="71"/>
      <c r="I810" s="72"/>
      <c r="J810" s="65" t="s">
        <v>331</v>
      </c>
    </row>
    <row r="811" spans="2:10" ht="15">
      <c r="B811" s="73"/>
      <c r="F811" s="71"/>
      <c r="G811" s="71"/>
      <c r="H811" s="71"/>
      <c r="I811" s="72"/>
      <c r="J811" s="65" t="s">
        <v>331</v>
      </c>
    </row>
    <row r="812" spans="2:10" ht="15">
      <c r="B812" s="73"/>
      <c r="F812" s="71"/>
      <c r="G812" s="71"/>
      <c r="H812" s="71"/>
      <c r="I812" s="72"/>
      <c r="J812" s="65" t="s">
        <v>331</v>
      </c>
    </row>
    <row r="813" spans="2:10" ht="15">
      <c r="B813" s="73"/>
      <c r="F813" s="71"/>
      <c r="G813" s="71"/>
      <c r="H813" s="71"/>
      <c r="I813" s="72"/>
      <c r="J813" s="65" t="s">
        <v>331</v>
      </c>
    </row>
    <row r="814" spans="2:10" ht="15">
      <c r="B814" s="73"/>
      <c r="F814" s="71"/>
      <c r="G814" s="71"/>
      <c r="H814" s="71"/>
      <c r="I814" s="72"/>
      <c r="J814" s="65" t="s">
        <v>331</v>
      </c>
    </row>
    <row r="815" spans="2:10" ht="15">
      <c r="B815" s="73"/>
      <c r="F815" s="71"/>
      <c r="G815" s="71"/>
      <c r="H815" s="71"/>
      <c r="I815" s="72"/>
      <c r="J815" s="65" t="s">
        <v>331</v>
      </c>
    </row>
    <row r="816" spans="2:10" ht="15">
      <c r="B816" s="73"/>
      <c r="F816" s="71"/>
      <c r="G816" s="71"/>
      <c r="H816" s="71"/>
      <c r="I816" s="72"/>
      <c r="J816" s="65" t="s">
        <v>331</v>
      </c>
    </row>
    <row r="817" spans="2:10" ht="15">
      <c r="B817" s="73"/>
      <c r="F817" s="71"/>
      <c r="G817" s="71"/>
      <c r="H817" s="71"/>
      <c r="I817" s="72"/>
      <c r="J817" s="65" t="s">
        <v>331</v>
      </c>
    </row>
    <row r="818" spans="2:10" ht="15">
      <c r="B818" s="73"/>
      <c r="F818" s="71"/>
      <c r="G818" s="71"/>
      <c r="H818" s="71"/>
      <c r="I818" s="72"/>
      <c r="J818" s="65" t="s">
        <v>331</v>
      </c>
    </row>
    <row r="819" spans="2:10" ht="15">
      <c r="B819" s="73"/>
      <c r="F819" s="71"/>
      <c r="G819" s="71"/>
      <c r="H819" s="71"/>
      <c r="I819" s="72"/>
      <c r="J819" s="65" t="s">
        <v>331</v>
      </c>
    </row>
    <row r="820" spans="2:10" ht="15">
      <c r="B820" s="73"/>
      <c r="F820" s="71"/>
      <c r="G820" s="71"/>
      <c r="H820" s="71"/>
      <c r="I820" s="72"/>
      <c r="J820" s="65" t="s">
        <v>331</v>
      </c>
    </row>
    <row r="821" spans="2:10" ht="15">
      <c r="B821" s="73"/>
      <c r="F821" s="71"/>
      <c r="G821" s="71"/>
      <c r="H821" s="71"/>
      <c r="I821" s="72"/>
      <c r="J821" s="65" t="s">
        <v>331</v>
      </c>
    </row>
    <row r="822" spans="2:10" ht="15">
      <c r="B822" s="73"/>
      <c r="F822" s="71"/>
      <c r="G822" s="71"/>
      <c r="H822" s="71"/>
      <c r="I822" s="72"/>
      <c r="J822" s="65" t="s">
        <v>331</v>
      </c>
    </row>
    <row r="823" spans="2:10" ht="15">
      <c r="B823" s="73"/>
      <c r="F823" s="71"/>
      <c r="G823" s="71"/>
      <c r="H823" s="71"/>
      <c r="I823" s="72"/>
      <c r="J823" s="65" t="s">
        <v>331</v>
      </c>
    </row>
    <row r="824" spans="2:10" ht="15">
      <c r="B824" s="73"/>
      <c r="F824" s="71"/>
      <c r="G824" s="71"/>
      <c r="H824" s="71"/>
      <c r="I824" s="72"/>
      <c r="J824" s="65" t="s">
        <v>331</v>
      </c>
    </row>
    <row r="825" spans="2:10" ht="15">
      <c r="B825" s="73"/>
      <c r="F825" s="71"/>
      <c r="G825" s="71"/>
      <c r="H825" s="71"/>
      <c r="I825" s="72"/>
      <c r="J825" s="65" t="s">
        <v>331</v>
      </c>
    </row>
    <row r="826" spans="2:10" ht="15">
      <c r="B826" s="73"/>
      <c r="F826" s="71"/>
      <c r="G826" s="71"/>
      <c r="H826" s="71"/>
      <c r="I826" s="72"/>
      <c r="J826" s="65" t="s">
        <v>331</v>
      </c>
    </row>
    <row r="827" spans="2:10" ht="15">
      <c r="B827" s="73"/>
      <c r="F827" s="71"/>
      <c r="G827" s="71"/>
      <c r="H827" s="71"/>
      <c r="I827" s="72"/>
      <c r="J827" s="65" t="s">
        <v>331</v>
      </c>
    </row>
    <row r="828" spans="2:10" ht="15">
      <c r="B828" s="73"/>
      <c r="F828" s="71"/>
      <c r="G828" s="71"/>
      <c r="H828" s="71"/>
      <c r="I828" s="72"/>
      <c r="J828" s="65" t="s">
        <v>331</v>
      </c>
    </row>
    <row r="829" spans="2:10" ht="15">
      <c r="B829" s="73"/>
      <c r="F829" s="71"/>
      <c r="G829" s="71"/>
      <c r="H829" s="71"/>
      <c r="I829" s="72"/>
      <c r="J829" s="65" t="s">
        <v>331</v>
      </c>
    </row>
    <row r="830" spans="2:10" ht="15">
      <c r="B830" s="73"/>
      <c r="F830" s="71"/>
      <c r="G830" s="71"/>
      <c r="H830" s="71"/>
      <c r="I830" s="72"/>
      <c r="J830" s="65" t="s">
        <v>331</v>
      </c>
    </row>
    <row r="831" spans="2:10" ht="15">
      <c r="B831" s="73"/>
      <c r="F831" s="71"/>
      <c r="G831" s="71"/>
      <c r="H831" s="71"/>
      <c r="I831" s="72"/>
      <c r="J831" s="65" t="s">
        <v>331</v>
      </c>
    </row>
    <row r="832" spans="2:10" ht="15">
      <c r="B832" s="73"/>
      <c r="F832" s="71"/>
      <c r="G832" s="71"/>
      <c r="H832" s="71"/>
      <c r="I832" s="72"/>
      <c r="J832" s="65" t="s">
        <v>331</v>
      </c>
    </row>
    <row r="833" spans="2:10" ht="15">
      <c r="B833" s="73"/>
      <c r="F833" s="71"/>
      <c r="G833" s="71"/>
      <c r="H833" s="71"/>
      <c r="I833" s="72"/>
      <c r="J833" s="65" t="s">
        <v>331</v>
      </c>
    </row>
    <row r="834" spans="2:10" ht="15">
      <c r="B834" s="73"/>
      <c r="F834" s="71"/>
      <c r="G834" s="71"/>
      <c r="H834" s="71"/>
      <c r="I834" s="72"/>
      <c r="J834" s="65" t="s">
        <v>331</v>
      </c>
    </row>
    <row r="835" spans="2:10" ht="15">
      <c r="B835" s="73"/>
      <c r="F835" s="71"/>
      <c r="G835" s="71"/>
      <c r="H835" s="71"/>
      <c r="I835" s="72"/>
      <c r="J835" s="65" t="s">
        <v>331</v>
      </c>
    </row>
    <row r="836" spans="2:10" ht="15">
      <c r="B836" s="73"/>
      <c r="F836" s="71"/>
      <c r="G836" s="71"/>
      <c r="H836" s="71"/>
      <c r="I836" s="72"/>
      <c r="J836" s="65" t="s">
        <v>331</v>
      </c>
    </row>
    <row r="837" spans="2:10" ht="15">
      <c r="B837" s="73"/>
      <c r="F837" s="71"/>
      <c r="G837" s="71"/>
      <c r="H837" s="71"/>
      <c r="I837" s="72"/>
      <c r="J837" s="65" t="s">
        <v>331</v>
      </c>
    </row>
    <row r="838" spans="2:10" ht="15">
      <c r="B838" s="73"/>
      <c r="F838" s="71"/>
      <c r="G838" s="71"/>
      <c r="H838" s="71"/>
      <c r="I838" s="72"/>
      <c r="J838" s="65" t="s">
        <v>331</v>
      </c>
    </row>
    <row r="839" spans="2:10" ht="15">
      <c r="B839" s="73"/>
      <c r="F839" s="71"/>
      <c r="G839" s="71"/>
      <c r="H839" s="71"/>
      <c r="I839" s="72"/>
      <c r="J839" s="65" t="s">
        <v>331</v>
      </c>
    </row>
    <row r="840" spans="2:10" ht="15">
      <c r="B840" s="73"/>
      <c r="F840" s="71"/>
      <c r="G840" s="71"/>
      <c r="H840" s="71"/>
      <c r="I840" s="72"/>
      <c r="J840" s="65" t="s">
        <v>331</v>
      </c>
    </row>
    <row r="841" spans="2:10" ht="15">
      <c r="B841" s="73"/>
      <c r="F841" s="71"/>
      <c r="G841" s="71"/>
      <c r="H841" s="71"/>
      <c r="I841" s="72"/>
      <c r="J841" s="65" t="s">
        <v>331</v>
      </c>
    </row>
    <row r="842" spans="2:10" ht="15">
      <c r="B842" s="73"/>
      <c r="F842" s="71"/>
      <c r="G842" s="71"/>
      <c r="H842" s="71"/>
      <c r="I842" s="72"/>
      <c r="J842" s="65" t="s">
        <v>331</v>
      </c>
    </row>
    <row r="843" spans="2:10" ht="15">
      <c r="B843" s="73"/>
      <c r="F843" s="71"/>
      <c r="G843" s="71"/>
      <c r="H843" s="71"/>
      <c r="I843" s="72"/>
      <c r="J843" s="65" t="s">
        <v>331</v>
      </c>
    </row>
    <row r="844" spans="2:10" ht="15">
      <c r="B844" s="73"/>
      <c r="F844" s="71"/>
      <c r="G844" s="71"/>
      <c r="H844" s="71"/>
      <c r="I844" s="72"/>
      <c r="J844" s="65" t="s">
        <v>331</v>
      </c>
    </row>
    <row r="845" spans="2:10" ht="15">
      <c r="B845" s="73"/>
      <c r="F845" s="71"/>
      <c r="G845" s="71"/>
      <c r="H845" s="71"/>
      <c r="I845" s="72"/>
      <c r="J845" s="65" t="s">
        <v>331</v>
      </c>
    </row>
    <row r="846" spans="2:10" ht="15">
      <c r="B846" s="73"/>
      <c r="F846" s="71"/>
      <c r="G846" s="71"/>
      <c r="H846" s="71"/>
      <c r="I846" s="72"/>
      <c r="J846" s="65" t="s">
        <v>331</v>
      </c>
    </row>
    <row r="847" spans="2:10" ht="15">
      <c r="B847" s="73"/>
      <c r="F847" s="71"/>
      <c r="G847" s="71"/>
      <c r="H847" s="71"/>
      <c r="I847" s="72"/>
      <c r="J847" s="65" t="s">
        <v>331</v>
      </c>
    </row>
    <row r="848" spans="2:10" ht="15">
      <c r="B848" s="73"/>
      <c r="F848" s="71"/>
      <c r="G848" s="71"/>
      <c r="H848" s="71"/>
      <c r="I848" s="72"/>
      <c r="J848" s="65" t="s">
        <v>331</v>
      </c>
    </row>
    <row r="849" spans="2:10" ht="15">
      <c r="B849" s="73"/>
      <c r="F849" s="71"/>
      <c r="G849" s="71"/>
      <c r="H849" s="71"/>
      <c r="I849" s="72"/>
      <c r="J849" s="65" t="s">
        <v>331</v>
      </c>
    </row>
    <row r="850" spans="2:10" ht="15">
      <c r="B850" s="73"/>
      <c r="F850" s="71"/>
      <c r="G850" s="71"/>
      <c r="H850" s="71"/>
      <c r="I850" s="72"/>
      <c r="J850" s="65" t="s">
        <v>331</v>
      </c>
    </row>
    <row r="851" spans="2:10" ht="15">
      <c r="B851" s="73"/>
      <c r="F851" s="71"/>
      <c r="G851" s="71"/>
      <c r="H851" s="71"/>
      <c r="I851" s="72"/>
      <c r="J851" s="65" t="s">
        <v>331</v>
      </c>
    </row>
    <row r="852" spans="2:10" ht="15">
      <c r="B852" s="73"/>
      <c r="F852" s="71"/>
      <c r="G852" s="71"/>
      <c r="H852" s="71"/>
      <c r="I852" s="72"/>
      <c r="J852" s="65" t="s">
        <v>331</v>
      </c>
    </row>
    <row r="853" spans="2:10" ht="15">
      <c r="B853" s="73"/>
      <c r="F853" s="71"/>
      <c r="G853" s="71"/>
      <c r="H853" s="71"/>
      <c r="I853" s="72"/>
      <c r="J853" s="65" t="s">
        <v>331</v>
      </c>
    </row>
    <row r="854" spans="2:10" ht="15">
      <c r="B854" s="73"/>
      <c r="F854" s="71"/>
      <c r="G854" s="71"/>
      <c r="H854" s="71"/>
      <c r="I854" s="72"/>
      <c r="J854" s="65" t="s">
        <v>331</v>
      </c>
    </row>
    <row r="855" spans="2:10" ht="15">
      <c r="B855" s="73"/>
      <c r="F855" s="71"/>
      <c r="G855" s="71"/>
      <c r="H855" s="71"/>
      <c r="I855" s="72"/>
      <c r="J855" s="65" t="s">
        <v>331</v>
      </c>
    </row>
    <row r="856" spans="2:10" ht="15">
      <c r="B856" s="73"/>
      <c r="F856" s="71"/>
      <c r="G856" s="71"/>
      <c r="H856" s="71"/>
      <c r="I856" s="72"/>
      <c r="J856" s="65" t="s">
        <v>331</v>
      </c>
    </row>
    <row r="857" spans="2:10" ht="15">
      <c r="B857" s="73"/>
      <c r="F857" s="71"/>
      <c r="G857" s="71"/>
      <c r="H857" s="71"/>
      <c r="I857" s="72"/>
      <c r="J857" s="65" t="s">
        <v>331</v>
      </c>
    </row>
    <row r="858" spans="2:10" ht="15">
      <c r="B858" s="73"/>
      <c r="F858" s="71"/>
      <c r="G858" s="71"/>
      <c r="H858" s="71"/>
      <c r="I858" s="72"/>
      <c r="J858" s="65" t="s">
        <v>331</v>
      </c>
    </row>
    <row r="859" spans="2:10" ht="15">
      <c r="B859" s="73"/>
      <c r="F859" s="71"/>
      <c r="G859" s="71"/>
      <c r="H859" s="71"/>
      <c r="I859" s="72"/>
      <c r="J859" s="65" t="s">
        <v>331</v>
      </c>
    </row>
    <row r="860" spans="2:10" ht="15">
      <c r="B860" s="73"/>
      <c r="F860" s="71"/>
      <c r="G860" s="71"/>
      <c r="H860" s="71"/>
      <c r="I860" s="72"/>
      <c r="J860" s="65" t="s">
        <v>331</v>
      </c>
    </row>
    <row r="861" spans="2:10" ht="15">
      <c r="B861" s="73"/>
      <c r="F861" s="71"/>
      <c r="G861" s="71"/>
      <c r="H861" s="71"/>
      <c r="I861" s="72"/>
      <c r="J861" s="65" t="s">
        <v>331</v>
      </c>
    </row>
    <row r="862" spans="2:10" ht="15">
      <c r="B862" s="73"/>
      <c r="F862" s="71"/>
      <c r="G862" s="71"/>
      <c r="H862" s="71"/>
      <c r="I862" s="72"/>
      <c r="J862" s="65" t="s">
        <v>331</v>
      </c>
    </row>
    <row r="863" spans="2:10" ht="15">
      <c r="B863" s="73"/>
      <c r="F863" s="71"/>
      <c r="G863" s="71"/>
      <c r="H863" s="71"/>
      <c r="I863" s="72"/>
      <c r="J863" s="65" t="s">
        <v>331</v>
      </c>
    </row>
    <row r="864" spans="2:10" ht="15">
      <c r="B864" s="73"/>
      <c r="F864" s="71"/>
      <c r="G864" s="71"/>
      <c r="H864" s="71"/>
      <c r="I864" s="72"/>
      <c r="J864" s="65" t="s">
        <v>331</v>
      </c>
    </row>
    <row r="865" spans="2:10" ht="15">
      <c r="B865" s="73"/>
      <c r="F865" s="71"/>
      <c r="G865" s="71"/>
      <c r="H865" s="71"/>
      <c r="I865" s="72"/>
      <c r="J865" s="65" t="s">
        <v>331</v>
      </c>
    </row>
    <row r="866" spans="2:10" ht="15">
      <c r="B866" s="73"/>
      <c r="F866" s="71"/>
      <c r="G866" s="71"/>
      <c r="H866" s="71"/>
      <c r="I866" s="72"/>
      <c r="J866" s="65" t="s">
        <v>331</v>
      </c>
    </row>
    <row r="867" spans="2:10" ht="15">
      <c r="B867" s="73"/>
      <c r="F867" s="71"/>
      <c r="G867" s="71"/>
      <c r="H867" s="71"/>
      <c r="I867" s="72"/>
      <c r="J867" s="65" t="s">
        <v>331</v>
      </c>
    </row>
    <row r="868" spans="2:10" ht="15">
      <c r="B868" s="73"/>
      <c r="F868" s="71"/>
      <c r="G868" s="71"/>
      <c r="H868" s="71"/>
      <c r="I868" s="72"/>
      <c r="J868" s="65" t="s">
        <v>331</v>
      </c>
    </row>
    <row r="869" spans="2:10" ht="15">
      <c r="B869" s="73"/>
      <c r="F869" s="71"/>
      <c r="G869" s="71"/>
      <c r="H869" s="71"/>
      <c r="I869" s="72"/>
      <c r="J869" s="65" t="s">
        <v>331</v>
      </c>
    </row>
    <row r="870" spans="2:10" ht="15">
      <c r="B870" s="73"/>
      <c r="F870" s="71"/>
      <c r="G870" s="71"/>
      <c r="H870" s="71"/>
      <c r="I870" s="72"/>
      <c r="J870" s="65" t="s">
        <v>331</v>
      </c>
    </row>
    <row r="871" spans="2:10" ht="15">
      <c r="B871" s="73"/>
      <c r="F871" s="71"/>
      <c r="G871" s="71"/>
      <c r="H871" s="71"/>
      <c r="I871" s="72"/>
      <c r="J871" s="65" t="s">
        <v>331</v>
      </c>
    </row>
    <row r="872" spans="2:10" ht="15">
      <c r="B872" s="73"/>
      <c r="F872" s="71"/>
      <c r="G872" s="71"/>
      <c r="H872" s="71"/>
      <c r="I872" s="72"/>
      <c r="J872" s="65" t="s">
        <v>331</v>
      </c>
    </row>
    <row r="873" spans="2:10" ht="15">
      <c r="B873" s="73"/>
      <c r="F873" s="71"/>
      <c r="G873" s="71"/>
      <c r="H873" s="71"/>
      <c r="I873" s="72"/>
      <c r="J873" s="65" t="s">
        <v>331</v>
      </c>
    </row>
    <row r="874" spans="2:10" ht="15">
      <c r="B874" s="73"/>
      <c r="F874" s="71"/>
      <c r="G874" s="71"/>
      <c r="H874" s="71"/>
      <c r="I874" s="72"/>
      <c r="J874" s="65" t="s">
        <v>331</v>
      </c>
    </row>
    <row r="875" spans="2:10" ht="15">
      <c r="B875" s="73"/>
      <c r="F875" s="71"/>
      <c r="G875" s="71"/>
      <c r="H875" s="71"/>
      <c r="I875" s="72"/>
      <c r="J875" s="65" t="s">
        <v>331</v>
      </c>
    </row>
    <row r="876" spans="2:10" ht="15">
      <c r="B876" s="73"/>
      <c r="F876" s="71"/>
      <c r="G876" s="71"/>
      <c r="H876" s="71"/>
      <c r="I876" s="72"/>
      <c r="J876" s="65" t="s">
        <v>331</v>
      </c>
    </row>
    <row r="877" spans="2:10" ht="15">
      <c r="B877" s="73"/>
      <c r="F877" s="71"/>
      <c r="G877" s="71"/>
      <c r="H877" s="71"/>
      <c r="I877" s="72"/>
      <c r="J877" s="65" t="s">
        <v>331</v>
      </c>
    </row>
    <row r="878" spans="2:10" ht="15">
      <c r="B878" s="73"/>
      <c r="F878" s="71"/>
      <c r="G878" s="71"/>
      <c r="H878" s="71"/>
      <c r="I878" s="72"/>
      <c r="J878" s="65" t="s">
        <v>331</v>
      </c>
    </row>
    <row r="879" spans="2:10" ht="15">
      <c r="B879" s="73"/>
      <c r="F879" s="71"/>
      <c r="G879" s="71"/>
      <c r="H879" s="71"/>
      <c r="I879" s="72"/>
      <c r="J879" s="65" t="s">
        <v>331</v>
      </c>
    </row>
    <row r="880" spans="2:10" ht="15">
      <c r="B880" s="73"/>
      <c r="F880" s="71"/>
      <c r="G880" s="71"/>
      <c r="H880" s="71"/>
      <c r="I880" s="72"/>
      <c r="J880" s="65" t="s">
        <v>331</v>
      </c>
    </row>
    <row r="881" spans="2:10" ht="15">
      <c r="B881" s="73"/>
      <c r="F881" s="71"/>
      <c r="G881" s="71"/>
      <c r="H881" s="71"/>
      <c r="I881" s="72"/>
      <c r="J881" s="65" t="s">
        <v>331</v>
      </c>
    </row>
    <row r="882" spans="2:10" ht="15">
      <c r="B882" s="73"/>
      <c r="F882" s="71"/>
      <c r="G882" s="71"/>
      <c r="H882" s="71"/>
      <c r="I882" s="72"/>
      <c r="J882" s="65" t="s">
        <v>331</v>
      </c>
    </row>
    <row r="883" spans="2:10" ht="15">
      <c r="B883" s="73"/>
      <c r="F883" s="71"/>
      <c r="G883" s="71"/>
      <c r="H883" s="71"/>
      <c r="I883" s="72"/>
      <c r="J883" s="65" t="s">
        <v>331</v>
      </c>
    </row>
    <row r="884" spans="2:10" ht="15">
      <c r="B884" s="73"/>
      <c r="F884" s="71"/>
      <c r="G884" s="71"/>
      <c r="H884" s="71"/>
      <c r="I884" s="72"/>
      <c r="J884" s="65" t="s">
        <v>331</v>
      </c>
    </row>
    <row r="885" spans="2:10" ht="15">
      <c r="B885" s="73"/>
      <c r="F885" s="71"/>
      <c r="G885" s="71"/>
      <c r="H885" s="71"/>
      <c r="I885" s="72"/>
      <c r="J885" s="65" t="s">
        <v>331</v>
      </c>
    </row>
    <row r="886" spans="2:10" ht="15">
      <c r="B886" s="73"/>
      <c r="F886" s="71"/>
      <c r="G886" s="71"/>
      <c r="H886" s="71"/>
      <c r="I886" s="72"/>
      <c r="J886" s="65" t="s">
        <v>331</v>
      </c>
    </row>
    <row r="887" spans="2:10" ht="15">
      <c r="B887" s="73"/>
      <c r="F887" s="71"/>
      <c r="G887" s="71"/>
      <c r="H887" s="71"/>
      <c r="I887" s="72"/>
      <c r="J887" s="65" t="s">
        <v>331</v>
      </c>
    </row>
    <row r="888" spans="2:10" ht="15">
      <c r="B888" s="73"/>
      <c r="F888" s="71"/>
      <c r="G888" s="71"/>
      <c r="H888" s="71"/>
      <c r="I888" s="72"/>
      <c r="J888" s="65" t="s">
        <v>331</v>
      </c>
    </row>
    <row r="889" spans="2:10" ht="15">
      <c r="B889" s="73"/>
      <c r="F889" s="71"/>
      <c r="G889" s="71"/>
      <c r="H889" s="71"/>
      <c r="I889" s="72"/>
      <c r="J889" s="65" t="s">
        <v>331</v>
      </c>
    </row>
    <row r="890" spans="2:10" ht="15">
      <c r="B890" s="73"/>
      <c r="F890" s="71"/>
      <c r="G890" s="71"/>
      <c r="H890" s="71"/>
      <c r="I890" s="72"/>
      <c r="J890" s="65" t="s">
        <v>331</v>
      </c>
    </row>
    <row r="891" spans="2:10" ht="15">
      <c r="B891" s="73"/>
      <c r="F891" s="71"/>
      <c r="G891" s="71"/>
      <c r="H891" s="71"/>
      <c r="I891" s="72"/>
      <c r="J891" s="65" t="s">
        <v>331</v>
      </c>
    </row>
    <row r="892" spans="2:10" ht="15">
      <c r="B892" s="73"/>
      <c r="F892" s="71"/>
      <c r="G892" s="71"/>
      <c r="H892" s="71"/>
      <c r="I892" s="72"/>
      <c r="J892" s="65" t="s">
        <v>331</v>
      </c>
    </row>
    <row r="893" spans="2:10" ht="15">
      <c r="B893" s="73"/>
      <c r="F893" s="71"/>
      <c r="G893" s="71"/>
      <c r="H893" s="71"/>
      <c r="I893" s="72"/>
      <c r="J893" s="65" t="s">
        <v>331</v>
      </c>
    </row>
    <row r="894" spans="2:10" ht="15">
      <c r="B894" s="73"/>
      <c r="F894" s="71"/>
      <c r="G894" s="71"/>
      <c r="H894" s="71"/>
      <c r="I894" s="72"/>
      <c r="J894" s="65" t="s">
        <v>331</v>
      </c>
    </row>
    <row r="895" spans="2:10" ht="15">
      <c r="B895" s="73"/>
      <c r="F895" s="71"/>
      <c r="G895" s="71"/>
      <c r="H895" s="71"/>
      <c r="I895" s="72"/>
      <c r="J895" s="65" t="s">
        <v>331</v>
      </c>
    </row>
    <row r="896" spans="2:10" ht="15">
      <c r="B896" s="73"/>
      <c r="F896" s="71"/>
      <c r="G896" s="71"/>
      <c r="H896" s="71"/>
      <c r="I896" s="72"/>
      <c r="J896" s="65" t="s">
        <v>331</v>
      </c>
    </row>
    <row r="897" spans="2:10" ht="15">
      <c r="B897" s="73"/>
      <c r="F897" s="71"/>
      <c r="G897" s="71"/>
      <c r="H897" s="71"/>
      <c r="I897" s="72"/>
      <c r="J897" s="65" t="s">
        <v>331</v>
      </c>
    </row>
    <row r="898" spans="2:10" ht="15">
      <c r="B898" s="73"/>
      <c r="F898" s="71"/>
      <c r="G898" s="71"/>
      <c r="H898" s="71"/>
      <c r="I898" s="72"/>
      <c r="J898" s="65" t="s">
        <v>331</v>
      </c>
    </row>
    <row r="899" spans="2:10" ht="15">
      <c r="B899" s="73"/>
      <c r="F899" s="71"/>
      <c r="G899" s="71"/>
      <c r="H899" s="71"/>
      <c r="I899" s="72"/>
      <c r="J899" s="65" t="s">
        <v>331</v>
      </c>
    </row>
    <row r="900" spans="2:10" ht="15">
      <c r="B900" s="73"/>
      <c r="F900" s="71"/>
      <c r="G900" s="71"/>
      <c r="H900" s="71"/>
      <c r="I900" s="72"/>
      <c r="J900" s="65" t="s">
        <v>331</v>
      </c>
    </row>
    <row r="901" spans="2:10" ht="15">
      <c r="B901" s="73"/>
      <c r="F901" s="71"/>
      <c r="G901" s="71"/>
      <c r="H901" s="71"/>
      <c r="I901" s="72"/>
      <c r="J901" s="65" t="s">
        <v>331</v>
      </c>
    </row>
    <row r="902" spans="2:10" ht="15">
      <c r="B902" s="73"/>
      <c r="F902" s="71"/>
      <c r="G902" s="71"/>
      <c r="H902" s="71"/>
      <c r="I902" s="72"/>
      <c r="J902" s="65" t="s">
        <v>331</v>
      </c>
    </row>
    <row r="903" spans="2:10" ht="15">
      <c r="B903" s="73"/>
      <c r="F903" s="71"/>
      <c r="G903" s="71"/>
      <c r="H903" s="71"/>
      <c r="I903" s="72"/>
      <c r="J903" s="65" t="s">
        <v>331</v>
      </c>
    </row>
    <row r="904" spans="2:10" ht="15">
      <c r="B904" s="73"/>
      <c r="F904" s="71"/>
      <c r="G904" s="71"/>
      <c r="H904" s="71"/>
      <c r="I904" s="72"/>
      <c r="J904" s="65" t="s">
        <v>331</v>
      </c>
    </row>
    <row r="905" spans="2:10" ht="15">
      <c r="B905" s="73"/>
      <c r="F905" s="71"/>
      <c r="G905" s="71"/>
      <c r="H905" s="71"/>
      <c r="I905" s="72"/>
      <c r="J905" s="65" t="s">
        <v>331</v>
      </c>
    </row>
    <row r="906" spans="2:10" ht="15">
      <c r="B906" s="73"/>
      <c r="F906" s="71"/>
      <c r="G906" s="71"/>
      <c r="H906" s="71"/>
      <c r="I906" s="72"/>
      <c r="J906" s="65" t="s">
        <v>331</v>
      </c>
    </row>
    <row r="907" spans="2:10" ht="15">
      <c r="B907" s="73"/>
      <c r="F907" s="71"/>
      <c r="G907" s="71"/>
      <c r="H907" s="71"/>
      <c r="I907" s="72"/>
      <c r="J907" s="65" t="s">
        <v>331</v>
      </c>
    </row>
    <row r="908" spans="2:10" ht="15">
      <c r="B908" s="73"/>
      <c r="F908" s="71"/>
      <c r="G908" s="71"/>
      <c r="H908" s="71"/>
      <c r="I908" s="72"/>
      <c r="J908" s="65" t="s">
        <v>331</v>
      </c>
    </row>
    <row r="909" spans="2:10" ht="15">
      <c r="B909" s="73"/>
      <c r="F909" s="71"/>
      <c r="G909" s="71"/>
      <c r="H909" s="71"/>
      <c r="I909" s="72"/>
      <c r="J909" s="65" t="s">
        <v>331</v>
      </c>
    </row>
    <row r="910" spans="2:10" ht="15">
      <c r="B910" s="73"/>
      <c r="F910" s="71"/>
      <c r="G910" s="71"/>
      <c r="H910" s="71"/>
      <c r="I910" s="72"/>
      <c r="J910" s="65" t="s">
        <v>331</v>
      </c>
    </row>
    <row r="911" spans="2:10" ht="15">
      <c r="B911" s="73"/>
      <c r="F911" s="71"/>
      <c r="G911" s="71"/>
      <c r="H911" s="71"/>
      <c r="I911" s="72"/>
      <c r="J911" s="65" t="s">
        <v>331</v>
      </c>
    </row>
    <row r="912" spans="2:10" ht="15">
      <c r="B912" s="73"/>
      <c r="F912" s="71"/>
      <c r="G912" s="71"/>
      <c r="H912" s="71"/>
      <c r="I912" s="72"/>
      <c r="J912" s="65" t="s">
        <v>331</v>
      </c>
    </row>
    <row r="913" spans="2:10" ht="15">
      <c r="B913" s="73"/>
      <c r="F913" s="71"/>
      <c r="G913" s="71"/>
      <c r="H913" s="71"/>
      <c r="I913" s="72"/>
      <c r="J913" s="65" t="s">
        <v>331</v>
      </c>
    </row>
    <row r="914" spans="2:10" ht="15">
      <c r="B914" s="73"/>
      <c r="F914" s="71"/>
      <c r="G914" s="71"/>
      <c r="H914" s="71"/>
      <c r="I914" s="72"/>
      <c r="J914" s="65" t="s">
        <v>331</v>
      </c>
    </row>
    <row r="915" spans="2:10" ht="15">
      <c r="B915" s="73"/>
      <c r="F915" s="71"/>
      <c r="G915" s="71"/>
      <c r="H915" s="71"/>
      <c r="I915" s="72"/>
      <c r="J915" s="65" t="s">
        <v>331</v>
      </c>
    </row>
    <row r="916" spans="2:10" ht="15">
      <c r="B916" s="73"/>
      <c r="F916" s="71"/>
      <c r="G916" s="71"/>
      <c r="H916" s="71"/>
      <c r="I916" s="72"/>
      <c r="J916" s="65" t="s">
        <v>331</v>
      </c>
    </row>
    <row r="917" spans="2:10" ht="15">
      <c r="B917" s="73"/>
      <c r="F917" s="71"/>
      <c r="G917" s="71"/>
      <c r="H917" s="71"/>
      <c r="I917" s="72"/>
      <c r="J917" s="65" t="s">
        <v>331</v>
      </c>
    </row>
    <row r="918" spans="2:10" ht="15">
      <c r="B918" s="73"/>
      <c r="F918" s="71"/>
      <c r="G918" s="71"/>
      <c r="H918" s="71"/>
      <c r="I918" s="72"/>
      <c r="J918" s="65" t="s">
        <v>331</v>
      </c>
    </row>
    <row r="919" spans="2:10" ht="15">
      <c r="B919" s="73"/>
      <c r="F919" s="71"/>
      <c r="G919" s="71"/>
      <c r="H919" s="71"/>
      <c r="I919" s="72"/>
      <c r="J919" s="65" t="s">
        <v>331</v>
      </c>
    </row>
    <row r="920" spans="2:10" ht="15">
      <c r="B920" s="73"/>
      <c r="F920" s="71"/>
      <c r="G920" s="71"/>
      <c r="H920" s="71"/>
      <c r="I920" s="72"/>
      <c r="J920" s="65" t="s">
        <v>331</v>
      </c>
    </row>
    <row r="921" spans="2:10" ht="15">
      <c r="B921" s="73"/>
      <c r="F921" s="71"/>
      <c r="G921" s="71"/>
      <c r="H921" s="71"/>
      <c r="I921" s="72"/>
      <c r="J921" s="65" t="s">
        <v>331</v>
      </c>
    </row>
    <row r="922" spans="2:10" ht="15">
      <c r="B922" s="73"/>
      <c r="F922" s="71"/>
      <c r="G922" s="71"/>
      <c r="H922" s="71"/>
      <c r="I922" s="72"/>
      <c r="J922" s="65" t="s">
        <v>331</v>
      </c>
    </row>
    <row r="923" spans="2:10" ht="15">
      <c r="B923" s="73"/>
      <c r="F923" s="71"/>
      <c r="G923" s="71"/>
      <c r="H923" s="71"/>
      <c r="I923" s="72"/>
      <c r="J923" s="65" t="s">
        <v>331</v>
      </c>
    </row>
    <row r="924" spans="2:10" ht="15">
      <c r="B924" s="73"/>
      <c r="F924" s="71"/>
      <c r="G924" s="71"/>
      <c r="H924" s="71"/>
      <c r="I924" s="72"/>
      <c r="J924" s="65" t="s">
        <v>331</v>
      </c>
    </row>
    <row r="925" spans="2:10" ht="15">
      <c r="B925" s="73"/>
      <c r="F925" s="71"/>
      <c r="G925" s="71"/>
      <c r="H925" s="71"/>
      <c r="I925" s="72"/>
      <c r="J925" s="65" t="s">
        <v>331</v>
      </c>
    </row>
    <row r="926" spans="2:10" ht="15">
      <c r="B926" s="73"/>
      <c r="F926" s="71"/>
      <c r="G926" s="71"/>
      <c r="H926" s="71"/>
      <c r="I926" s="72"/>
      <c r="J926" s="65" t="s">
        <v>331</v>
      </c>
    </row>
    <row r="927" spans="2:10" ht="15">
      <c r="B927" s="73"/>
      <c r="F927" s="71"/>
      <c r="G927" s="71"/>
      <c r="H927" s="71"/>
      <c r="I927" s="72"/>
      <c r="J927" s="65" t="s">
        <v>331</v>
      </c>
    </row>
    <row r="928" spans="2:10" ht="15">
      <c r="B928" s="73"/>
      <c r="F928" s="71"/>
      <c r="G928" s="71"/>
      <c r="H928" s="71"/>
      <c r="I928" s="72"/>
      <c r="J928" s="65" t="s">
        <v>331</v>
      </c>
    </row>
    <row r="929" spans="2:10" ht="15">
      <c r="B929" s="73"/>
      <c r="F929" s="71"/>
      <c r="G929" s="71"/>
      <c r="H929" s="71"/>
      <c r="I929" s="72"/>
      <c r="J929" s="65" t="s">
        <v>331</v>
      </c>
    </row>
    <row r="930" spans="2:10" ht="15">
      <c r="B930" s="73"/>
      <c r="F930" s="71"/>
      <c r="G930" s="71"/>
      <c r="H930" s="71"/>
      <c r="I930" s="72"/>
      <c r="J930" s="65" t="s">
        <v>331</v>
      </c>
    </row>
    <row r="931" spans="2:10" ht="15">
      <c r="B931" s="73"/>
      <c r="F931" s="71"/>
      <c r="G931" s="71"/>
      <c r="H931" s="71"/>
      <c r="I931" s="72"/>
      <c r="J931" s="65" t="s">
        <v>331</v>
      </c>
    </row>
    <row r="932" spans="2:10" ht="15">
      <c r="B932" s="73"/>
      <c r="F932" s="71"/>
      <c r="G932" s="71"/>
      <c r="H932" s="71"/>
      <c r="I932" s="72"/>
      <c r="J932" s="65" t="s">
        <v>331</v>
      </c>
    </row>
    <row r="933" spans="2:10" ht="15">
      <c r="B933" s="73"/>
      <c r="F933" s="71"/>
      <c r="G933" s="71"/>
      <c r="H933" s="71"/>
      <c r="I933" s="72"/>
      <c r="J933" s="65" t="s">
        <v>331</v>
      </c>
    </row>
    <row r="934" spans="2:10" ht="15">
      <c r="B934" s="73"/>
      <c r="F934" s="71"/>
      <c r="G934" s="71"/>
      <c r="H934" s="71"/>
      <c r="I934" s="72"/>
      <c r="J934" s="65" t="s">
        <v>331</v>
      </c>
    </row>
    <row r="935" spans="2:10" ht="15">
      <c r="B935" s="73"/>
      <c r="F935" s="71"/>
      <c r="G935" s="71"/>
      <c r="H935" s="71"/>
      <c r="I935" s="72"/>
      <c r="J935" s="65" t="s">
        <v>331</v>
      </c>
    </row>
    <row r="936" spans="2:10" ht="15">
      <c r="B936" s="73"/>
      <c r="F936" s="71"/>
      <c r="G936" s="71"/>
      <c r="H936" s="71"/>
      <c r="I936" s="72"/>
      <c r="J936" s="65" t="s">
        <v>331</v>
      </c>
    </row>
    <row r="937" spans="2:10" ht="15.75">
      <c r="B937" s="74"/>
      <c r="C937" s="111"/>
      <c r="D937" s="111"/>
      <c r="E937" s="111"/>
      <c r="F937" s="75"/>
      <c r="G937" s="75"/>
      <c r="H937" s="75"/>
      <c r="I937" s="76"/>
      <c r="J937" s="65" t="s">
        <v>331</v>
      </c>
    </row>
    <row r="938" spans="2:10" ht="15.75">
      <c r="B938" s="74"/>
      <c r="C938" s="111"/>
      <c r="D938" s="111"/>
      <c r="E938" s="111"/>
      <c r="F938" s="75"/>
      <c r="G938" s="75"/>
      <c r="H938" s="75"/>
      <c r="I938" s="76"/>
      <c r="J938" s="65" t="s">
        <v>331</v>
      </c>
    </row>
    <row r="939" spans="2:10" ht="15.75">
      <c r="B939" s="74"/>
      <c r="C939" s="111"/>
      <c r="D939" s="111"/>
      <c r="E939" s="111"/>
      <c r="F939" s="75"/>
      <c r="G939" s="75"/>
      <c r="H939" s="75"/>
      <c r="I939" s="76"/>
      <c r="J939" s="65" t="s">
        <v>331</v>
      </c>
    </row>
    <row r="940" spans="2:10" ht="15.75">
      <c r="B940" s="74"/>
      <c r="C940" s="111"/>
      <c r="D940" s="111"/>
      <c r="E940" s="111"/>
      <c r="F940" s="75"/>
      <c r="G940" s="75"/>
      <c r="H940" s="75"/>
      <c r="I940" s="76"/>
      <c r="J940" s="65" t="s">
        <v>331</v>
      </c>
    </row>
    <row r="941" spans="2:10" ht="15.75">
      <c r="B941" s="74"/>
      <c r="C941" s="111"/>
      <c r="D941" s="111"/>
      <c r="E941" s="111"/>
      <c r="F941" s="75"/>
      <c r="G941" s="75"/>
      <c r="H941" s="75"/>
      <c r="I941" s="76"/>
      <c r="J941" s="65" t="s">
        <v>331</v>
      </c>
    </row>
    <row r="942" spans="2:10" ht="15.75">
      <c r="B942" s="74"/>
      <c r="C942" s="111"/>
      <c r="D942" s="111"/>
      <c r="E942" s="111"/>
      <c r="F942" s="75"/>
      <c r="G942" s="75"/>
      <c r="H942" s="75"/>
      <c r="I942" s="76"/>
      <c r="J942" s="65" t="s">
        <v>331</v>
      </c>
    </row>
    <row r="943" spans="2:10" ht="15.75">
      <c r="B943" s="74"/>
      <c r="C943" s="111"/>
      <c r="D943" s="111"/>
      <c r="E943" s="111"/>
      <c r="F943" s="75"/>
      <c r="G943" s="75"/>
      <c r="H943" s="75"/>
      <c r="I943" s="76"/>
      <c r="J943" s="65" t="s">
        <v>331</v>
      </c>
    </row>
    <row r="944" spans="2:10" ht="15.75">
      <c r="B944" s="74"/>
      <c r="C944" s="111"/>
      <c r="D944" s="111"/>
      <c r="E944" s="111"/>
      <c r="F944" s="75"/>
      <c r="G944" s="75"/>
      <c r="H944" s="75"/>
      <c r="I944" s="76"/>
      <c r="J944" s="65" t="s">
        <v>331</v>
      </c>
    </row>
    <row r="945" spans="2:10" ht="15.75">
      <c r="B945" s="74"/>
      <c r="C945" s="111"/>
      <c r="D945" s="111"/>
      <c r="E945" s="111"/>
      <c r="F945" s="75"/>
      <c r="G945" s="75"/>
      <c r="H945" s="75"/>
      <c r="I945" s="76"/>
      <c r="J945" s="65" t="s">
        <v>331</v>
      </c>
    </row>
    <row r="946" spans="2:10" ht="15.75">
      <c r="B946" s="74"/>
      <c r="C946" s="111"/>
      <c r="D946" s="111"/>
      <c r="E946" s="111"/>
      <c r="F946" s="75"/>
      <c r="G946" s="75"/>
      <c r="H946" s="75"/>
      <c r="I946" s="76"/>
      <c r="J946" s="65" t="s">
        <v>331</v>
      </c>
    </row>
    <row r="947" spans="2:10" ht="15.75">
      <c r="B947" s="74"/>
      <c r="C947" s="111"/>
      <c r="D947" s="111"/>
      <c r="E947" s="111"/>
      <c r="F947" s="75"/>
      <c r="G947" s="75"/>
      <c r="H947" s="75"/>
      <c r="I947" s="76"/>
      <c r="J947" s="65" t="s">
        <v>331</v>
      </c>
    </row>
    <row r="948" spans="2:10" ht="15.75">
      <c r="B948" s="74"/>
      <c r="C948" s="111"/>
      <c r="D948" s="111"/>
      <c r="E948" s="111"/>
      <c r="F948" s="75"/>
      <c r="G948" s="75"/>
      <c r="H948" s="75"/>
      <c r="I948" s="76"/>
      <c r="J948" s="65" t="s">
        <v>331</v>
      </c>
    </row>
    <row r="949" spans="2:10" ht="15.75">
      <c r="B949" s="74"/>
      <c r="C949" s="111"/>
      <c r="D949" s="111"/>
      <c r="E949" s="111"/>
      <c r="F949" s="75"/>
      <c r="G949" s="75"/>
      <c r="H949" s="75"/>
      <c r="I949" s="76"/>
      <c r="J949" s="65" t="s">
        <v>331</v>
      </c>
    </row>
    <row r="950" spans="2:10" ht="15.75">
      <c r="B950" s="74"/>
      <c r="C950" s="111"/>
      <c r="D950" s="111"/>
      <c r="E950" s="111"/>
      <c r="F950" s="75"/>
      <c r="G950" s="75"/>
      <c r="H950" s="75"/>
      <c r="I950" s="76"/>
      <c r="J950" s="65" t="s">
        <v>331</v>
      </c>
    </row>
    <row r="951" spans="2:10" ht="15.75">
      <c r="B951" s="74"/>
      <c r="C951" s="111"/>
      <c r="D951" s="111"/>
      <c r="E951" s="111"/>
      <c r="F951" s="75"/>
      <c r="G951" s="75"/>
      <c r="H951" s="75"/>
      <c r="I951" s="76"/>
      <c r="J951" s="65" t="s">
        <v>331</v>
      </c>
    </row>
    <row r="952" spans="2:10" ht="15.75">
      <c r="B952" s="74"/>
      <c r="C952" s="111"/>
      <c r="D952" s="111"/>
      <c r="E952" s="111"/>
      <c r="F952" s="75"/>
      <c r="G952" s="75"/>
      <c r="H952" s="75"/>
      <c r="I952" s="76"/>
      <c r="J952" s="65" t="s">
        <v>331</v>
      </c>
    </row>
    <row r="953" spans="2:10" ht="15.75">
      <c r="B953" s="74"/>
      <c r="C953" s="111"/>
      <c r="D953" s="111"/>
      <c r="E953" s="111"/>
      <c r="F953" s="75"/>
      <c r="G953" s="75"/>
      <c r="H953" s="75"/>
      <c r="I953" s="76"/>
      <c r="J953" s="65" t="s">
        <v>331</v>
      </c>
    </row>
    <row r="954" spans="2:10" ht="15.75">
      <c r="B954" s="74"/>
      <c r="C954" s="111"/>
      <c r="D954" s="111"/>
      <c r="E954" s="111"/>
      <c r="F954" s="75"/>
      <c r="G954" s="75"/>
      <c r="H954" s="75"/>
      <c r="I954" s="76"/>
      <c r="J954" s="65" t="s">
        <v>331</v>
      </c>
    </row>
    <row r="955" spans="2:10" ht="15.75">
      <c r="B955" s="74"/>
      <c r="C955" s="111"/>
      <c r="D955" s="111"/>
      <c r="E955" s="111"/>
      <c r="F955" s="75"/>
      <c r="G955" s="75"/>
      <c r="H955" s="75"/>
      <c r="I955" s="76"/>
      <c r="J955" s="65" t="s">
        <v>331</v>
      </c>
    </row>
    <row r="956" spans="2:10" ht="15.75">
      <c r="B956" s="74"/>
      <c r="C956" s="111"/>
      <c r="D956" s="111"/>
      <c r="E956" s="111"/>
      <c r="F956" s="75"/>
      <c r="G956" s="75"/>
      <c r="H956" s="75"/>
      <c r="I956" s="76"/>
      <c r="J956" s="65" t="s">
        <v>331</v>
      </c>
    </row>
    <row r="957" spans="2:10" ht="15.75">
      <c r="B957" s="74"/>
      <c r="C957" s="111"/>
      <c r="D957" s="111"/>
      <c r="E957" s="111"/>
      <c r="F957" s="75"/>
      <c r="G957" s="75"/>
      <c r="H957" s="75"/>
      <c r="I957" s="76"/>
      <c r="J957" s="65" t="s">
        <v>331</v>
      </c>
    </row>
    <row r="958" spans="2:10" ht="15.75">
      <c r="B958" s="74"/>
      <c r="C958" s="111"/>
      <c r="D958" s="111"/>
      <c r="E958" s="111"/>
      <c r="F958" s="75"/>
      <c r="G958" s="75"/>
      <c r="H958" s="75"/>
      <c r="I958" s="76"/>
      <c r="J958" s="65" t="s">
        <v>331</v>
      </c>
    </row>
    <row r="959" spans="2:10" ht="15.75">
      <c r="B959" s="74"/>
      <c r="C959" s="111"/>
      <c r="D959" s="111"/>
      <c r="E959" s="111"/>
      <c r="F959" s="75"/>
      <c r="G959" s="75"/>
      <c r="H959" s="75"/>
      <c r="I959" s="76"/>
      <c r="J959" s="65" t="s">
        <v>331</v>
      </c>
    </row>
    <row r="960" spans="2:10" ht="15.75">
      <c r="B960" s="74"/>
      <c r="C960" s="111"/>
      <c r="D960" s="111"/>
      <c r="E960" s="111"/>
      <c r="F960" s="75"/>
      <c r="G960" s="75"/>
      <c r="H960" s="75"/>
      <c r="I960" s="76"/>
      <c r="J960" s="65" t="s">
        <v>331</v>
      </c>
    </row>
    <row r="961" spans="2:10" ht="15.75">
      <c r="B961" s="74"/>
      <c r="C961" s="111"/>
      <c r="D961" s="111"/>
      <c r="E961" s="111"/>
      <c r="F961" s="75"/>
      <c r="G961" s="75"/>
      <c r="H961" s="75"/>
      <c r="I961" s="76"/>
      <c r="J961" s="65" t="s">
        <v>331</v>
      </c>
    </row>
    <row r="962" spans="2:10" ht="15.75">
      <c r="B962" s="74"/>
      <c r="C962" s="111"/>
      <c r="D962" s="111"/>
      <c r="E962" s="111"/>
      <c r="F962" s="75"/>
      <c r="G962" s="75"/>
      <c r="H962" s="75"/>
      <c r="I962" s="76"/>
      <c r="J962" s="65" t="s">
        <v>331</v>
      </c>
    </row>
    <row r="963" spans="2:10" ht="15.75">
      <c r="B963" s="74"/>
      <c r="C963" s="111"/>
      <c r="D963" s="111"/>
      <c r="E963" s="111"/>
      <c r="F963" s="75"/>
      <c r="G963" s="75"/>
      <c r="H963" s="75"/>
      <c r="I963" s="76"/>
      <c r="J963" s="65" t="s">
        <v>331</v>
      </c>
    </row>
    <row r="964" spans="2:10" ht="15.75">
      <c r="B964" s="74"/>
      <c r="C964" s="111"/>
      <c r="D964" s="111"/>
      <c r="E964" s="111"/>
      <c r="F964" s="75"/>
      <c r="G964" s="75"/>
      <c r="H964" s="75"/>
      <c r="I964" s="76"/>
      <c r="J964" s="65" t="s">
        <v>331</v>
      </c>
    </row>
    <row r="965" spans="2:10" ht="15.75">
      <c r="B965" s="74"/>
      <c r="C965" s="111"/>
      <c r="D965" s="111"/>
      <c r="E965" s="111"/>
      <c r="F965" s="75"/>
      <c r="G965" s="75"/>
      <c r="H965" s="75"/>
      <c r="I965" s="76"/>
      <c r="J965" s="65" t="s">
        <v>331</v>
      </c>
    </row>
    <row r="966" spans="2:10" ht="15.75">
      <c r="B966" s="74"/>
      <c r="C966" s="111"/>
      <c r="D966" s="111"/>
      <c r="E966" s="111"/>
      <c r="F966" s="75"/>
      <c r="G966" s="75"/>
      <c r="H966" s="75"/>
      <c r="I966" s="76"/>
      <c r="J966" s="65" t="s">
        <v>331</v>
      </c>
    </row>
    <row r="967" spans="2:10" ht="15.75">
      <c r="B967" s="74"/>
      <c r="C967" s="111"/>
      <c r="D967" s="111"/>
      <c r="E967" s="111"/>
      <c r="F967" s="75"/>
      <c r="G967" s="75"/>
      <c r="H967" s="75"/>
      <c r="I967" s="76"/>
      <c r="J967" s="65" t="s">
        <v>331</v>
      </c>
    </row>
    <row r="968" spans="2:10" ht="15.75">
      <c r="B968" s="74"/>
      <c r="C968" s="111"/>
      <c r="D968" s="111"/>
      <c r="E968" s="111"/>
      <c r="F968" s="75"/>
      <c r="G968" s="75"/>
      <c r="H968" s="75"/>
      <c r="I968" s="76"/>
      <c r="J968" s="65" t="s">
        <v>331</v>
      </c>
    </row>
    <row r="969" spans="2:10" ht="15.75">
      <c r="B969" s="74"/>
      <c r="C969" s="111"/>
      <c r="D969" s="111"/>
      <c r="E969" s="111"/>
      <c r="F969" s="75"/>
      <c r="G969" s="75"/>
      <c r="H969" s="75"/>
      <c r="I969" s="76"/>
      <c r="J969" s="65" t="s">
        <v>331</v>
      </c>
    </row>
    <row r="970" spans="2:10" ht="15.75">
      <c r="B970" s="74"/>
      <c r="C970" s="111"/>
      <c r="D970" s="111"/>
      <c r="E970" s="111"/>
      <c r="F970" s="75"/>
      <c r="G970" s="75"/>
      <c r="H970" s="75"/>
      <c r="I970" s="76"/>
      <c r="J970" s="65" t="s">
        <v>331</v>
      </c>
    </row>
    <row r="971" spans="2:10" ht="15.75">
      <c r="B971" s="74"/>
      <c r="C971" s="111"/>
      <c r="D971" s="111"/>
      <c r="E971" s="111"/>
      <c r="F971" s="75"/>
      <c r="G971" s="75"/>
      <c r="H971" s="75"/>
      <c r="I971" s="76"/>
      <c r="J971" s="65" t="s">
        <v>331</v>
      </c>
    </row>
    <row r="972" spans="2:10" ht="15.75">
      <c r="B972" s="74"/>
      <c r="C972" s="111"/>
      <c r="D972" s="111"/>
      <c r="E972" s="111"/>
      <c r="F972" s="75"/>
      <c r="G972" s="75"/>
      <c r="H972" s="75"/>
      <c r="I972" s="76"/>
      <c r="J972" s="65" t="s">
        <v>331</v>
      </c>
    </row>
    <row r="973" spans="2:10" ht="15.75">
      <c r="B973" s="74"/>
      <c r="C973" s="111"/>
      <c r="D973" s="111"/>
      <c r="E973" s="111"/>
      <c r="F973" s="75"/>
      <c r="G973" s="75"/>
      <c r="H973" s="75"/>
      <c r="I973" s="76"/>
      <c r="J973" s="65" t="s">
        <v>331</v>
      </c>
    </row>
    <row r="974" spans="2:10" ht="15.75">
      <c r="B974" s="74"/>
      <c r="C974" s="111"/>
      <c r="D974" s="111"/>
      <c r="E974" s="111"/>
      <c r="F974" s="75"/>
      <c r="G974" s="75"/>
      <c r="H974" s="75"/>
      <c r="I974" s="76"/>
      <c r="J974" s="65" t="s">
        <v>331</v>
      </c>
    </row>
    <row r="975" spans="2:10" ht="15.75">
      <c r="B975" s="74"/>
      <c r="C975" s="111"/>
      <c r="D975" s="111"/>
      <c r="E975" s="111"/>
      <c r="F975" s="75"/>
      <c r="G975" s="75"/>
      <c r="H975" s="75"/>
      <c r="I975" s="76"/>
      <c r="J975" s="65" t="s">
        <v>331</v>
      </c>
    </row>
    <row r="976" spans="2:10" ht="15.75">
      <c r="B976" s="74"/>
      <c r="C976" s="111"/>
      <c r="D976" s="111"/>
      <c r="E976" s="111"/>
      <c r="F976" s="75"/>
      <c r="G976" s="75"/>
      <c r="H976" s="75"/>
      <c r="I976" s="76"/>
      <c r="J976" s="65" t="s">
        <v>331</v>
      </c>
    </row>
    <row r="977" spans="2:10" ht="15.75">
      <c r="B977" s="74"/>
      <c r="C977" s="111"/>
      <c r="D977" s="111"/>
      <c r="E977" s="111"/>
      <c r="F977" s="75"/>
      <c r="G977" s="75"/>
      <c r="H977" s="75"/>
      <c r="I977" s="76"/>
      <c r="J977" s="65" t="s">
        <v>331</v>
      </c>
    </row>
    <row r="978" spans="2:10" ht="15.75">
      <c r="B978" s="74"/>
      <c r="C978" s="111"/>
      <c r="D978" s="111"/>
      <c r="E978" s="111"/>
      <c r="F978" s="75"/>
      <c r="G978" s="75"/>
      <c r="H978" s="75"/>
      <c r="I978" s="76"/>
      <c r="J978" s="65" t="s">
        <v>331</v>
      </c>
    </row>
    <row r="979" spans="2:10" ht="15.75">
      <c r="B979" s="74"/>
      <c r="C979" s="111"/>
      <c r="D979" s="111"/>
      <c r="E979" s="111"/>
      <c r="F979" s="75"/>
      <c r="G979" s="75"/>
      <c r="H979" s="75"/>
      <c r="I979" s="76"/>
      <c r="J979" s="65" t="s">
        <v>331</v>
      </c>
    </row>
    <row r="980" spans="2:10" ht="15.75">
      <c r="B980" s="74"/>
      <c r="C980" s="111"/>
      <c r="D980" s="111"/>
      <c r="E980" s="111"/>
      <c r="F980" s="75"/>
      <c r="G980" s="75"/>
      <c r="H980" s="75"/>
      <c r="I980" s="76"/>
      <c r="J980" s="65" t="s">
        <v>331</v>
      </c>
    </row>
    <row r="981" spans="2:10" ht="15.75">
      <c r="B981" s="74"/>
      <c r="C981" s="111"/>
      <c r="D981" s="111"/>
      <c r="E981" s="111"/>
      <c r="F981" s="75"/>
      <c r="G981" s="75"/>
      <c r="H981" s="75"/>
      <c r="I981" s="76"/>
      <c r="J981" s="65" t="s">
        <v>331</v>
      </c>
    </row>
    <row r="982" spans="2:10" ht="15.75">
      <c r="B982" s="74"/>
      <c r="C982" s="111"/>
      <c r="D982" s="111"/>
      <c r="E982" s="111"/>
      <c r="F982" s="75"/>
      <c r="G982" s="75"/>
      <c r="H982" s="75"/>
      <c r="I982" s="76"/>
      <c r="J982" s="65" t="s">
        <v>331</v>
      </c>
    </row>
    <row r="983" spans="2:10" ht="15.75">
      <c r="B983" s="74"/>
      <c r="C983" s="111"/>
      <c r="D983" s="111"/>
      <c r="E983" s="111"/>
      <c r="F983" s="75"/>
      <c r="G983" s="75"/>
      <c r="H983" s="75"/>
      <c r="I983" s="76"/>
      <c r="J983" s="65" t="s">
        <v>331</v>
      </c>
    </row>
    <row r="984" spans="2:10" ht="15.75">
      <c r="B984" s="74"/>
      <c r="C984" s="111"/>
      <c r="D984" s="111"/>
      <c r="E984" s="111"/>
      <c r="F984" s="75"/>
      <c r="G984" s="75"/>
      <c r="H984" s="75"/>
      <c r="I984" s="76"/>
      <c r="J984" s="65" t="s">
        <v>331</v>
      </c>
    </row>
    <row r="985" spans="2:10" ht="15.75">
      <c r="B985" s="74"/>
      <c r="C985" s="111"/>
      <c r="D985" s="111"/>
      <c r="E985" s="111"/>
      <c r="F985" s="75"/>
      <c r="G985" s="75"/>
      <c r="H985" s="75"/>
      <c r="I985" s="76"/>
      <c r="J985" s="65" t="s">
        <v>331</v>
      </c>
    </row>
    <row r="986" spans="2:10" ht="15.75">
      <c r="B986" s="74"/>
      <c r="C986" s="111"/>
      <c r="D986" s="111"/>
      <c r="E986" s="111"/>
      <c r="F986" s="75"/>
      <c r="G986" s="75"/>
      <c r="H986" s="75"/>
      <c r="I986" s="76"/>
      <c r="J986" s="65" t="s">
        <v>331</v>
      </c>
    </row>
    <row r="987" spans="2:10" ht="15.75">
      <c r="B987" s="74"/>
      <c r="C987" s="111"/>
      <c r="D987" s="111"/>
      <c r="E987" s="111"/>
      <c r="F987" s="75"/>
      <c r="G987" s="75"/>
      <c r="H987" s="75"/>
      <c r="I987" s="76"/>
      <c r="J987" s="65" t="s">
        <v>331</v>
      </c>
    </row>
    <row r="988" spans="2:10" ht="15.75">
      <c r="B988" s="74"/>
      <c r="C988" s="111"/>
      <c r="D988" s="111"/>
      <c r="E988" s="111"/>
      <c r="F988" s="75"/>
      <c r="G988" s="75"/>
      <c r="H988" s="75"/>
      <c r="I988" s="76"/>
      <c r="J988" s="65" t="s">
        <v>331</v>
      </c>
    </row>
    <row r="989" spans="2:10" ht="15.75">
      <c r="B989" s="74"/>
      <c r="C989" s="111"/>
      <c r="D989" s="111"/>
      <c r="E989" s="111"/>
      <c r="F989" s="75"/>
      <c r="G989" s="75"/>
      <c r="H989" s="75"/>
      <c r="I989" s="76"/>
      <c r="J989" s="65" t="s">
        <v>331</v>
      </c>
    </row>
    <row r="990" spans="2:10" ht="15.75">
      <c r="B990" s="74"/>
      <c r="C990" s="111"/>
      <c r="D990" s="111"/>
      <c r="E990" s="111"/>
      <c r="F990" s="75"/>
      <c r="G990" s="75"/>
      <c r="H990" s="75"/>
      <c r="I990" s="76"/>
      <c r="J990" s="65" t="s">
        <v>331</v>
      </c>
    </row>
    <row r="991" spans="2:10" ht="15.75">
      <c r="B991" s="74"/>
      <c r="C991" s="111"/>
      <c r="D991" s="111"/>
      <c r="E991" s="111"/>
      <c r="F991" s="75"/>
      <c r="G991" s="75"/>
      <c r="H991" s="75"/>
      <c r="I991" s="76"/>
      <c r="J991" s="65" t="s">
        <v>331</v>
      </c>
    </row>
    <row r="992" spans="2:10" ht="15.75">
      <c r="B992" s="74"/>
      <c r="C992" s="111"/>
      <c r="D992" s="111"/>
      <c r="E992" s="111"/>
      <c r="F992" s="75"/>
      <c r="G992" s="75"/>
      <c r="H992" s="75"/>
      <c r="I992" s="76"/>
      <c r="J992" s="65" t="s">
        <v>331</v>
      </c>
    </row>
    <row r="993" spans="2:10" ht="15.75">
      <c r="B993" s="74"/>
      <c r="C993" s="111"/>
      <c r="D993" s="111"/>
      <c r="E993" s="111"/>
      <c r="F993" s="75"/>
      <c r="G993" s="75"/>
      <c r="H993" s="75"/>
      <c r="I993" s="76"/>
      <c r="J993" s="65" t="s">
        <v>331</v>
      </c>
    </row>
    <row r="994" spans="2:10" ht="15.75">
      <c r="B994" s="74"/>
      <c r="C994" s="111"/>
      <c r="D994" s="111"/>
      <c r="E994" s="111"/>
      <c r="F994" s="75"/>
      <c r="G994" s="75"/>
      <c r="H994" s="75"/>
      <c r="I994" s="76"/>
      <c r="J994" s="65" t="s">
        <v>331</v>
      </c>
    </row>
    <row r="995" spans="2:10" ht="15.75">
      <c r="B995" s="74"/>
      <c r="C995" s="111"/>
      <c r="D995" s="111"/>
      <c r="E995" s="111"/>
      <c r="F995" s="75"/>
      <c r="G995" s="75"/>
      <c r="H995" s="75"/>
      <c r="I995" s="76"/>
      <c r="J995" s="65" t="s">
        <v>331</v>
      </c>
    </row>
    <row r="996" spans="2:10" ht="15.75">
      <c r="B996" s="74"/>
      <c r="C996" s="111"/>
      <c r="D996" s="111"/>
      <c r="E996" s="111"/>
      <c r="F996" s="75"/>
      <c r="G996" s="75"/>
      <c r="H996" s="75"/>
      <c r="I996" s="76"/>
      <c r="J996" s="65" t="s">
        <v>331</v>
      </c>
    </row>
    <row r="997" spans="2:10" ht="15.75">
      <c r="B997" s="74"/>
      <c r="C997" s="111"/>
      <c r="D997" s="111"/>
      <c r="E997" s="111"/>
      <c r="F997" s="75"/>
      <c r="G997" s="75"/>
      <c r="H997" s="75"/>
      <c r="I997" s="76"/>
      <c r="J997" s="65" t="s">
        <v>331</v>
      </c>
    </row>
    <row r="998" spans="2:10" ht="15.75">
      <c r="B998" s="74"/>
      <c r="C998" s="111"/>
      <c r="D998" s="111"/>
      <c r="E998" s="111"/>
      <c r="F998" s="75"/>
      <c r="G998" s="75"/>
      <c r="H998" s="75"/>
      <c r="I998" s="76"/>
      <c r="J998" s="65" t="s">
        <v>331</v>
      </c>
    </row>
    <row r="999" spans="2:10" ht="15.75">
      <c r="B999" s="74"/>
      <c r="C999" s="111"/>
      <c r="D999" s="111"/>
      <c r="E999" s="111"/>
      <c r="F999" s="75"/>
      <c r="G999" s="75"/>
      <c r="H999" s="75"/>
      <c r="I999" s="76"/>
      <c r="J999" s="65" t="s">
        <v>331</v>
      </c>
    </row>
    <row r="1000" spans="2:10" ht="15.75">
      <c r="B1000" s="74"/>
      <c r="C1000" s="111"/>
      <c r="D1000" s="111"/>
      <c r="E1000" s="111"/>
      <c r="F1000" s="75"/>
      <c r="G1000" s="75"/>
      <c r="H1000" s="75"/>
      <c r="I1000" s="76"/>
      <c r="J1000" s="65" t="s">
        <v>331</v>
      </c>
    </row>
    <row r="1001" spans="2:10" ht="15.75">
      <c r="B1001" s="74"/>
      <c r="C1001" s="111"/>
      <c r="D1001" s="111"/>
      <c r="E1001" s="111"/>
      <c r="F1001" s="75"/>
      <c r="G1001" s="75"/>
      <c r="H1001" s="75"/>
      <c r="I1001" s="76"/>
      <c r="J1001" s="65" t="s">
        <v>331</v>
      </c>
    </row>
    <row r="1002" spans="2:10" ht="15.75">
      <c r="B1002" s="74"/>
      <c r="C1002" s="111"/>
      <c r="D1002" s="111"/>
      <c r="E1002" s="111"/>
      <c r="F1002" s="75"/>
      <c r="G1002" s="75"/>
      <c r="H1002" s="75"/>
      <c r="I1002" s="76"/>
      <c r="J1002" s="65" t="s">
        <v>331</v>
      </c>
    </row>
    <row r="1003" spans="2:10" ht="15.75">
      <c r="B1003" s="74"/>
      <c r="C1003" s="111"/>
      <c r="D1003" s="111"/>
      <c r="E1003" s="111"/>
      <c r="F1003" s="75"/>
      <c r="G1003" s="75"/>
      <c r="H1003" s="75"/>
      <c r="I1003" s="76"/>
      <c r="J1003" s="65" t="s">
        <v>331</v>
      </c>
    </row>
    <row r="1004" spans="2:10" ht="15.75">
      <c r="B1004" s="74"/>
      <c r="C1004" s="111"/>
      <c r="D1004" s="111"/>
      <c r="E1004" s="111"/>
      <c r="F1004" s="75"/>
      <c r="G1004" s="75"/>
      <c r="H1004" s="75"/>
      <c r="I1004" s="76"/>
      <c r="J1004" s="65" t="s">
        <v>331</v>
      </c>
    </row>
    <row r="1005" spans="2:10" ht="15.75">
      <c r="B1005" s="74"/>
      <c r="C1005" s="111"/>
      <c r="D1005" s="111"/>
      <c r="E1005" s="111"/>
      <c r="F1005" s="75"/>
      <c r="G1005" s="75"/>
      <c r="H1005" s="75"/>
      <c r="I1005" s="76"/>
      <c r="J1005" s="65" t="s">
        <v>331</v>
      </c>
    </row>
    <row r="1006" spans="2:10" ht="15.75">
      <c r="B1006" s="74"/>
      <c r="C1006" s="111"/>
      <c r="D1006" s="111"/>
      <c r="E1006" s="111"/>
      <c r="F1006" s="75"/>
      <c r="G1006" s="75"/>
      <c r="H1006" s="75"/>
      <c r="I1006" s="76"/>
      <c r="J1006" s="65" t="s">
        <v>331</v>
      </c>
    </row>
    <row r="1007" spans="2:10" ht="15.75">
      <c r="B1007" s="74"/>
      <c r="C1007" s="111"/>
      <c r="D1007" s="111"/>
      <c r="E1007" s="111"/>
      <c r="F1007" s="75"/>
      <c r="G1007" s="75"/>
      <c r="H1007" s="75"/>
      <c r="I1007" s="76"/>
      <c r="J1007" s="65" t="s">
        <v>331</v>
      </c>
    </row>
    <row r="1008" spans="2:10" ht="15.75">
      <c r="B1008" s="74"/>
      <c r="C1008" s="111"/>
      <c r="D1008" s="111"/>
      <c r="E1008" s="111"/>
      <c r="F1008" s="75"/>
      <c r="G1008" s="75"/>
      <c r="H1008" s="75"/>
      <c r="I1008" s="76"/>
      <c r="J1008" s="65" t="s">
        <v>331</v>
      </c>
    </row>
    <row r="1009" spans="2:10" ht="15.75">
      <c r="B1009" s="74"/>
      <c r="C1009" s="111"/>
      <c r="D1009" s="111"/>
      <c r="E1009" s="111"/>
      <c r="F1009" s="75"/>
      <c r="G1009" s="75"/>
      <c r="H1009" s="75"/>
      <c r="I1009" s="76"/>
      <c r="J1009" s="65" t="s">
        <v>331</v>
      </c>
    </row>
    <row r="1010" spans="2:10" ht="15.75">
      <c r="B1010" s="74"/>
      <c r="C1010" s="111"/>
      <c r="D1010" s="111"/>
      <c r="E1010" s="111"/>
      <c r="F1010" s="75"/>
      <c r="G1010" s="75"/>
      <c r="H1010" s="75"/>
      <c r="I1010" s="76"/>
      <c r="J1010" s="65" t="s">
        <v>331</v>
      </c>
    </row>
    <row r="1011" spans="2:10" ht="15.75">
      <c r="B1011" s="74"/>
      <c r="C1011" s="111"/>
      <c r="D1011" s="111"/>
      <c r="E1011" s="111"/>
      <c r="F1011" s="75"/>
      <c r="G1011" s="75"/>
      <c r="H1011" s="75"/>
      <c r="I1011" s="76"/>
      <c r="J1011" s="65" t="s">
        <v>331</v>
      </c>
    </row>
    <row r="1012" spans="2:10" ht="15.75">
      <c r="B1012" s="74"/>
      <c r="C1012" s="111"/>
      <c r="D1012" s="111"/>
      <c r="E1012" s="111"/>
      <c r="F1012" s="75"/>
      <c r="G1012" s="75"/>
      <c r="H1012" s="75"/>
      <c r="I1012" s="76"/>
      <c r="J1012" s="65" t="s">
        <v>331</v>
      </c>
    </row>
    <row r="1013" spans="2:10" ht="15.75">
      <c r="B1013" s="74"/>
      <c r="C1013" s="111"/>
      <c r="D1013" s="111"/>
      <c r="E1013" s="111"/>
      <c r="F1013" s="75"/>
      <c r="G1013" s="75"/>
      <c r="H1013" s="75"/>
      <c r="I1013" s="76"/>
      <c r="J1013" s="65" t="s">
        <v>331</v>
      </c>
    </row>
    <row r="1014" spans="2:10" ht="15.75">
      <c r="B1014" s="74"/>
      <c r="C1014" s="111"/>
      <c r="D1014" s="111"/>
      <c r="E1014" s="111"/>
      <c r="F1014" s="75"/>
      <c r="G1014" s="75"/>
      <c r="H1014" s="75"/>
      <c r="I1014" s="76"/>
      <c r="J1014" s="65" t="s">
        <v>331</v>
      </c>
    </row>
    <row r="1015" spans="2:10" ht="15.75">
      <c r="B1015" s="74"/>
      <c r="C1015" s="111"/>
      <c r="D1015" s="111"/>
      <c r="E1015" s="111"/>
      <c r="F1015" s="75"/>
      <c r="G1015" s="75"/>
      <c r="H1015" s="75"/>
      <c r="I1015" s="76"/>
      <c r="J1015" s="65" t="s">
        <v>331</v>
      </c>
    </row>
    <row r="1016" spans="2:10" ht="15.75">
      <c r="B1016" s="74"/>
      <c r="C1016" s="111"/>
      <c r="D1016" s="111"/>
      <c r="E1016" s="111"/>
      <c r="F1016" s="75"/>
      <c r="G1016" s="75"/>
      <c r="H1016" s="75"/>
      <c r="I1016" s="76"/>
      <c r="J1016" s="65" t="s">
        <v>331</v>
      </c>
    </row>
    <row r="1017" spans="2:10" ht="15.75">
      <c r="B1017" s="74"/>
      <c r="C1017" s="111"/>
      <c r="D1017" s="111"/>
      <c r="E1017" s="111"/>
      <c r="F1017" s="75"/>
      <c r="G1017" s="75"/>
      <c r="H1017" s="75"/>
      <c r="I1017" s="76"/>
      <c r="J1017" s="65" t="s">
        <v>331</v>
      </c>
    </row>
    <row r="1018" spans="2:10" ht="15.75">
      <c r="B1018" s="74"/>
      <c r="C1018" s="111"/>
      <c r="D1018" s="111"/>
      <c r="E1018" s="111"/>
      <c r="F1018" s="75"/>
      <c r="G1018" s="75"/>
      <c r="H1018" s="75"/>
      <c r="I1018" s="76"/>
      <c r="J1018" s="65" t="s">
        <v>331</v>
      </c>
    </row>
    <row r="1019" spans="2:10" ht="15.75">
      <c r="B1019" s="74"/>
      <c r="C1019" s="111"/>
      <c r="D1019" s="111"/>
      <c r="E1019" s="111"/>
      <c r="F1019" s="75"/>
      <c r="G1019" s="75"/>
      <c r="H1019" s="75"/>
      <c r="I1019" s="76"/>
      <c r="J1019" s="65" t="s">
        <v>331</v>
      </c>
    </row>
    <row r="1020" spans="2:10" ht="15.75">
      <c r="B1020" s="74"/>
      <c r="C1020" s="111"/>
      <c r="D1020" s="111"/>
      <c r="E1020" s="111"/>
      <c r="F1020" s="75"/>
      <c r="G1020" s="75"/>
      <c r="H1020" s="75"/>
      <c r="I1020" s="76"/>
    </row>
    <row r="1021" spans="2:10" ht="15.75">
      <c r="B1021" s="74"/>
      <c r="C1021" s="111"/>
      <c r="D1021" s="111"/>
      <c r="E1021" s="111"/>
      <c r="F1021" s="75"/>
      <c r="G1021" s="75"/>
      <c r="H1021" s="75"/>
      <c r="I1021" s="76"/>
    </row>
    <row r="1022" spans="2:10" ht="15.75">
      <c r="B1022" s="74"/>
      <c r="C1022" s="111"/>
      <c r="D1022" s="111"/>
      <c r="E1022" s="111"/>
      <c r="F1022" s="75"/>
      <c r="G1022" s="75"/>
      <c r="H1022" s="75"/>
      <c r="I1022" s="76"/>
    </row>
    <row r="1023" spans="2:10" ht="15.75">
      <c r="B1023" s="74"/>
      <c r="C1023" s="111"/>
      <c r="D1023" s="111"/>
      <c r="E1023" s="111"/>
      <c r="F1023" s="75"/>
      <c r="G1023" s="75"/>
      <c r="H1023" s="75"/>
      <c r="I1023" s="76"/>
    </row>
    <row r="1024" spans="2:10" ht="15.75">
      <c r="B1024" s="74"/>
      <c r="C1024" s="111"/>
      <c r="D1024" s="111"/>
      <c r="E1024" s="111"/>
      <c r="F1024" s="75"/>
      <c r="G1024" s="75"/>
      <c r="H1024" s="75"/>
      <c r="I1024" s="76"/>
    </row>
    <row r="1025" spans="2:9" ht="15.75">
      <c r="B1025" s="74"/>
      <c r="C1025" s="111"/>
      <c r="D1025" s="111"/>
      <c r="E1025" s="111"/>
      <c r="F1025" s="75"/>
      <c r="G1025" s="75"/>
      <c r="H1025" s="75"/>
      <c r="I1025" s="76"/>
    </row>
    <row r="1026" spans="2:9" ht="15.75">
      <c r="B1026" s="74"/>
      <c r="C1026" s="111"/>
      <c r="D1026" s="111"/>
      <c r="E1026" s="111"/>
      <c r="F1026" s="75"/>
      <c r="G1026" s="75"/>
      <c r="H1026" s="75"/>
      <c r="I1026" s="76"/>
    </row>
    <row r="1027" spans="2:9" ht="15.75">
      <c r="B1027" s="74"/>
      <c r="C1027" s="111"/>
      <c r="D1027" s="111"/>
      <c r="E1027" s="111"/>
      <c r="F1027" s="75"/>
      <c r="G1027" s="75"/>
      <c r="H1027" s="75"/>
      <c r="I1027" s="76"/>
    </row>
    <row r="1028" spans="2:9" ht="15.75">
      <c r="B1028" s="74"/>
      <c r="C1028" s="111"/>
      <c r="D1028" s="111"/>
      <c r="E1028" s="111"/>
      <c r="F1028" s="75"/>
      <c r="G1028" s="75"/>
      <c r="H1028" s="75"/>
      <c r="I1028" s="76"/>
    </row>
    <row r="1029" spans="2:9" ht="15.75">
      <c r="B1029" s="74"/>
      <c r="C1029" s="111"/>
      <c r="D1029" s="111"/>
      <c r="E1029" s="111"/>
      <c r="F1029" s="75"/>
      <c r="G1029" s="75"/>
      <c r="H1029" s="75"/>
      <c r="I1029" s="76"/>
    </row>
    <row r="1030" spans="2:9" ht="15.75">
      <c r="B1030" s="74"/>
      <c r="C1030" s="111"/>
      <c r="D1030" s="111"/>
      <c r="E1030" s="111"/>
      <c r="F1030" s="75"/>
      <c r="G1030" s="75"/>
      <c r="H1030" s="75"/>
      <c r="I1030" s="76"/>
    </row>
    <row r="1031" spans="2:9" ht="15.75">
      <c r="B1031" s="74"/>
      <c r="C1031" s="111"/>
      <c r="D1031" s="111"/>
      <c r="E1031" s="111"/>
      <c r="F1031" s="75"/>
      <c r="G1031" s="75"/>
      <c r="H1031" s="75"/>
      <c r="I1031" s="76"/>
    </row>
    <row r="1032" spans="2:9" ht="15.75">
      <c r="B1032" s="74"/>
      <c r="C1032" s="111"/>
      <c r="D1032" s="111"/>
      <c r="E1032" s="111"/>
      <c r="F1032" s="75"/>
      <c r="G1032" s="75"/>
      <c r="H1032" s="75"/>
      <c r="I1032" s="76"/>
    </row>
    <row r="1033" spans="2:9" ht="15.75">
      <c r="B1033" s="74"/>
      <c r="C1033" s="111"/>
      <c r="D1033" s="111"/>
      <c r="E1033" s="111"/>
      <c r="F1033" s="75"/>
      <c r="G1033" s="75"/>
      <c r="H1033" s="75"/>
      <c r="I1033" s="76"/>
    </row>
    <row r="1034" spans="2:9" ht="15.75">
      <c r="B1034" s="74"/>
      <c r="C1034" s="111"/>
      <c r="D1034" s="111"/>
      <c r="E1034" s="111"/>
      <c r="F1034" s="75"/>
      <c r="G1034" s="75"/>
      <c r="H1034" s="75"/>
      <c r="I1034" s="76"/>
    </row>
    <row r="1035" spans="2:9" ht="15.75">
      <c r="B1035" s="74"/>
      <c r="C1035" s="111"/>
      <c r="D1035" s="111"/>
      <c r="E1035" s="111"/>
      <c r="F1035" s="75"/>
      <c r="G1035" s="75"/>
      <c r="H1035" s="75"/>
      <c r="I1035" s="76"/>
    </row>
    <row r="1036" spans="2:9" ht="15.75">
      <c r="B1036" s="74"/>
      <c r="C1036" s="111"/>
      <c r="D1036" s="111"/>
      <c r="E1036" s="111"/>
      <c r="F1036" s="75"/>
      <c r="G1036" s="75"/>
      <c r="H1036" s="75"/>
      <c r="I1036" s="76"/>
    </row>
    <row r="1037" spans="2:9" ht="15.75">
      <c r="B1037" s="74"/>
      <c r="C1037" s="111"/>
      <c r="D1037" s="111"/>
      <c r="E1037" s="111"/>
      <c r="F1037" s="75"/>
      <c r="G1037" s="75"/>
      <c r="H1037" s="75"/>
      <c r="I1037" s="76"/>
    </row>
    <row r="1038" spans="2:9" ht="15.75">
      <c r="B1038" s="74"/>
      <c r="C1038" s="111"/>
      <c r="D1038" s="111"/>
      <c r="E1038" s="111"/>
      <c r="F1038" s="75"/>
      <c r="G1038" s="75"/>
      <c r="H1038" s="75"/>
      <c r="I1038" s="76"/>
    </row>
    <row r="1039" spans="2:9" ht="15.75">
      <c r="B1039" s="74"/>
      <c r="C1039" s="111"/>
      <c r="D1039" s="111"/>
      <c r="E1039" s="111"/>
      <c r="F1039" s="75"/>
      <c r="G1039" s="75"/>
      <c r="H1039" s="75"/>
      <c r="I1039" s="76"/>
    </row>
    <row r="1040" spans="2:9" ht="15.75">
      <c r="B1040" s="74"/>
      <c r="C1040" s="111"/>
      <c r="D1040" s="111"/>
      <c r="E1040" s="111"/>
      <c r="F1040" s="75"/>
      <c r="G1040" s="75"/>
      <c r="H1040" s="75"/>
      <c r="I1040" s="76"/>
    </row>
    <row r="1041" spans="2:9" ht="15.75">
      <c r="B1041" s="74"/>
      <c r="C1041" s="111"/>
      <c r="D1041" s="111"/>
      <c r="E1041" s="111"/>
      <c r="F1041" s="75"/>
      <c r="G1041" s="75"/>
      <c r="H1041" s="75"/>
      <c r="I1041" s="76"/>
    </row>
    <row r="1042" spans="2:9" ht="15.75">
      <c r="B1042" s="74"/>
      <c r="C1042" s="111"/>
      <c r="D1042" s="111"/>
      <c r="E1042" s="111"/>
      <c r="F1042" s="75"/>
      <c r="G1042" s="75"/>
      <c r="H1042" s="75"/>
      <c r="I1042" s="76"/>
    </row>
    <row r="1043" spans="2:9" ht="15.75">
      <c r="B1043" s="74"/>
      <c r="C1043" s="111"/>
      <c r="D1043" s="111"/>
      <c r="E1043" s="111"/>
      <c r="F1043" s="75"/>
      <c r="G1043" s="75"/>
      <c r="H1043" s="75"/>
      <c r="I1043" s="76"/>
    </row>
    <row r="1044" spans="2:9" ht="15.75">
      <c r="B1044" s="74"/>
      <c r="C1044" s="111"/>
      <c r="D1044" s="111"/>
      <c r="E1044" s="111"/>
      <c r="F1044" s="75"/>
      <c r="G1044" s="75"/>
      <c r="H1044" s="75"/>
      <c r="I1044" s="76"/>
    </row>
    <row r="1045" spans="2:9" ht="15.75">
      <c r="B1045" s="74"/>
      <c r="C1045" s="111"/>
      <c r="D1045" s="111"/>
      <c r="E1045" s="111"/>
      <c r="F1045" s="75"/>
      <c r="G1045" s="75"/>
      <c r="H1045" s="75"/>
      <c r="I1045" s="76"/>
    </row>
    <row r="1046" spans="2:9" ht="15.75">
      <c r="B1046" s="74"/>
      <c r="C1046" s="111"/>
      <c r="D1046" s="111"/>
      <c r="E1046" s="111"/>
      <c r="F1046" s="75"/>
      <c r="G1046" s="75"/>
      <c r="H1046" s="75"/>
      <c r="I1046" s="76"/>
    </row>
    <row r="1047" spans="2:9" ht="15.75">
      <c r="B1047" s="74"/>
      <c r="C1047" s="111"/>
      <c r="D1047" s="111"/>
      <c r="E1047" s="111"/>
      <c r="F1047" s="75"/>
      <c r="G1047" s="75"/>
      <c r="H1047" s="75"/>
      <c r="I1047" s="76"/>
    </row>
    <row r="1048" spans="2:9" ht="15.75">
      <c r="B1048" s="74"/>
      <c r="C1048" s="111"/>
      <c r="D1048" s="111"/>
      <c r="E1048" s="111"/>
      <c r="F1048" s="75"/>
      <c r="G1048" s="75"/>
      <c r="H1048" s="75"/>
      <c r="I1048" s="76"/>
    </row>
    <row r="1049" spans="2:9" ht="15.75">
      <c r="B1049" s="74"/>
      <c r="C1049" s="111"/>
      <c r="D1049" s="111"/>
      <c r="E1049" s="111"/>
      <c r="F1049" s="75"/>
      <c r="G1049" s="75"/>
      <c r="H1049" s="75"/>
      <c r="I1049" s="76"/>
    </row>
    <row r="1050" spans="2:9" ht="15.75">
      <c r="B1050" s="74"/>
      <c r="C1050" s="111"/>
      <c r="D1050" s="111"/>
      <c r="E1050" s="111"/>
      <c r="F1050" s="75"/>
      <c r="G1050" s="75"/>
      <c r="H1050" s="75"/>
      <c r="I1050" s="76"/>
    </row>
    <row r="1051" spans="2:9" ht="15.75">
      <c r="B1051" s="74"/>
      <c r="C1051" s="111"/>
      <c r="D1051" s="111"/>
      <c r="E1051" s="111"/>
      <c r="F1051" s="75"/>
      <c r="G1051" s="75"/>
      <c r="H1051" s="75"/>
      <c r="I1051" s="76"/>
    </row>
    <row r="1052" spans="2:9" ht="15.75">
      <c r="B1052" s="74"/>
      <c r="C1052" s="111"/>
      <c r="D1052" s="111"/>
      <c r="E1052" s="111"/>
      <c r="F1052" s="75"/>
      <c r="G1052" s="75"/>
      <c r="H1052" s="75"/>
      <c r="I1052" s="76"/>
    </row>
    <row r="1053" spans="2:9" ht="15.75">
      <c r="B1053" s="74"/>
      <c r="C1053" s="111"/>
      <c r="D1053" s="111"/>
      <c r="E1053" s="111"/>
      <c r="F1053" s="75"/>
      <c r="G1053" s="75"/>
      <c r="H1053" s="75"/>
      <c r="I1053" s="76"/>
    </row>
    <row r="1054" spans="2:9" ht="15.75">
      <c r="B1054" s="74"/>
      <c r="C1054" s="111"/>
      <c r="D1054" s="111"/>
      <c r="E1054" s="111"/>
      <c r="F1054" s="75"/>
      <c r="G1054" s="75"/>
      <c r="H1054" s="75"/>
      <c r="I1054" s="76"/>
    </row>
    <row r="1055" spans="2:9" ht="15.75">
      <c r="B1055" s="74"/>
      <c r="C1055" s="111"/>
      <c r="D1055" s="111"/>
      <c r="E1055" s="111"/>
      <c r="F1055" s="75"/>
      <c r="G1055" s="75"/>
      <c r="H1055" s="75"/>
      <c r="I1055" s="76"/>
    </row>
    <row r="1056" spans="2:9" ht="15.75">
      <c r="B1056" s="74"/>
      <c r="C1056" s="111"/>
      <c r="D1056" s="111"/>
      <c r="E1056" s="111"/>
      <c r="F1056" s="75"/>
      <c r="G1056" s="75"/>
      <c r="H1056" s="75"/>
      <c r="I1056" s="76"/>
    </row>
    <row r="1057" spans="2:9" ht="15.75">
      <c r="B1057" s="74"/>
      <c r="C1057" s="111"/>
      <c r="D1057" s="111"/>
      <c r="E1057" s="111"/>
      <c r="F1057" s="75"/>
      <c r="G1057" s="75"/>
      <c r="H1057" s="75"/>
      <c r="I1057" s="76"/>
    </row>
    <row r="1058" spans="2:9" ht="15.75">
      <c r="B1058" s="74"/>
      <c r="C1058" s="111"/>
      <c r="D1058" s="111"/>
      <c r="E1058" s="111"/>
      <c r="F1058" s="75"/>
      <c r="G1058" s="75"/>
      <c r="H1058" s="75"/>
      <c r="I1058" s="76"/>
    </row>
    <row r="1059" spans="2:9" ht="15.75">
      <c r="B1059" s="74"/>
      <c r="C1059" s="111"/>
      <c r="D1059" s="111"/>
      <c r="E1059" s="111"/>
      <c r="F1059" s="75"/>
      <c r="G1059" s="75"/>
      <c r="H1059" s="75"/>
      <c r="I1059" s="76"/>
    </row>
    <row r="1060" spans="2:9" ht="15.75">
      <c r="B1060" s="74"/>
      <c r="C1060" s="111"/>
      <c r="D1060" s="111"/>
      <c r="E1060" s="111"/>
      <c r="F1060" s="75"/>
      <c r="G1060" s="75"/>
      <c r="H1060" s="75"/>
      <c r="I1060" s="76"/>
    </row>
    <row r="1061" spans="2:9" ht="15.75">
      <c r="B1061" s="74"/>
      <c r="C1061" s="111"/>
      <c r="D1061" s="111"/>
      <c r="E1061" s="111"/>
      <c r="F1061" s="75"/>
      <c r="G1061" s="75"/>
      <c r="H1061" s="75"/>
      <c r="I1061" s="76"/>
    </row>
    <row r="1062" spans="2:9" ht="15.75">
      <c r="B1062" s="74"/>
      <c r="C1062" s="111"/>
      <c r="D1062" s="111"/>
      <c r="E1062" s="111"/>
      <c r="F1062" s="75"/>
      <c r="G1062" s="75"/>
      <c r="H1062" s="75"/>
      <c r="I1062" s="76"/>
    </row>
    <row r="1063" spans="2:9" ht="15.75">
      <c r="B1063" s="74"/>
      <c r="C1063" s="111"/>
      <c r="D1063" s="111"/>
      <c r="E1063" s="111"/>
      <c r="F1063" s="75"/>
      <c r="G1063" s="75"/>
      <c r="H1063" s="75"/>
      <c r="I1063" s="76"/>
    </row>
    <row r="1064" spans="2:9" ht="15.75">
      <c r="B1064" s="74"/>
      <c r="C1064" s="111"/>
      <c r="D1064" s="111"/>
      <c r="E1064" s="111"/>
      <c r="F1064" s="75"/>
      <c r="G1064" s="75"/>
      <c r="H1064" s="75"/>
      <c r="I1064" s="76"/>
    </row>
    <row r="1065" spans="2:9" ht="15.75">
      <c r="B1065" s="74"/>
      <c r="C1065" s="111"/>
      <c r="D1065" s="111"/>
      <c r="E1065" s="111"/>
      <c r="F1065" s="75"/>
      <c r="G1065" s="75"/>
      <c r="H1065" s="75"/>
      <c r="I1065" s="76"/>
    </row>
    <row r="1066" spans="2:9" ht="15.75">
      <c r="B1066" s="74"/>
      <c r="C1066" s="111"/>
      <c r="D1066" s="111"/>
      <c r="E1066" s="111"/>
      <c r="F1066" s="75"/>
      <c r="G1066" s="75"/>
      <c r="H1066" s="75"/>
      <c r="I1066" s="76"/>
    </row>
    <row r="1067" spans="2:9" ht="15.75">
      <c r="B1067" s="74"/>
      <c r="C1067" s="111"/>
      <c r="D1067" s="111"/>
      <c r="E1067" s="111"/>
      <c r="F1067" s="75"/>
      <c r="G1067" s="75"/>
      <c r="H1067" s="75"/>
      <c r="I1067" s="76"/>
    </row>
    <row r="1068" spans="2:9" ht="15.75">
      <c r="B1068" s="74"/>
      <c r="C1068" s="111"/>
      <c r="D1068" s="111"/>
      <c r="E1068" s="111"/>
      <c r="F1068" s="75"/>
      <c r="G1068" s="75"/>
      <c r="H1068" s="75"/>
      <c r="I1068" s="76"/>
    </row>
    <row r="1069" spans="2:9" ht="15.75">
      <c r="B1069" s="74"/>
      <c r="C1069" s="111"/>
      <c r="D1069" s="111"/>
      <c r="E1069" s="111"/>
      <c r="F1069" s="75"/>
      <c r="G1069" s="75"/>
      <c r="H1069" s="75"/>
      <c r="I1069" s="76"/>
    </row>
    <row r="1070" spans="2:9" ht="15.75">
      <c r="B1070" s="74"/>
      <c r="C1070" s="111"/>
      <c r="D1070" s="111"/>
      <c r="E1070" s="111"/>
      <c r="F1070" s="75"/>
      <c r="G1070" s="75"/>
      <c r="H1070" s="75"/>
      <c r="I1070" s="76"/>
    </row>
    <row r="1071" spans="2:9" ht="15.75">
      <c r="B1071" s="74"/>
      <c r="C1071" s="111"/>
      <c r="D1071" s="111"/>
      <c r="E1071" s="111"/>
      <c r="F1071" s="75"/>
      <c r="G1071" s="75"/>
      <c r="H1071" s="75"/>
      <c r="I1071" s="76"/>
    </row>
    <row r="1072" spans="2:9" ht="15.75">
      <c r="B1072" s="74"/>
      <c r="C1072" s="111"/>
      <c r="D1072" s="111"/>
      <c r="E1072" s="111"/>
      <c r="F1072" s="75"/>
      <c r="G1072" s="75"/>
      <c r="H1072" s="75"/>
      <c r="I1072" s="76"/>
    </row>
    <row r="1073" spans="2:9" ht="15.75">
      <c r="B1073" s="74"/>
      <c r="C1073" s="111"/>
      <c r="D1073" s="111"/>
      <c r="E1073" s="111"/>
      <c r="F1073" s="75"/>
      <c r="G1073" s="75"/>
      <c r="H1073" s="75"/>
      <c r="I1073" s="76"/>
    </row>
    <row r="1074" spans="2:9" ht="15.75">
      <c r="B1074" s="74"/>
      <c r="C1074" s="111"/>
      <c r="D1074" s="111"/>
      <c r="E1074" s="111"/>
      <c r="F1074" s="75"/>
      <c r="G1074" s="75"/>
      <c r="H1074" s="75"/>
      <c r="I1074" s="76"/>
    </row>
    <row r="1075" spans="2:9" ht="15.75">
      <c r="B1075" s="74"/>
      <c r="C1075" s="111"/>
      <c r="D1075" s="111"/>
      <c r="E1075" s="111"/>
      <c r="F1075" s="75"/>
      <c r="G1075" s="75"/>
      <c r="H1075" s="75"/>
      <c r="I1075" s="76"/>
    </row>
    <row r="1076" spans="2:9" ht="15.75">
      <c r="B1076" s="74"/>
      <c r="C1076" s="111"/>
      <c r="D1076" s="111"/>
      <c r="E1076" s="111"/>
      <c r="F1076" s="75"/>
      <c r="G1076" s="75"/>
      <c r="H1076" s="75"/>
      <c r="I1076" s="76"/>
    </row>
    <row r="1077" spans="2:9" ht="15.75">
      <c r="B1077" s="74"/>
      <c r="C1077" s="111"/>
      <c r="D1077" s="111"/>
      <c r="E1077" s="111"/>
      <c r="F1077" s="75"/>
      <c r="G1077" s="75"/>
      <c r="H1077" s="75"/>
      <c r="I1077" s="76"/>
    </row>
    <row r="1078" spans="2:9" ht="15.75">
      <c r="B1078" s="74"/>
      <c r="C1078" s="111"/>
      <c r="D1078" s="111"/>
      <c r="E1078" s="111"/>
      <c r="F1078" s="75"/>
      <c r="G1078" s="75"/>
      <c r="H1078" s="75"/>
      <c r="I1078" s="76"/>
    </row>
    <row r="1079" spans="2:9" ht="15.75">
      <c r="B1079" s="74"/>
      <c r="C1079" s="111"/>
      <c r="D1079" s="111"/>
      <c r="E1079" s="111"/>
      <c r="F1079" s="75"/>
      <c r="G1079" s="75"/>
      <c r="H1079" s="75"/>
      <c r="I1079" s="76"/>
    </row>
    <row r="1080" spans="2:9" ht="15.75">
      <c r="B1080" s="74"/>
      <c r="C1080" s="111"/>
      <c r="D1080" s="111"/>
      <c r="E1080" s="111"/>
      <c r="F1080" s="75"/>
      <c r="G1080" s="75"/>
      <c r="H1080" s="75"/>
      <c r="I1080" s="76"/>
    </row>
    <row r="1081" spans="2:9" ht="15.75">
      <c r="B1081" s="74"/>
      <c r="C1081" s="111"/>
      <c r="D1081" s="111"/>
      <c r="E1081" s="111"/>
      <c r="F1081" s="75"/>
      <c r="G1081" s="75"/>
      <c r="H1081" s="75"/>
      <c r="I1081" s="76"/>
    </row>
    <row r="1082" spans="2:9" ht="15.75">
      <c r="B1082" s="74"/>
      <c r="C1082" s="111"/>
      <c r="D1082" s="111"/>
      <c r="E1082" s="111"/>
      <c r="F1082" s="75"/>
      <c r="G1082" s="75"/>
      <c r="H1082" s="75"/>
      <c r="I1082" s="76"/>
    </row>
    <row r="1083" spans="2:9" ht="15.75">
      <c r="B1083" s="74"/>
      <c r="C1083" s="111"/>
      <c r="D1083" s="111"/>
      <c r="E1083" s="111"/>
      <c r="F1083" s="75"/>
      <c r="G1083" s="75"/>
      <c r="H1083" s="75"/>
      <c r="I1083" s="76"/>
    </row>
    <row r="1084" spans="2:9" ht="15.75">
      <c r="B1084" s="74"/>
      <c r="C1084" s="111"/>
      <c r="D1084" s="111"/>
      <c r="E1084" s="111"/>
      <c r="F1084" s="75"/>
      <c r="G1084" s="75"/>
      <c r="H1084" s="75"/>
      <c r="I1084" s="76"/>
    </row>
    <row r="1085" spans="2:9" ht="15.75">
      <c r="B1085" s="74"/>
      <c r="C1085" s="111"/>
      <c r="D1085" s="111"/>
      <c r="E1085" s="111"/>
      <c r="F1085" s="75"/>
      <c r="G1085" s="75"/>
      <c r="H1085" s="75"/>
      <c r="I1085" s="76"/>
    </row>
    <row r="1086" spans="2:9" ht="15.75">
      <c r="B1086" s="74"/>
      <c r="C1086" s="111"/>
      <c r="D1086" s="111"/>
      <c r="E1086" s="111"/>
      <c r="F1086" s="75"/>
      <c r="G1086" s="75"/>
      <c r="H1086" s="75"/>
      <c r="I1086" s="76"/>
    </row>
    <row r="1087" spans="2:9" ht="15.75">
      <c r="B1087" s="74"/>
      <c r="C1087" s="111"/>
      <c r="D1087" s="111"/>
      <c r="E1087" s="111"/>
      <c r="F1087" s="75"/>
      <c r="G1087" s="75"/>
      <c r="H1087" s="75"/>
      <c r="I1087" s="76"/>
    </row>
    <row r="1088" spans="2:9" ht="15.75">
      <c r="B1088" s="74"/>
      <c r="C1088" s="111"/>
      <c r="D1088" s="111"/>
      <c r="E1088" s="111"/>
      <c r="F1088" s="75"/>
      <c r="G1088" s="75"/>
      <c r="H1088" s="75"/>
      <c r="I1088" s="76"/>
    </row>
    <row r="1089" spans="2:9" ht="15.75">
      <c r="B1089" s="74"/>
      <c r="C1089" s="111"/>
      <c r="D1089" s="111"/>
      <c r="E1089" s="111"/>
      <c r="F1089" s="75"/>
      <c r="G1089" s="75"/>
      <c r="H1089" s="75"/>
      <c r="I1089" s="76"/>
    </row>
    <row r="1090" spans="2:9" ht="15.75">
      <c r="B1090" s="74"/>
      <c r="C1090" s="111"/>
      <c r="D1090" s="111"/>
      <c r="E1090" s="111"/>
      <c r="F1090" s="75"/>
      <c r="G1090" s="75"/>
      <c r="H1090" s="75"/>
      <c r="I1090" s="76"/>
    </row>
    <row r="1091" spans="2:9" ht="15.75">
      <c r="B1091" s="74"/>
      <c r="C1091" s="111"/>
      <c r="D1091" s="111"/>
      <c r="E1091" s="111"/>
      <c r="F1091" s="75"/>
      <c r="G1091" s="75"/>
      <c r="H1091" s="75"/>
      <c r="I1091" s="76"/>
    </row>
    <row r="1092" spans="2:9" ht="15.75">
      <c r="B1092" s="74"/>
      <c r="C1092" s="111"/>
      <c r="D1092" s="111"/>
      <c r="E1092" s="111"/>
      <c r="F1092" s="75"/>
      <c r="G1092" s="75"/>
      <c r="H1092" s="75"/>
      <c r="I1092" s="76"/>
    </row>
    <row r="1093" spans="2:9" ht="15.75">
      <c r="B1093" s="74"/>
      <c r="C1093" s="111"/>
      <c r="D1093" s="111"/>
      <c r="E1093" s="111"/>
      <c r="F1093" s="75"/>
      <c r="G1093" s="75"/>
      <c r="H1093" s="75"/>
      <c r="I1093" s="76"/>
    </row>
    <row r="1094" spans="2:9" ht="15.75">
      <c r="B1094" s="74"/>
      <c r="C1094" s="111"/>
      <c r="D1094" s="111"/>
      <c r="E1094" s="111"/>
      <c r="F1094" s="75"/>
      <c r="G1094" s="75"/>
      <c r="H1094" s="75"/>
      <c r="I1094" s="76"/>
    </row>
    <row r="1095" spans="2:9" ht="15.75">
      <c r="B1095" s="74"/>
      <c r="C1095" s="111"/>
      <c r="D1095" s="111"/>
      <c r="E1095" s="111"/>
      <c r="F1095" s="75"/>
      <c r="G1095" s="75"/>
      <c r="H1095" s="75"/>
      <c r="I1095" s="76"/>
    </row>
    <row r="1096" spans="2:9" ht="15.75">
      <c r="B1096" s="74"/>
      <c r="C1096" s="111"/>
      <c r="D1096" s="111"/>
      <c r="E1096" s="111"/>
      <c r="F1096" s="75"/>
      <c r="G1096" s="75"/>
      <c r="H1096" s="75"/>
      <c r="I1096" s="76"/>
    </row>
    <row r="1097" spans="2:9" ht="15.75">
      <c r="B1097" s="74"/>
      <c r="C1097" s="111"/>
      <c r="D1097" s="111"/>
      <c r="E1097" s="111"/>
      <c r="F1097" s="75"/>
      <c r="G1097" s="75"/>
      <c r="H1097" s="75"/>
      <c r="I1097" s="76"/>
    </row>
    <row r="1098" spans="2:9" ht="15.75">
      <c r="B1098" s="74"/>
      <c r="C1098" s="111"/>
      <c r="D1098" s="111"/>
      <c r="E1098" s="111"/>
      <c r="F1098" s="75"/>
      <c r="G1098" s="75"/>
      <c r="H1098" s="75"/>
      <c r="I1098" s="76"/>
    </row>
    <row r="1099" spans="2:9" ht="15.75">
      <c r="B1099" s="74"/>
      <c r="C1099" s="111"/>
      <c r="D1099" s="111"/>
      <c r="E1099" s="111"/>
      <c r="F1099" s="75"/>
      <c r="G1099" s="75"/>
      <c r="H1099" s="75"/>
      <c r="I1099" s="76"/>
    </row>
    <row r="1100" spans="2:9" ht="15.75">
      <c r="B1100" s="74"/>
      <c r="C1100" s="111"/>
      <c r="D1100" s="111"/>
      <c r="E1100" s="111"/>
      <c r="F1100" s="75"/>
      <c r="G1100" s="75"/>
      <c r="H1100" s="75"/>
      <c r="I1100" s="76"/>
    </row>
    <row r="1101" spans="2:9" ht="15.75">
      <c r="B1101" s="74"/>
      <c r="C1101" s="111"/>
      <c r="D1101" s="111"/>
      <c r="E1101" s="111"/>
      <c r="F1101" s="75"/>
      <c r="G1101" s="75"/>
      <c r="H1101" s="75"/>
      <c r="I1101" s="76"/>
    </row>
    <row r="1102" spans="2:9" ht="15.75">
      <c r="B1102" s="74"/>
      <c r="C1102" s="111"/>
      <c r="D1102" s="111"/>
      <c r="E1102" s="111"/>
      <c r="F1102" s="75"/>
      <c r="G1102" s="75"/>
      <c r="H1102" s="75"/>
      <c r="I1102" s="76"/>
    </row>
    <row r="1103" spans="2:9" ht="15.75">
      <c r="B1103" s="74"/>
      <c r="C1103" s="111"/>
      <c r="D1103" s="111"/>
      <c r="E1103" s="111"/>
      <c r="F1103" s="75"/>
      <c r="G1103" s="75"/>
      <c r="H1103" s="75"/>
      <c r="I1103" s="76"/>
    </row>
    <row r="1104" spans="2:9" ht="15.75">
      <c r="B1104" s="74"/>
      <c r="C1104" s="111"/>
      <c r="D1104" s="111"/>
      <c r="E1104" s="111"/>
      <c r="F1104" s="75"/>
      <c r="G1104" s="75"/>
      <c r="H1104" s="75"/>
      <c r="I1104" s="76"/>
    </row>
    <row r="1105" spans="2:9" ht="15.75">
      <c r="B1105" s="74"/>
      <c r="C1105" s="111"/>
      <c r="D1105" s="111"/>
      <c r="E1105" s="111"/>
      <c r="F1105" s="75"/>
      <c r="G1105" s="75"/>
      <c r="H1105" s="75"/>
      <c r="I1105" s="76"/>
    </row>
    <row r="1106" spans="2:9" ht="15.75">
      <c r="B1106" s="74"/>
      <c r="C1106" s="111"/>
      <c r="D1106" s="111"/>
      <c r="E1106" s="111"/>
      <c r="F1106" s="75"/>
      <c r="G1106" s="75"/>
      <c r="H1106" s="75"/>
      <c r="I1106" s="76"/>
    </row>
    <row r="1107" spans="2:9" ht="15.75">
      <c r="B1107" s="74"/>
      <c r="C1107" s="111"/>
      <c r="D1107" s="111"/>
      <c r="E1107" s="111"/>
      <c r="F1107" s="75"/>
      <c r="G1107" s="75"/>
      <c r="H1107" s="75"/>
      <c r="I1107" s="76"/>
    </row>
    <row r="1108" spans="2:9" ht="15.75">
      <c r="B1108" s="74"/>
      <c r="C1108" s="111"/>
      <c r="D1108" s="111"/>
      <c r="E1108" s="111"/>
      <c r="F1108" s="75"/>
      <c r="G1108" s="75"/>
      <c r="H1108" s="75"/>
      <c r="I1108" s="76"/>
    </row>
    <row r="1109" spans="2:9" ht="15.75">
      <c r="B1109" s="74"/>
      <c r="C1109" s="111"/>
      <c r="D1109" s="111"/>
      <c r="E1109" s="111"/>
      <c r="F1109" s="75"/>
      <c r="G1109" s="75"/>
      <c r="H1109" s="75"/>
      <c r="I1109" s="76"/>
    </row>
    <row r="1110" spans="2:9" ht="15.75">
      <c r="B1110" s="74"/>
      <c r="C1110" s="111"/>
      <c r="D1110" s="111"/>
      <c r="E1110" s="111"/>
      <c r="F1110" s="75"/>
      <c r="G1110" s="75"/>
      <c r="H1110" s="75"/>
      <c r="I1110" s="76"/>
    </row>
    <row r="1111" spans="2:9" ht="15.75">
      <c r="B1111" s="74"/>
      <c r="C1111" s="111"/>
      <c r="D1111" s="111"/>
      <c r="E1111" s="111"/>
      <c r="F1111" s="75"/>
      <c r="G1111" s="75"/>
      <c r="H1111" s="75"/>
      <c r="I1111" s="76"/>
    </row>
    <row r="1112" spans="2:9" ht="15.75">
      <c r="B1112" s="74"/>
      <c r="C1112" s="111"/>
      <c r="D1112" s="111"/>
      <c r="E1112" s="111"/>
      <c r="F1112" s="75"/>
      <c r="G1112" s="75"/>
      <c r="H1112" s="75"/>
      <c r="I1112" s="76"/>
    </row>
    <row r="1113" spans="2:9" ht="15.75">
      <c r="B1113" s="74"/>
      <c r="C1113" s="111"/>
      <c r="D1113" s="111"/>
      <c r="E1113" s="111"/>
      <c r="F1113" s="75"/>
      <c r="G1113" s="75"/>
      <c r="H1113" s="75"/>
      <c r="I1113" s="76"/>
    </row>
    <row r="1114" spans="2:9" ht="15.75">
      <c r="B1114" s="74"/>
      <c r="C1114" s="111"/>
      <c r="D1114" s="111"/>
      <c r="E1114" s="111"/>
      <c r="F1114" s="75"/>
      <c r="G1114" s="75"/>
      <c r="H1114" s="75"/>
      <c r="I1114" s="76"/>
    </row>
    <row r="1115" spans="2:9" ht="15.75">
      <c r="B1115" s="74"/>
      <c r="C1115" s="111"/>
      <c r="D1115" s="111"/>
      <c r="E1115" s="111"/>
      <c r="F1115" s="75"/>
      <c r="G1115" s="75"/>
      <c r="H1115" s="75"/>
      <c r="I1115" s="76"/>
    </row>
    <row r="1116" spans="2:9" ht="15.75">
      <c r="B1116" s="74"/>
      <c r="C1116" s="111"/>
      <c r="D1116" s="111"/>
      <c r="E1116" s="111"/>
      <c r="F1116" s="75"/>
      <c r="G1116" s="75"/>
      <c r="H1116" s="75"/>
      <c r="I1116" s="76"/>
    </row>
    <row r="1117" spans="2:9" ht="15.75">
      <c r="B1117" s="74"/>
      <c r="C1117" s="111"/>
      <c r="D1117" s="111"/>
      <c r="E1117" s="111"/>
      <c r="F1117" s="75"/>
      <c r="G1117" s="75"/>
      <c r="H1117" s="75"/>
      <c r="I1117" s="76"/>
    </row>
    <row r="1118" spans="2:9" ht="15.75">
      <c r="B1118" s="74"/>
      <c r="C1118" s="111"/>
      <c r="D1118" s="111"/>
      <c r="E1118" s="111"/>
      <c r="F1118" s="75"/>
      <c r="G1118" s="75"/>
      <c r="H1118" s="75"/>
      <c r="I1118" s="76"/>
    </row>
    <row r="1119" spans="2:9" ht="15.75">
      <c r="B1119" s="74"/>
      <c r="C1119" s="111"/>
      <c r="D1119" s="111"/>
      <c r="E1119" s="111"/>
      <c r="F1119" s="75"/>
      <c r="G1119" s="75"/>
      <c r="H1119" s="75"/>
      <c r="I1119" s="76"/>
    </row>
    <row r="1120" spans="2:9" ht="15.75">
      <c r="B1120" s="74"/>
      <c r="C1120" s="111"/>
      <c r="D1120" s="111"/>
      <c r="E1120" s="111"/>
      <c r="F1120" s="75"/>
      <c r="G1120" s="75"/>
      <c r="H1120" s="75"/>
      <c r="I1120" s="76"/>
    </row>
    <row r="1121" spans="2:9" ht="15.75">
      <c r="B1121" s="74"/>
      <c r="C1121" s="111"/>
      <c r="D1121" s="111"/>
      <c r="E1121" s="111"/>
      <c r="F1121" s="75"/>
      <c r="G1121" s="75"/>
      <c r="H1121" s="75"/>
      <c r="I1121" s="76"/>
    </row>
    <row r="1122" spans="2:9" ht="15.75">
      <c r="B1122" s="74"/>
      <c r="C1122" s="111"/>
      <c r="D1122" s="111"/>
      <c r="E1122" s="111"/>
      <c r="F1122" s="75"/>
      <c r="G1122" s="75"/>
      <c r="H1122" s="75"/>
      <c r="I1122" s="76"/>
    </row>
    <row r="1123" spans="2:9" ht="15.75">
      <c r="B1123" s="74"/>
      <c r="C1123" s="111"/>
      <c r="D1123" s="111"/>
      <c r="E1123" s="111"/>
      <c r="F1123" s="75"/>
      <c r="G1123" s="75"/>
      <c r="H1123" s="75"/>
      <c r="I1123" s="76"/>
    </row>
    <row r="1124" spans="2:9" ht="15.75">
      <c r="B1124" s="74"/>
      <c r="C1124" s="111"/>
      <c r="D1124" s="111"/>
      <c r="E1124" s="111"/>
      <c r="F1124" s="75"/>
      <c r="G1124" s="75"/>
      <c r="H1124" s="75"/>
      <c r="I1124" s="76"/>
    </row>
    <row r="1125" spans="2:9" ht="15.75">
      <c r="B1125" s="74"/>
      <c r="C1125" s="111"/>
      <c r="D1125" s="111"/>
      <c r="E1125" s="111"/>
      <c r="F1125" s="75"/>
      <c r="G1125" s="75"/>
      <c r="H1125" s="75"/>
      <c r="I1125" s="76"/>
    </row>
    <row r="1126" spans="2:9" ht="15.75">
      <c r="B1126" s="74"/>
      <c r="C1126" s="111"/>
      <c r="D1126" s="111"/>
      <c r="E1126" s="111"/>
      <c r="F1126" s="75"/>
      <c r="G1126" s="75"/>
      <c r="H1126" s="75"/>
      <c r="I1126" s="76"/>
    </row>
    <row r="1127" spans="2:9" ht="15.75">
      <c r="B1127" s="74"/>
      <c r="C1127" s="111"/>
      <c r="D1127" s="111"/>
      <c r="E1127" s="111"/>
      <c r="F1127" s="75"/>
      <c r="G1127" s="75"/>
      <c r="H1127" s="75"/>
      <c r="I1127" s="76"/>
    </row>
    <row r="1128" spans="2:9" ht="15.75">
      <c r="B1128" s="74"/>
      <c r="C1128" s="111"/>
      <c r="D1128" s="111"/>
      <c r="E1128" s="111"/>
      <c r="F1128" s="75"/>
      <c r="G1128" s="75"/>
      <c r="H1128" s="75"/>
      <c r="I1128" s="76"/>
    </row>
    <row r="1129" spans="2:9" ht="15.75">
      <c r="B1129" s="74"/>
      <c r="C1129" s="111"/>
      <c r="D1129" s="111"/>
      <c r="E1129" s="111"/>
      <c r="F1129" s="75"/>
      <c r="G1129" s="75"/>
      <c r="H1129" s="75"/>
      <c r="I1129" s="76"/>
    </row>
    <row r="1130" spans="2:9" ht="15.75">
      <c r="B1130" s="74"/>
      <c r="C1130" s="111"/>
      <c r="D1130" s="111"/>
      <c r="E1130" s="111"/>
      <c r="F1130" s="75"/>
      <c r="G1130" s="75"/>
      <c r="H1130" s="75"/>
      <c r="I1130" s="76"/>
    </row>
    <row r="1131" spans="2:9" ht="15.75">
      <c r="B1131" s="74"/>
      <c r="C1131" s="111"/>
      <c r="D1131" s="111"/>
      <c r="E1131" s="111"/>
      <c r="F1131" s="75"/>
      <c r="G1131" s="75"/>
      <c r="H1131" s="75"/>
      <c r="I1131" s="76"/>
    </row>
    <row r="1132" spans="2:9" ht="15.75">
      <c r="B1132" s="74"/>
      <c r="C1132" s="111"/>
      <c r="D1132" s="111"/>
      <c r="E1132" s="111"/>
      <c r="F1132" s="75"/>
      <c r="G1132" s="75"/>
      <c r="H1132" s="75"/>
      <c r="I1132" s="76"/>
    </row>
    <row r="1133" spans="2:9" ht="15.75">
      <c r="B1133" s="74"/>
      <c r="C1133" s="111"/>
      <c r="D1133" s="111"/>
      <c r="E1133" s="111"/>
      <c r="F1133" s="75"/>
      <c r="G1133" s="75"/>
      <c r="H1133" s="75"/>
      <c r="I1133" s="76"/>
    </row>
    <row r="1134" spans="2:9" ht="15.75">
      <c r="B1134" s="74"/>
      <c r="C1134" s="111"/>
      <c r="D1134" s="111"/>
      <c r="E1134" s="111"/>
      <c r="F1134" s="75"/>
      <c r="G1134" s="75"/>
      <c r="H1134" s="75"/>
      <c r="I1134" s="76"/>
    </row>
    <row r="1135" spans="2:9" ht="15.75">
      <c r="B1135" s="74"/>
      <c r="C1135" s="111"/>
      <c r="D1135" s="111"/>
      <c r="E1135" s="111"/>
      <c r="F1135" s="75"/>
      <c r="G1135" s="75"/>
      <c r="H1135" s="75"/>
      <c r="I1135" s="76"/>
    </row>
    <row r="1136" spans="2:9" ht="15.75">
      <c r="B1136" s="74"/>
      <c r="C1136" s="111"/>
      <c r="D1136" s="111"/>
      <c r="E1136" s="111"/>
      <c r="F1136" s="75"/>
      <c r="G1136" s="75"/>
      <c r="H1136" s="75"/>
      <c r="I1136" s="76"/>
    </row>
    <row r="1137" spans="2:9" ht="15.75">
      <c r="B1137" s="74"/>
      <c r="C1137" s="111"/>
      <c r="D1137" s="111"/>
      <c r="E1137" s="111"/>
      <c r="F1137" s="75"/>
      <c r="G1137" s="75"/>
      <c r="H1137" s="75"/>
      <c r="I1137" s="76"/>
    </row>
    <row r="1138" spans="2:9" ht="15.75">
      <c r="B1138" s="74"/>
      <c r="C1138" s="111"/>
      <c r="D1138" s="111"/>
      <c r="E1138" s="111"/>
      <c r="F1138" s="75"/>
      <c r="G1138" s="75"/>
      <c r="H1138" s="75"/>
      <c r="I1138" s="76"/>
    </row>
    <row r="1139" spans="2:9" ht="15.75">
      <c r="B1139" s="74"/>
      <c r="C1139" s="111"/>
      <c r="D1139" s="111"/>
      <c r="E1139" s="111"/>
      <c r="F1139" s="75"/>
      <c r="G1139" s="75"/>
      <c r="H1139" s="75"/>
      <c r="I1139" s="76"/>
    </row>
    <row r="1140" spans="2:9" ht="15.75">
      <c r="B1140" s="74"/>
      <c r="C1140" s="111"/>
      <c r="D1140" s="111"/>
      <c r="E1140" s="111"/>
      <c r="F1140" s="75"/>
      <c r="G1140" s="75"/>
      <c r="H1140" s="75"/>
      <c r="I1140" s="76"/>
    </row>
    <row r="1141" spans="2:9" ht="15.75">
      <c r="B1141" s="74"/>
      <c r="C1141" s="111"/>
      <c r="D1141" s="111"/>
      <c r="E1141" s="111"/>
      <c r="F1141" s="75"/>
      <c r="G1141" s="75"/>
      <c r="H1141" s="75"/>
      <c r="I1141" s="76"/>
    </row>
    <row r="1142" spans="2:9" ht="15.75">
      <c r="B1142" s="74"/>
      <c r="C1142" s="111"/>
      <c r="D1142" s="111"/>
      <c r="E1142" s="111"/>
      <c r="F1142" s="75"/>
      <c r="G1142" s="75"/>
      <c r="H1142" s="75"/>
      <c r="I1142" s="76"/>
    </row>
    <row r="1143" spans="2:9" ht="15.75">
      <c r="B1143" s="74"/>
      <c r="C1143" s="111"/>
      <c r="D1143" s="111"/>
      <c r="E1143" s="111"/>
      <c r="F1143" s="75"/>
      <c r="G1143" s="75"/>
      <c r="H1143" s="75"/>
      <c r="I1143" s="76"/>
    </row>
    <row r="1144" spans="2:9" ht="15.75">
      <c r="B1144" s="74"/>
      <c r="C1144" s="111"/>
      <c r="D1144" s="111"/>
      <c r="E1144" s="111"/>
      <c r="F1144" s="75"/>
      <c r="G1144" s="75"/>
      <c r="H1144" s="75"/>
      <c r="I1144" s="76"/>
    </row>
    <row r="1145" spans="2:9" ht="15.75">
      <c r="B1145" s="74"/>
      <c r="C1145" s="111"/>
      <c r="D1145" s="111"/>
      <c r="E1145" s="111"/>
      <c r="F1145" s="75"/>
      <c r="G1145" s="75"/>
      <c r="H1145" s="75"/>
      <c r="I1145" s="76"/>
    </row>
    <row r="1146" spans="2:9" ht="15.75">
      <c r="B1146" s="74"/>
      <c r="C1146" s="111"/>
      <c r="D1146" s="111"/>
      <c r="E1146" s="111"/>
      <c r="F1146" s="75"/>
      <c r="G1146" s="75"/>
      <c r="H1146" s="75"/>
      <c r="I1146" s="76"/>
    </row>
    <row r="1147" spans="2:9" ht="15.75">
      <c r="B1147" s="74"/>
      <c r="C1147" s="111"/>
      <c r="D1147" s="111"/>
      <c r="E1147" s="111"/>
      <c r="F1147" s="75"/>
      <c r="G1147" s="75"/>
      <c r="H1147" s="75"/>
      <c r="I1147" s="76"/>
    </row>
    <row r="1148" spans="2:9" ht="15.75">
      <c r="B1148" s="74"/>
      <c r="C1148" s="111"/>
      <c r="D1148" s="111"/>
      <c r="E1148" s="111"/>
      <c r="F1148" s="75"/>
      <c r="G1148" s="75"/>
      <c r="H1148" s="75"/>
      <c r="I1148" s="76"/>
    </row>
    <row r="1149" spans="2:9" ht="15.75">
      <c r="B1149" s="74"/>
      <c r="C1149" s="111"/>
      <c r="D1149" s="111"/>
      <c r="E1149" s="111"/>
      <c r="F1149" s="75"/>
      <c r="G1149" s="75"/>
      <c r="H1149" s="75"/>
      <c r="I1149" s="76"/>
    </row>
    <row r="1150" spans="2:9" ht="15.75">
      <c r="B1150" s="74"/>
      <c r="C1150" s="111"/>
      <c r="D1150" s="111"/>
      <c r="E1150" s="111"/>
      <c r="F1150" s="75"/>
      <c r="G1150" s="75"/>
      <c r="H1150" s="75"/>
      <c r="I1150" s="76"/>
    </row>
    <row r="1151" spans="2:9" ht="15.75">
      <c r="B1151" s="74"/>
      <c r="C1151" s="111"/>
      <c r="D1151" s="111"/>
      <c r="E1151" s="111"/>
      <c r="F1151" s="75"/>
      <c r="G1151" s="75"/>
      <c r="H1151" s="75"/>
      <c r="I1151" s="76"/>
    </row>
    <row r="1152" spans="2:9" ht="15.75">
      <c r="B1152" s="74"/>
      <c r="C1152" s="111"/>
      <c r="D1152" s="111"/>
      <c r="E1152" s="111"/>
      <c r="F1152" s="75"/>
      <c r="G1152" s="75"/>
      <c r="H1152" s="75"/>
      <c r="I1152" s="76"/>
    </row>
    <row r="1153" spans="2:9" ht="15.75">
      <c r="B1153" s="74"/>
      <c r="C1153" s="111"/>
      <c r="D1153" s="111"/>
      <c r="E1153" s="111"/>
      <c r="F1153" s="75"/>
      <c r="G1153" s="75"/>
      <c r="H1153" s="75"/>
      <c r="I1153" s="76"/>
    </row>
    <row r="1154" spans="2:9" ht="15.75">
      <c r="B1154" s="74"/>
      <c r="C1154" s="111"/>
      <c r="D1154" s="111"/>
      <c r="E1154" s="111"/>
      <c r="F1154" s="75"/>
      <c r="G1154" s="75"/>
      <c r="H1154" s="75"/>
      <c r="I1154" s="76"/>
    </row>
    <row r="1155" spans="2:9" ht="15.75">
      <c r="B1155" s="74"/>
      <c r="C1155" s="111"/>
      <c r="D1155" s="111"/>
      <c r="E1155" s="111"/>
      <c r="F1155" s="75"/>
      <c r="G1155" s="75"/>
      <c r="H1155" s="75"/>
      <c r="I1155" s="76"/>
    </row>
    <row r="1156" spans="2:9" ht="15.75">
      <c r="B1156" s="74"/>
      <c r="C1156" s="111"/>
      <c r="D1156" s="111"/>
      <c r="E1156" s="111"/>
      <c r="F1156" s="75"/>
      <c r="G1156" s="75"/>
      <c r="H1156" s="75"/>
      <c r="I1156" s="76"/>
    </row>
    <row r="1157" spans="2:9" ht="15.75">
      <c r="B1157" s="74"/>
      <c r="C1157" s="111"/>
      <c r="D1157" s="111"/>
      <c r="E1157" s="111"/>
      <c r="F1157" s="75"/>
      <c r="G1157" s="75"/>
      <c r="H1157" s="75"/>
      <c r="I1157" s="76"/>
    </row>
    <row r="1158" spans="2:9" ht="15.75">
      <c r="B1158" s="74"/>
      <c r="C1158" s="111"/>
      <c r="D1158" s="111"/>
      <c r="E1158" s="111"/>
      <c r="F1158" s="75"/>
      <c r="G1158" s="75"/>
      <c r="H1158" s="75"/>
      <c r="I1158" s="76"/>
    </row>
    <row r="1159" spans="2:9" ht="15.75">
      <c r="B1159" s="74"/>
      <c r="C1159" s="111"/>
      <c r="D1159" s="111"/>
      <c r="E1159" s="111"/>
      <c r="F1159" s="75"/>
      <c r="G1159" s="75"/>
      <c r="H1159" s="75"/>
      <c r="I1159" s="76"/>
    </row>
    <row r="1160" spans="2:9" ht="15.75">
      <c r="B1160" s="74"/>
      <c r="C1160" s="111"/>
      <c r="D1160" s="111"/>
      <c r="E1160" s="111"/>
      <c r="F1160" s="75"/>
      <c r="G1160" s="75"/>
      <c r="H1160" s="75"/>
      <c r="I1160" s="76"/>
    </row>
    <row r="1161" spans="2:9" ht="15.75">
      <c r="B1161" s="74"/>
      <c r="C1161" s="111"/>
      <c r="D1161" s="111"/>
      <c r="E1161" s="111"/>
      <c r="F1161" s="75"/>
      <c r="G1161" s="75"/>
      <c r="H1161" s="75"/>
      <c r="I1161" s="76"/>
    </row>
    <row r="1162" spans="2:9" ht="15.75">
      <c r="B1162" s="74"/>
      <c r="C1162" s="111"/>
      <c r="D1162" s="111"/>
      <c r="E1162" s="111"/>
      <c r="F1162" s="75"/>
      <c r="G1162" s="75"/>
      <c r="H1162" s="75"/>
      <c r="I1162" s="76"/>
    </row>
    <row r="1163" spans="2:9" ht="15.75">
      <c r="B1163" s="74"/>
      <c r="C1163" s="111"/>
      <c r="D1163" s="111"/>
      <c r="E1163" s="111"/>
      <c r="F1163" s="75"/>
      <c r="G1163" s="75"/>
      <c r="H1163" s="75"/>
      <c r="I1163" s="76"/>
    </row>
    <row r="1164" spans="2:9" ht="15.75">
      <c r="B1164" s="74"/>
      <c r="C1164" s="111"/>
      <c r="D1164" s="111"/>
      <c r="E1164" s="111"/>
      <c r="F1164" s="75"/>
      <c r="G1164" s="75"/>
      <c r="H1164" s="75"/>
      <c r="I1164" s="76"/>
    </row>
    <row r="1165" spans="2:9" ht="15.75">
      <c r="B1165" s="74"/>
      <c r="C1165" s="111"/>
      <c r="D1165" s="111"/>
      <c r="E1165" s="111"/>
      <c r="F1165" s="75"/>
      <c r="G1165" s="75"/>
      <c r="H1165" s="75"/>
      <c r="I1165" s="76"/>
    </row>
    <row r="1166" spans="2:9" ht="15.75">
      <c r="B1166" s="74"/>
      <c r="C1166" s="111"/>
      <c r="D1166" s="111"/>
      <c r="E1166" s="111"/>
      <c r="F1166" s="75"/>
      <c r="G1166" s="75"/>
      <c r="H1166" s="75"/>
      <c r="I1166" s="76"/>
    </row>
    <row r="1167" spans="2:9" ht="15.75">
      <c r="B1167" s="74"/>
      <c r="C1167" s="111"/>
      <c r="D1167" s="111"/>
      <c r="E1167" s="111"/>
      <c r="F1167" s="75"/>
      <c r="G1167" s="75"/>
      <c r="H1167" s="75"/>
      <c r="I1167" s="76"/>
    </row>
    <row r="1168" spans="2:9" ht="15.75">
      <c r="B1168" s="74"/>
      <c r="C1168" s="111"/>
      <c r="D1168" s="111"/>
      <c r="E1168" s="111"/>
      <c r="F1168" s="75"/>
      <c r="G1168" s="75"/>
      <c r="H1168" s="75"/>
      <c r="I1168" s="76"/>
    </row>
    <row r="1169" spans="2:9" ht="15.75">
      <c r="B1169" s="74"/>
      <c r="C1169" s="111"/>
      <c r="D1169" s="111"/>
      <c r="E1169" s="111"/>
      <c r="F1169" s="75"/>
      <c r="G1169" s="75"/>
      <c r="H1169" s="75"/>
      <c r="I1169" s="76"/>
    </row>
    <row r="1170" spans="2:9" ht="15.75">
      <c r="B1170" s="74"/>
      <c r="C1170" s="111"/>
      <c r="D1170" s="111"/>
      <c r="E1170" s="111"/>
      <c r="F1170" s="75"/>
      <c r="G1170" s="75"/>
      <c r="H1170" s="75"/>
      <c r="I1170" s="76"/>
    </row>
    <row r="1171" spans="2:9" ht="15.75">
      <c r="B1171" s="74"/>
      <c r="C1171" s="111"/>
      <c r="D1171" s="111"/>
      <c r="E1171" s="111"/>
      <c r="F1171" s="75"/>
      <c r="G1171" s="75"/>
      <c r="H1171" s="75"/>
      <c r="I1171" s="76"/>
    </row>
    <row r="1172" spans="2:9" ht="15.75">
      <c r="B1172" s="74"/>
      <c r="C1172" s="111"/>
      <c r="D1172" s="111"/>
      <c r="E1172" s="111"/>
      <c r="F1172" s="75"/>
      <c r="G1172" s="75"/>
      <c r="H1172" s="75"/>
      <c r="I1172" s="76"/>
    </row>
    <row r="1173" spans="2:9" ht="15.75">
      <c r="B1173" s="74"/>
      <c r="C1173" s="111"/>
      <c r="D1173" s="111"/>
      <c r="E1173" s="111"/>
      <c r="F1173" s="75"/>
      <c r="G1173" s="75"/>
      <c r="H1173" s="75"/>
      <c r="I1173" s="76"/>
    </row>
    <row r="1174" spans="2:9" ht="15.75">
      <c r="B1174" s="74"/>
      <c r="C1174" s="111"/>
      <c r="D1174" s="111"/>
      <c r="E1174" s="111"/>
      <c r="F1174" s="75"/>
      <c r="G1174" s="75"/>
      <c r="H1174" s="75"/>
      <c r="I1174" s="76"/>
    </row>
    <row r="1175" spans="2:9" ht="15.75">
      <c r="B1175" s="74"/>
      <c r="C1175" s="111"/>
      <c r="D1175" s="111"/>
      <c r="E1175" s="111"/>
      <c r="F1175" s="75"/>
      <c r="G1175" s="75"/>
      <c r="H1175" s="75"/>
      <c r="I1175" s="76"/>
    </row>
    <row r="1176" spans="2:9" ht="15.75">
      <c r="B1176" s="74"/>
      <c r="C1176" s="111"/>
      <c r="D1176" s="111"/>
      <c r="E1176" s="111"/>
      <c r="F1176" s="75"/>
      <c r="G1176" s="75"/>
      <c r="H1176" s="75"/>
      <c r="I1176" s="76"/>
    </row>
    <row r="1177" spans="2:9" ht="15.75">
      <c r="B1177" s="74"/>
      <c r="C1177" s="111"/>
      <c r="D1177" s="111"/>
      <c r="E1177" s="111"/>
      <c r="F1177" s="75"/>
      <c r="G1177" s="75"/>
      <c r="H1177" s="75"/>
      <c r="I1177" s="76"/>
    </row>
    <row r="1178" spans="2:9" ht="15.75">
      <c r="B1178" s="74"/>
      <c r="C1178" s="111"/>
      <c r="D1178" s="111"/>
      <c r="E1178" s="111"/>
      <c r="F1178" s="75"/>
      <c r="G1178" s="75"/>
      <c r="H1178" s="75"/>
      <c r="I1178" s="76"/>
    </row>
    <row r="1179" spans="2:9" ht="15.75">
      <c r="B1179" s="74"/>
      <c r="C1179" s="111"/>
      <c r="D1179" s="111"/>
      <c r="E1179" s="111"/>
      <c r="F1179" s="75"/>
      <c r="G1179" s="75"/>
      <c r="H1179" s="75"/>
      <c r="I1179" s="76"/>
    </row>
    <row r="1180" spans="2:9" ht="15.75">
      <c r="B1180" s="74"/>
      <c r="C1180" s="111"/>
      <c r="D1180" s="111"/>
      <c r="E1180" s="111"/>
      <c r="F1180" s="75"/>
      <c r="G1180" s="75"/>
      <c r="H1180" s="75"/>
      <c r="I1180" s="76"/>
    </row>
    <row r="1181" spans="2:9" ht="15.75">
      <c r="B1181" s="74"/>
      <c r="C1181" s="111"/>
      <c r="D1181" s="111"/>
      <c r="E1181" s="111"/>
      <c r="F1181" s="75"/>
      <c r="G1181" s="75"/>
      <c r="H1181" s="75"/>
      <c r="I1181" s="76"/>
    </row>
    <row r="1182" spans="2:9" ht="15.75">
      <c r="B1182" s="74"/>
      <c r="C1182" s="111"/>
      <c r="D1182" s="111"/>
      <c r="E1182" s="111"/>
      <c r="F1182" s="75"/>
      <c r="G1182" s="75"/>
      <c r="H1182" s="75"/>
      <c r="I1182" s="76"/>
    </row>
    <row r="1183" spans="2:9" ht="15.75">
      <c r="B1183" s="74"/>
      <c r="C1183" s="111"/>
      <c r="D1183" s="111"/>
      <c r="E1183" s="111"/>
      <c r="F1183" s="75"/>
      <c r="G1183" s="75"/>
      <c r="H1183" s="75"/>
      <c r="I1183" s="76"/>
    </row>
    <row r="1184" spans="2:9" ht="15.75">
      <c r="B1184" s="74"/>
      <c r="C1184" s="111"/>
      <c r="D1184" s="111"/>
      <c r="E1184" s="111"/>
      <c r="F1184" s="75"/>
      <c r="G1184" s="75"/>
      <c r="H1184" s="75"/>
      <c r="I1184" s="76"/>
    </row>
    <row r="1185" spans="2:9" ht="15.75">
      <c r="B1185" s="74"/>
      <c r="C1185" s="111"/>
      <c r="D1185" s="111"/>
      <c r="E1185" s="111"/>
      <c r="F1185" s="75"/>
      <c r="G1185" s="75"/>
      <c r="H1185" s="75"/>
      <c r="I1185" s="76"/>
    </row>
    <row r="1186" spans="2:9" ht="15.75">
      <c r="B1186" s="74"/>
      <c r="C1186" s="111"/>
      <c r="D1186" s="111"/>
      <c r="E1186" s="111"/>
      <c r="F1186" s="75"/>
      <c r="G1186" s="75"/>
      <c r="H1186" s="75"/>
      <c r="I1186" s="76"/>
    </row>
    <row r="1187" spans="2:9" ht="15.75">
      <c r="B1187" s="74"/>
      <c r="C1187" s="111"/>
      <c r="D1187" s="111"/>
      <c r="E1187" s="111"/>
      <c r="F1187" s="75"/>
      <c r="G1187" s="75"/>
      <c r="H1187" s="75"/>
      <c r="I1187" s="76"/>
    </row>
    <row r="1188" spans="2:9" ht="15.75">
      <c r="B1188" s="74"/>
      <c r="C1188" s="111"/>
      <c r="D1188" s="111"/>
      <c r="E1188" s="111"/>
      <c r="F1188" s="75"/>
      <c r="G1188" s="75"/>
      <c r="H1188" s="75"/>
      <c r="I1188" s="76"/>
    </row>
    <row r="1189" spans="2:9" ht="15.75">
      <c r="B1189" s="74"/>
      <c r="C1189" s="111"/>
      <c r="D1189" s="111"/>
      <c r="E1189" s="111"/>
      <c r="F1189" s="75"/>
      <c r="G1189" s="75"/>
      <c r="H1189" s="75"/>
      <c r="I1189" s="76"/>
    </row>
    <row r="1190" spans="2:9" ht="15.75">
      <c r="B1190" s="74"/>
      <c r="C1190" s="111"/>
      <c r="D1190" s="111"/>
      <c r="E1190" s="111"/>
      <c r="F1190" s="75"/>
      <c r="G1190" s="75"/>
      <c r="H1190" s="75"/>
      <c r="I1190" s="76"/>
    </row>
    <row r="1191" spans="2:9" ht="15.75">
      <c r="B1191" s="74"/>
      <c r="C1191" s="111"/>
      <c r="D1191" s="111"/>
      <c r="E1191" s="111"/>
      <c r="F1191" s="75"/>
      <c r="G1191" s="75"/>
      <c r="H1191" s="75"/>
      <c r="I1191" s="76"/>
    </row>
    <row r="1192" spans="2:9" ht="15.75">
      <c r="B1192" s="74"/>
      <c r="C1192" s="111"/>
      <c r="D1192" s="111"/>
      <c r="E1192" s="111"/>
      <c r="F1192" s="75"/>
      <c r="G1192" s="75"/>
      <c r="H1192" s="75"/>
      <c r="I1192" s="76"/>
    </row>
    <row r="1193" spans="2:9" ht="15.75">
      <c r="B1193" s="74"/>
      <c r="C1193" s="111"/>
      <c r="D1193" s="111"/>
      <c r="E1193" s="111"/>
      <c r="F1193" s="75"/>
      <c r="G1193" s="75"/>
      <c r="H1193" s="75"/>
      <c r="I1193" s="76"/>
    </row>
  </sheetData>
  <sheetProtection formatCells="0" formatColumns="0" formatRows="0" insertColumns="0" insertRows="0" insertHyperlinks="0" deleteColumns="0" deleteRows="0" sort="0" autoFilter="0" pivotTables="0"/>
  <dataConsolidate link="1"/>
  <phoneticPr fontId="49" type="noConversion"/>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7186" r:id="rId4" name="SeasonBox">
          <controlPr defaultSize="0" autoFill="0" autoLine="0" linkedCell="SeasonSearch" listFillRange="SeasonList" r:id="rId5">
            <anchor>
              <from>
                <xdr:col>2</xdr:col>
                <xdr:colOff>666750</xdr:colOff>
                <xdr:row>16</xdr:row>
                <xdr:rowOff>9525</xdr:rowOff>
              </from>
              <to>
                <xdr:col>2</xdr:col>
                <xdr:colOff>2066925</xdr:colOff>
                <xdr:row>17</xdr:row>
                <xdr:rowOff>76200</xdr:rowOff>
              </to>
            </anchor>
          </controlPr>
        </control>
      </mc:Choice>
      <mc:Fallback>
        <control shapeId="7186" r:id="rId4" name="SeasonBox"/>
      </mc:Fallback>
    </mc:AlternateContent>
    <mc:AlternateContent xmlns:mc="http://schemas.openxmlformats.org/markup-compatibility/2006">
      <mc:Choice Requires="x14">
        <control shapeId="7185" r:id="rId6" name="EventTypeBox">
          <controlPr defaultSize="0" autoFill="0" autoLine="0" linkedCell="EventType" listFillRange="EventTypeList" r:id="rId7">
            <anchor>
              <from>
                <xdr:col>2</xdr:col>
                <xdr:colOff>2352675</xdr:colOff>
                <xdr:row>16</xdr:row>
                <xdr:rowOff>9525</xdr:rowOff>
              </from>
              <to>
                <xdr:col>2</xdr:col>
                <xdr:colOff>3752850</xdr:colOff>
                <xdr:row>17</xdr:row>
                <xdr:rowOff>76200</xdr:rowOff>
              </to>
            </anchor>
          </controlPr>
        </control>
      </mc:Choice>
      <mc:Fallback>
        <control shapeId="7185" r:id="rId6" name="EventTypeBox"/>
      </mc:Fallback>
    </mc:AlternateContent>
    <mc:AlternateContent xmlns:mc="http://schemas.openxmlformats.org/markup-compatibility/2006">
      <mc:Choice Requires="x14">
        <control shapeId="7176" r:id="rId8" name="StateBox">
          <controlPr defaultSize="0" autoFill="0" autoLine="0" linkedCell="StateSearch" listFillRange="StateNames" r:id="rId9">
            <anchor>
              <from>
                <xdr:col>2</xdr:col>
                <xdr:colOff>4029075</xdr:colOff>
                <xdr:row>16</xdr:row>
                <xdr:rowOff>9525</xdr:rowOff>
              </from>
              <to>
                <xdr:col>4</xdr:col>
                <xdr:colOff>419100</xdr:colOff>
                <xdr:row>17</xdr:row>
                <xdr:rowOff>76200</xdr:rowOff>
              </to>
            </anchor>
          </controlPr>
        </control>
      </mc:Choice>
      <mc:Fallback>
        <control shapeId="7176" r:id="rId8" name="StateBox"/>
      </mc:Fallback>
    </mc:AlternateContent>
    <mc:AlternateContent xmlns:mc="http://schemas.openxmlformats.org/markup-compatibility/2006">
      <mc:Choice Requires="x14">
        <control shapeId="7184" r:id="rId10" name="APIBox">
          <controlPr defaultSize="0" autoFill="0" autoLine="0" linkedCell="APISearch" listFillRange="APIList" r:id="rId11">
            <anchor>
              <from>
                <xdr:col>1</xdr:col>
                <xdr:colOff>47625</xdr:colOff>
                <xdr:row>16</xdr:row>
                <xdr:rowOff>9525</xdr:rowOff>
              </from>
              <to>
                <xdr:col>2</xdr:col>
                <xdr:colOff>381000</xdr:colOff>
                <xdr:row>17</xdr:row>
                <xdr:rowOff>76200</xdr:rowOff>
              </to>
            </anchor>
          </controlPr>
        </control>
      </mc:Choice>
      <mc:Fallback>
        <control shapeId="7184" r:id="rId10" name="APIBox"/>
      </mc:Fallback>
    </mc:AlternateContent>
    <mc:AlternateContent xmlns:mc="http://schemas.openxmlformats.org/markup-compatibility/2006">
      <mc:Choice Requires="x14">
        <control shapeId="7170" r:id="rId12" name="EventsAddButton">
          <controlPr defaultSize="0" autoFill="0" autoPict="0" macro="[0]!AddEvents" altText="Add Event to Calendar">
            <anchor>
              <from>
                <xdr:col>2</xdr:col>
                <xdr:colOff>38100</xdr:colOff>
                <xdr:row>1</xdr:row>
                <xdr:rowOff>57150</xdr:rowOff>
              </from>
              <to>
                <xdr:col>2</xdr:col>
                <xdr:colOff>1866900</xdr:colOff>
                <xdr:row>2</xdr:row>
                <xdr:rowOff>114300</xdr:rowOff>
              </to>
            </anchor>
          </controlPr>
        </control>
      </mc:Choice>
    </mc:AlternateContent>
    <mc:AlternateContent xmlns:mc="http://schemas.openxmlformats.org/markup-compatibility/2006">
      <mc:Choice Requires="x14">
        <control shapeId="7183" r:id="rId13" name="EventsTransferButton">
          <controlPr defaultSize="0" autoFill="0" autoPict="0" macro="[0]!AddFavoritesEvents" altText="Add Event to Calendar">
            <anchor>
              <from>
                <xdr:col>6</xdr:col>
                <xdr:colOff>285750</xdr:colOff>
                <xdr:row>16</xdr:row>
                <xdr:rowOff>0</xdr:rowOff>
              </from>
              <to>
                <xdr:col>8</xdr:col>
                <xdr:colOff>809625</xdr:colOff>
                <xdr:row>17</xdr:row>
                <xdr:rowOff>57150</xdr:rowOff>
              </to>
            </anchor>
          </controlPr>
        </control>
      </mc:Choice>
    </mc:AlternateContent>
    <mc:AlternateContent xmlns:mc="http://schemas.openxmlformats.org/markup-compatibility/2006">
      <mc:Choice Requires="x14">
        <control shapeId="7187" r:id="rId14" name="EventsUpdateButton">
          <controlPr defaultSize="0" autoFill="0" autoPict="0" macro="[0]!UpdateCalendarButton" altText="Update Calendar">
            <anchor>
              <from>
                <xdr:col>5</xdr:col>
                <xdr:colOff>200025</xdr:colOff>
                <xdr:row>16</xdr:row>
                <xdr:rowOff>9525</xdr:rowOff>
              </from>
              <to>
                <xdr:col>5</xdr:col>
                <xdr:colOff>2028825</xdr:colOff>
                <xdr:row>17</xdr:row>
                <xdr:rowOff>66675</xdr:rowOff>
              </to>
            </anchor>
          </controlPr>
        </control>
      </mc:Choice>
    </mc:AlternateContent>
    <mc:AlternateContent xmlns:mc="http://schemas.openxmlformats.org/markup-compatibility/2006">
      <mc:Choice Requires="x14">
        <control shapeId="7188" r:id="rId15" name="EventsDateButton">
          <controlPr defaultSize="0" autoFill="0" autoPict="0" macro="[0]!EventsDateButton_Click" altText="Add Event to Calendar">
            <anchor>
              <from>
                <xdr:col>2</xdr:col>
                <xdr:colOff>2047875</xdr:colOff>
                <xdr:row>1</xdr:row>
                <xdr:rowOff>57150</xdr:rowOff>
              </from>
              <to>
                <xdr:col>2</xdr:col>
                <xdr:colOff>3876675</xdr:colOff>
                <xdr:row>2</xdr:row>
                <xdr:rowOff>114300</xdr:rowOff>
              </to>
            </anchor>
          </controlPr>
        </control>
      </mc:Choice>
    </mc:AlternateContent>
  </controls>
  <tableParts count="2">
    <tablePart r:id="rId16"/>
    <tablePart r:id="rId1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926-81C4-42F6-AFF6-C1EB76FAF200}">
  <sheetPr codeName="Sheet1"/>
  <dimension ref="A1:AX34"/>
  <sheetViews>
    <sheetView showGridLines="0" showRowColHeaders="0" zoomScaleNormal="100" zoomScaleSheetLayoutView="100" workbookViewId="0">
      <pane ySplit="1" topLeftCell="A2" activePane="bottomLeft" state="frozen"/>
      <selection pane="bottomLeft" activeCell="C4" sqref="C4"/>
    </sheetView>
  </sheetViews>
  <sheetFormatPr defaultColWidth="0" defaultRowHeight="14.25"/>
  <cols>
    <col min="1" max="1" width="1.7109375" style="39" customWidth="1"/>
    <col min="2" max="2" width="38.5703125" style="39" bestFit="1" customWidth="1"/>
    <col min="3" max="3" width="6.7109375" style="39" customWidth="1"/>
    <col min="4" max="4" width="4.28515625" style="39" customWidth="1"/>
    <col min="5" max="5" width="5.7109375" style="39" customWidth="1"/>
    <col min="6" max="6" width="4.28515625" style="39" customWidth="1"/>
    <col min="7" max="7" width="6.7109375" style="39" customWidth="1"/>
    <col min="8" max="8" width="6.140625" style="39" bestFit="1" customWidth="1"/>
    <col min="9" max="9" width="5.7109375" style="102" customWidth="1"/>
    <col min="10" max="10" width="13.28515625" style="102" customWidth="1"/>
    <col min="11" max="11" width="55.7109375" style="102" customWidth="1"/>
    <col min="12" max="12" width="23.140625" style="102" bestFit="1" customWidth="1"/>
    <col min="13" max="13" width="7" style="102" bestFit="1" customWidth="1"/>
    <col min="14" max="22" width="10.7109375" style="102" customWidth="1"/>
    <col min="23" max="27" width="10.7109375" style="102" hidden="1" customWidth="1"/>
    <col min="28" max="31" width="10.7109375" style="39" hidden="1" customWidth="1"/>
    <col min="32" max="50" width="0" style="39" hidden="1" customWidth="1"/>
    <col min="51" max="16384" width="9.140625" style="39" hidden="1"/>
  </cols>
  <sheetData>
    <row r="1" spans="1:50" s="38" customFormat="1" ht="21" customHeight="1">
      <c r="A1" s="113"/>
      <c r="B1" s="112" t="s">
        <v>555</v>
      </c>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03"/>
      <c r="AE1" s="103"/>
      <c r="AF1" s="103"/>
      <c r="AG1" s="103"/>
      <c r="AH1" s="103"/>
      <c r="AI1" s="103"/>
      <c r="AJ1" s="103"/>
      <c r="AK1" s="103"/>
      <c r="AL1" s="103"/>
      <c r="AM1" s="103"/>
      <c r="AN1" s="103"/>
      <c r="AO1" s="103"/>
      <c r="AP1" s="103"/>
      <c r="AQ1" s="103"/>
      <c r="AR1" s="103"/>
      <c r="AS1" s="103"/>
      <c r="AT1" s="103"/>
      <c r="AU1" s="103"/>
      <c r="AV1" s="103"/>
      <c r="AW1" s="103"/>
      <c r="AX1" s="103"/>
    </row>
    <row r="2" spans="1:50" ht="5.0999999999999996" customHeight="1"/>
    <row r="3" spans="1:50" s="40" customFormat="1" ht="18">
      <c r="B3" s="404" t="s">
        <v>54</v>
      </c>
      <c r="C3" s="405"/>
      <c r="D3" s="405"/>
      <c r="E3" s="405"/>
      <c r="F3" s="405"/>
      <c r="G3" s="405"/>
      <c r="H3" s="406"/>
      <c r="I3" s="103"/>
      <c r="J3" s="144" t="s">
        <v>531</v>
      </c>
      <c r="K3" s="145"/>
      <c r="L3" s="145"/>
      <c r="M3" s="148"/>
      <c r="N3" s="103"/>
      <c r="O3" s="103"/>
      <c r="P3" s="103"/>
      <c r="Q3" s="103"/>
      <c r="R3" s="103"/>
      <c r="S3" s="103"/>
      <c r="T3" s="103"/>
      <c r="U3" s="103"/>
      <c r="V3" s="103"/>
      <c r="W3" s="103"/>
      <c r="X3" s="103"/>
      <c r="Y3" s="103"/>
      <c r="Z3" s="103"/>
      <c r="AA3" s="103"/>
    </row>
    <row r="4" spans="1:50" ht="15.75">
      <c r="B4" s="200" t="s">
        <v>59</v>
      </c>
      <c r="C4" s="278">
        <v>1</v>
      </c>
      <c r="D4" s="279" t="s">
        <v>52</v>
      </c>
      <c r="E4" s="278">
        <v>30</v>
      </c>
      <c r="F4" s="280" t="s">
        <v>53</v>
      </c>
      <c r="G4" s="281"/>
      <c r="H4" s="275">
        <f>Available_Annual_Hours</f>
        <v>360</v>
      </c>
      <c r="I4" s="141"/>
      <c r="J4" s="107" t="s">
        <v>18</v>
      </c>
      <c r="K4" s="107" t="s">
        <v>10</v>
      </c>
      <c r="L4" s="107" t="s">
        <v>354</v>
      </c>
      <c r="M4" s="4" t="s">
        <v>209</v>
      </c>
      <c r="N4" s="141"/>
      <c r="O4" s="141"/>
      <c r="P4" s="141"/>
      <c r="Q4" s="141"/>
      <c r="R4" s="141"/>
      <c r="S4" s="141"/>
      <c r="T4" s="141"/>
      <c r="U4" s="141"/>
      <c r="V4" s="141"/>
      <c r="W4" s="141"/>
      <c r="X4" s="141"/>
      <c r="Y4" s="141"/>
      <c r="Z4" s="141"/>
      <c r="AA4" s="39"/>
    </row>
    <row r="5" spans="1:50" ht="15.75">
      <c r="B5" s="200" t="s">
        <v>58</v>
      </c>
      <c r="C5" s="282">
        <v>5</v>
      </c>
      <c r="D5" s="283"/>
      <c r="E5" s="284"/>
      <c r="F5" s="285"/>
      <c r="G5" s="285"/>
      <c r="H5" s="276">
        <f>Available_Annual_Hours</f>
        <v>360</v>
      </c>
      <c r="I5" s="141"/>
      <c r="J5" s="142"/>
      <c r="K5" s="143"/>
      <c r="L5" s="143"/>
      <c r="M5" s="149"/>
      <c r="N5" s="240" t="s">
        <v>97</v>
      </c>
      <c r="O5" s="141"/>
      <c r="P5" s="141"/>
      <c r="Q5" s="141"/>
      <c r="R5" s="141"/>
      <c r="S5" s="141"/>
      <c r="T5" s="141"/>
      <c r="U5" s="141"/>
      <c r="V5" s="141"/>
      <c r="W5" s="141"/>
      <c r="X5" s="141"/>
      <c r="Y5" s="141"/>
      <c r="Z5" s="141"/>
      <c r="AA5" s="39"/>
    </row>
    <row r="6" spans="1:50" ht="15.75">
      <c r="B6" s="200" t="s">
        <v>64</v>
      </c>
      <c r="C6" s="286">
        <v>3</v>
      </c>
      <c r="D6" s="287" t="s">
        <v>55</v>
      </c>
      <c r="E6" s="286">
        <v>22</v>
      </c>
      <c r="F6" s="287" t="s">
        <v>55</v>
      </c>
      <c r="G6" s="288">
        <v>2021</v>
      </c>
      <c r="H6" s="275">
        <f>Weeks_Available</f>
        <v>12</v>
      </c>
      <c r="I6" s="141"/>
      <c r="J6" s="142"/>
      <c r="K6" s="143"/>
      <c r="L6" s="143"/>
      <c r="M6" s="149"/>
      <c r="N6" s="240" t="s">
        <v>97</v>
      </c>
      <c r="O6" s="141"/>
      <c r="P6" s="141"/>
      <c r="Q6" s="141"/>
      <c r="R6" s="141"/>
      <c r="S6" s="141"/>
      <c r="T6" s="141"/>
      <c r="U6" s="141"/>
      <c r="V6" s="141"/>
      <c r="W6" s="141"/>
      <c r="X6" s="141"/>
      <c r="Y6" s="141"/>
      <c r="Z6" s="141"/>
      <c r="AA6" s="39"/>
    </row>
    <row r="7" spans="1:50" ht="15.75">
      <c r="B7" s="200" t="s">
        <v>56</v>
      </c>
      <c r="C7" s="277">
        <v>6</v>
      </c>
      <c r="D7" s="287" t="s">
        <v>55</v>
      </c>
      <c r="E7" s="277">
        <v>12</v>
      </c>
      <c r="F7" s="287" t="s">
        <v>55</v>
      </c>
      <c r="G7" s="289">
        <v>2021</v>
      </c>
      <c r="H7" s="275">
        <f>Weeks_Available</f>
        <v>12</v>
      </c>
      <c r="I7" s="141"/>
      <c r="J7" s="142"/>
      <c r="K7" s="143"/>
      <c r="L7" s="143"/>
      <c r="M7" s="149"/>
      <c r="N7" s="240" t="s">
        <v>97</v>
      </c>
      <c r="O7" s="141"/>
      <c r="P7" s="141"/>
      <c r="Q7" s="141"/>
      <c r="R7" s="141"/>
      <c r="S7" s="141"/>
      <c r="T7" s="141"/>
      <c r="U7" s="141"/>
      <c r="V7" s="141"/>
      <c r="W7" s="141"/>
      <c r="X7" s="141"/>
      <c r="Y7" s="141"/>
      <c r="Z7" s="141"/>
      <c r="AA7" s="39"/>
    </row>
    <row r="8" spans="1:50" ht="15.75">
      <c r="B8" s="200" t="s">
        <v>57</v>
      </c>
      <c r="C8" s="277">
        <v>6</v>
      </c>
      <c r="D8" s="285" t="s">
        <v>507</v>
      </c>
      <c r="E8" s="277"/>
      <c r="F8" s="290" t="str">
        <f>IF(ISBLANK(HeightUnit)=TRUE,"",IF(HeightUnit="ft","in","cm"))</f>
        <v>in</v>
      </c>
      <c r="G8" s="291"/>
      <c r="H8" s="292"/>
      <c r="I8" s="104"/>
      <c r="J8" s="142"/>
      <c r="K8" s="143"/>
      <c r="L8" s="143"/>
      <c r="M8" s="149"/>
      <c r="N8" s="241" t="s">
        <v>97</v>
      </c>
      <c r="O8" s="104"/>
      <c r="P8" s="104"/>
      <c r="Q8" s="104"/>
      <c r="R8" s="104"/>
      <c r="S8" s="104"/>
      <c r="T8" s="104"/>
      <c r="U8" s="104"/>
      <c r="V8" s="104"/>
      <c r="W8" s="104"/>
      <c r="X8" s="104"/>
      <c r="Y8" s="104"/>
      <c r="Z8" s="104"/>
      <c r="AA8" s="39"/>
    </row>
    <row r="9" spans="1:50" ht="15.75">
      <c r="B9" s="201" t="s">
        <v>427</v>
      </c>
      <c r="C9" s="411">
        <f>IF(AND(StartYear&lt;&gt;"",StartMonth&lt;&gt;"",StartDay&lt;&gt;"")=TRUE,IFERROR(MONDAYDATE(DATE(StartYear,StartMonth,StartDay)),""),"")</f>
        <v>44277</v>
      </c>
      <c r="D9" s="411"/>
      <c r="E9" s="411"/>
      <c r="F9" s="411"/>
      <c r="G9" s="411"/>
      <c r="H9" s="293"/>
      <c r="I9" s="95"/>
      <c r="J9" s="142"/>
      <c r="K9" s="143"/>
      <c r="L9" s="143"/>
      <c r="M9" s="149"/>
      <c r="N9" s="242" t="s">
        <v>97</v>
      </c>
      <c r="O9" s="95"/>
      <c r="P9" s="95"/>
      <c r="Q9" s="95"/>
      <c r="R9" s="95"/>
      <c r="S9" s="95"/>
      <c r="T9" s="95"/>
      <c r="U9" s="95"/>
      <c r="V9" s="95"/>
      <c r="W9" s="95"/>
      <c r="X9" s="95"/>
      <c r="Y9" s="95"/>
      <c r="Z9" s="95"/>
      <c r="AA9" s="39"/>
    </row>
    <row r="10" spans="1:50" ht="15.75">
      <c r="B10" s="201" t="s">
        <v>428</v>
      </c>
      <c r="C10" s="411">
        <f>IF(AND(RaceYear&lt;&gt;"",RaceMonth&lt;&gt;"",RaceDay&lt;&gt;"")=TRUE,IFERROR(MONDAYDATE(DATE(RaceYear,RaceMonth,RaceDay)),""),"")</f>
        <v>44354</v>
      </c>
      <c r="D10" s="411"/>
      <c r="E10" s="411"/>
      <c r="F10" s="411"/>
      <c r="G10" s="411"/>
      <c r="H10" s="293"/>
      <c r="I10" s="95"/>
      <c r="J10" s="142"/>
      <c r="K10" s="143"/>
      <c r="L10" s="143"/>
      <c r="M10" s="149"/>
      <c r="N10" s="242" t="s">
        <v>97</v>
      </c>
      <c r="O10" s="95"/>
      <c r="P10" s="95"/>
      <c r="Q10" s="95"/>
      <c r="R10" s="95"/>
      <c r="S10" s="95"/>
      <c r="T10" s="95"/>
      <c r="U10" s="95"/>
      <c r="V10" s="95"/>
      <c r="W10" s="95"/>
      <c r="X10" s="95"/>
      <c r="Y10" s="95"/>
      <c r="Z10" s="95"/>
      <c r="AA10" s="39"/>
    </row>
    <row r="11" spans="1:50" ht="15.75">
      <c r="B11" s="202" t="s">
        <v>65</v>
      </c>
      <c r="C11" s="409" t="s">
        <v>340</v>
      </c>
      <c r="D11" s="409"/>
      <c r="E11" s="409"/>
      <c r="F11" s="409"/>
      <c r="G11" s="409"/>
      <c r="H11" s="410"/>
      <c r="I11" s="105"/>
      <c r="J11" s="142"/>
      <c r="K11" s="143"/>
      <c r="L11" s="143"/>
      <c r="M11" s="149"/>
      <c r="N11" s="243" t="s">
        <v>97</v>
      </c>
      <c r="O11" s="105"/>
      <c r="P11" s="105"/>
      <c r="Q11" s="105"/>
      <c r="R11" s="105"/>
      <c r="S11" s="105"/>
      <c r="T11" s="105"/>
      <c r="U11" s="105"/>
      <c r="V11" s="105"/>
      <c r="W11" s="105"/>
      <c r="X11" s="105"/>
      <c r="Y11" s="105"/>
      <c r="Z11" s="105"/>
      <c r="AA11" s="39"/>
    </row>
    <row r="12" spans="1:50" ht="15.75" hidden="1" customHeight="1">
      <c r="B12" s="294" t="s">
        <v>67</v>
      </c>
      <c r="C12" s="295">
        <f>IFERROR((_xlfn.DAYS(LastWeek,FirstWeek)/7)+1,0)</f>
        <v>12</v>
      </c>
      <c r="D12" s="295"/>
      <c r="E12" s="296"/>
      <c r="F12" s="295"/>
      <c r="G12" s="295"/>
      <c r="H12" s="297"/>
      <c r="I12" s="95"/>
      <c r="J12" s="146"/>
      <c r="K12" s="147"/>
      <c r="L12" s="147"/>
      <c r="M12" s="149"/>
      <c r="N12" s="95"/>
      <c r="O12" s="95"/>
      <c r="P12" s="95"/>
      <c r="Q12" s="95"/>
      <c r="R12" s="95"/>
      <c r="S12" s="95"/>
      <c r="T12" s="95"/>
      <c r="U12" s="95"/>
      <c r="V12" s="95"/>
      <c r="W12" s="95"/>
      <c r="X12" s="95"/>
      <c r="Y12" s="95"/>
      <c r="Z12" s="95"/>
      <c r="AA12" s="39"/>
    </row>
    <row r="13" spans="1:50" ht="15.75" hidden="1" customHeight="1">
      <c r="B13" s="298" t="s">
        <v>426</v>
      </c>
      <c r="C13" s="299">
        <f>INT(((HoursPerDay + (MinPerDay / 60)) * DaysPerWeek * 48))</f>
        <v>360</v>
      </c>
      <c r="D13" s="299"/>
      <c r="E13" s="300"/>
      <c r="F13" s="299"/>
      <c r="G13" s="299"/>
      <c r="H13" s="301"/>
      <c r="I13" s="95"/>
      <c r="J13" s="146"/>
      <c r="K13" s="147"/>
      <c r="L13" s="147"/>
      <c r="M13" s="149"/>
      <c r="N13" s="95"/>
      <c r="O13" s="95"/>
      <c r="P13" s="95"/>
      <c r="Q13" s="95"/>
      <c r="R13" s="95"/>
      <c r="S13" s="95"/>
      <c r="T13" s="95"/>
      <c r="U13" s="95"/>
      <c r="V13" s="95"/>
      <c r="W13" s="95"/>
      <c r="X13" s="95"/>
      <c r="Y13" s="95"/>
      <c r="Z13" s="95"/>
      <c r="AA13" s="39"/>
    </row>
    <row r="14" spans="1:50" ht="15.75" hidden="1" customHeight="1">
      <c r="B14" s="302" t="s">
        <v>66</v>
      </c>
      <c r="C14" s="303"/>
      <c r="D14" s="303"/>
      <c r="E14" s="303"/>
      <c r="F14" s="303"/>
      <c r="G14" s="303"/>
      <c r="H14" s="304"/>
      <c r="I14" s="104"/>
      <c r="J14" s="146"/>
      <c r="K14" s="147"/>
      <c r="L14" s="147"/>
      <c r="M14" s="149"/>
      <c r="N14" s="104"/>
      <c r="O14" s="104"/>
      <c r="P14" s="104"/>
      <c r="Q14" s="104"/>
      <c r="R14" s="104"/>
      <c r="S14" s="104"/>
      <c r="T14" s="104"/>
      <c r="U14" s="104"/>
      <c r="V14" s="104"/>
      <c r="W14" s="104"/>
      <c r="X14" s="104"/>
      <c r="Y14" s="104"/>
      <c r="Z14" s="104"/>
      <c r="AA14" s="39"/>
    </row>
    <row r="15" spans="1:50" ht="15.75" hidden="1">
      <c r="A15" s="117"/>
      <c r="B15" s="305" t="s">
        <v>0</v>
      </c>
      <c r="C15" s="306" t="s">
        <v>14</v>
      </c>
      <c r="D15" s="307" t="s">
        <v>73</v>
      </c>
      <c r="E15" s="306" t="s">
        <v>15</v>
      </c>
      <c r="F15" s="307" t="s">
        <v>74</v>
      </c>
      <c r="G15" s="306" t="s">
        <v>16</v>
      </c>
      <c r="H15" s="308" t="s">
        <v>429</v>
      </c>
      <c r="I15" s="107"/>
      <c r="J15" s="107"/>
      <c r="K15" s="107"/>
      <c r="L15" s="107"/>
      <c r="M15" s="107"/>
      <c r="N15" s="107"/>
      <c r="O15" s="107"/>
      <c r="P15" s="107"/>
      <c r="Q15" s="107"/>
      <c r="R15" s="107"/>
      <c r="S15" s="107"/>
      <c r="T15" s="107"/>
      <c r="U15" s="107"/>
      <c r="V15" s="107"/>
      <c r="W15" s="107"/>
      <c r="X15" s="107"/>
      <c r="Y15" s="107"/>
      <c r="Z15" s="107"/>
      <c r="AA15" s="107"/>
    </row>
    <row r="16" spans="1:50" ht="15.75" hidden="1">
      <c r="A16" s="117"/>
      <c r="B16" s="309" t="s">
        <v>2</v>
      </c>
      <c r="C16" s="310">
        <v>1</v>
      </c>
      <c r="D16" s="311">
        <f>IF(Number_of_Weeks[[#This Row],[Max]]&lt;Number_of_Weeks[[#This Row],[Min]],0,1)</f>
        <v>1</v>
      </c>
      <c r="E16" s="310">
        <v>1</v>
      </c>
      <c r="F16" s="311">
        <f>IF(Number_of_Weeks[[#This Row],[Max]]&lt;Number_of_Weeks[[#This Row],[Min]],0,1)</f>
        <v>1</v>
      </c>
      <c r="G16" s="312">
        <v>1</v>
      </c>
      <c r="H16" s="313">
        <v>8</v>
      </c>
      <c r="I16" s="95"/>
      <c r="J16" s="95"/>
      <c r="K16" s="95"/>
      <c r="L16" s="95"/>
      <c r="M16" s="95"/>
      <c r="N16" s="95"/>
      <c r="O16" s="95"/>
      <c r="P16" s="95"/>
      <c r="Q16" s="95"/>
      <c r="R16" s="95"/>
      <c r="S16" s="95"/>
      <c r="T16" s="95"/>
      <c r="U16" s="95"/>
      <c r="V16" s="95"/>
      <c r="W16" s="95"/>
      <c r="X16" s="95"/>
      <c r="Y16" s="95"/>
      <c r="Z16" s="95"/>
      <c r="AA16" s="95"/>
    </row>
    <row r="17" spans="1:27" ht="15.75" hidden="1">
      <c r="A17" s="117"/>
      <c r="B17" s="305" t="s">
        <v>1</v>
      </c>
      <c r="C17" s="310">
        <v>2</v>
      </c>
      <c r="D17" s="311">
        <f>IF(Number_of_Weeks[[#This Row],[Max]]&lt;Number_of_Weeks[[#This Row],[Min]],0,1)</f>
        <v>1</v>
      </c>
      <c r="E17" s="310">
        <v>1</v>
      </c>
      <c r="F17" s="311">
        <f>IF(Number_of_Weeks[[#This Row],[Max]]&lt;Number_of_Weeks[[#This Row],[Min]],0,1)</f>
        <v>1</v>
      </c>
      <c r="G17" s="312">
        <v>2</v>
      </c>
      <c r="H17" s="313">
        <v>7</v>
      </c>
      <c r="I17" s="95"/>
      <c r="J17" s="95"/>
      <c r="K17" s="95"/>
      <c r="L17" s="95"/>
      <c r="M17" s="95"/>
      <c r="N17" s="95"/>
      <c r="O17" s="95"/>
      <c r="P17" s="95"/>
      <c r="Q17" s="95"/>
      <c r="R17" s="95"/>
      <c r="S17" s="95"/>
      <c r="T17" s="95"/>
      <c r="U17" s="95"/>
      <c r="V17" s="95"/>
      <c r="W17" s="95"/>
      <c r="X17" s="95"/>
      <c r="Y17" s="95"/>
      <c r="Z17" s="95"/>
      <c r="AA17" s="95"/>
    </row>
    <row r="18" spans="1:27" ht="15.75" hidden="1">
      <c r="A18" s="117"/>
      <c r="B18" s="305" t="s">
        <v>11</v>
      </c>
      <c r="C18" s="310">
        <v>4</v>
      </c>
      <c r="D18" s="311">
        <f>IF(Number_of_Weeks[[#This Row],[Max]]&lt;Number_of_Weeks[[#This Row],[Min]],0,1)</f>
        <v>1</v>
      </c>
      <c r="E18" s="310">
        <v>0</v>
      </c>
      <c r="F18" s="311">
        <f>IF(Number_of_Weeks[[#This Row],[Max]]&lt;Number_of_Weeks[[#This Row],[Min]],0,1)</f>
        <v>1</v>
      </c>
      <c r="G18" s="312">
        <v>4</v>
      </c>
      <c r="H18" s="313">
        <v>6</v>
      </c>
      <c r="I18" s="95"/>
      <c r="J18" s="95"/>
      <c r="K18" s="95"/>
      <c r="L18" s="95"/>
      <c r="M18" s="95"/>
      <c r="N18" s="95"/>
      <c r="O18" s="95"/>
      <c r="P18" s="95"/>
      <c r="Q18" s="95"/>
      <c r="R18" s="95"/>
      <c r="S18" s="95"/>
      <c r="T18" s="95"/>
      <c r="U18" s="95"/>
      <c r="V18" s="95"/>
      <c r="W18" s="95"/>
      <c r="X18" s="95"/>
      <c r="Y18" s="95"/>
      <c r="Z18" s="95"/>
      <c r="AA18" s="95"/>
    </row>
    <row r="19" spans="1:27" ht="15.75" hidden="1">
      <c r="A19" s="117"/>
      <c r="B19" s="305" t="s">
        <v>12</v>
      </c>
      <c r="C19" s="310">
        <v>4</v>
      </c>
      <c r="D19" s="311">
        <f>IF(Number_of_Weeks[[#This Row],[Max]]&lt;Number_of_Weeks[[#This Row],[Min]],0,1)</f>
        <v>1</v>
      </c>
      <c r="E19" s="310">
        <v>0</v>
      </c>
      <c r="F19" s="311">
        <f>IF(Number_of_Weeks[[#This Row],[Max]]&lt;Number_of_Weeks[[#This Row],[Min]],0,1)</f>
        <v>1</v>
      </c>
      <c r="G19" s="312">
        <v>4</v>
      </c>
      <c r="H19" s="313">
        <v>5</v>
      </c>
      <c r="I19" s="95"/>
      <c r="J19" s="95"/>
      <c r="K19" s="95"/>
      <c r="L19" s="95"/>
      <c r="M19" s="95"/>
      <c r="N19" s="95"/>
      <c r="O19" s="95"/>
      <c r="P19" s="95"/>
      <c r="Q19" s="95"/>
      <c r="R19" s="95"/>
      <c r="S19" s="95"/>
      <c r="T19" s="95"/>
      <c r="U19" s="95"/>
      <c r="V19" s="95"/>
      <c r="W19" s="95"/>
      <c r="X19" s="95"/>
      <c r="Y19" s="95"/>
      <c r="Z19" s="95"/>
      <c r="AA19" s="95"/>
    </row>
    <row r="20" spans="1:27" ht="15.75" hidden="1">
      <c r="A20" s="117"/>
      <c r="B20" s="305" t="s">
        <v>23</v>
      </c>
      <c r="C20" s="310">
        <v>4</v>
      </c>
      <c r="D20" s="311">
        <f>IF(Number_of_Weeks[[#This Row],[Max]]&lt;Number_of_Weeks[[#This Row],[Min]],0,1)</f>
        <v>1</v>
      </c>
      <c r="E20" s="310">
        <v>0</v>
      </c>
      <c r="F20" s="311">
        <f>IF(Number_of_Weeks[[#This Row],[Max]]&lt;Number_of_Weeks[[#This Row],[Min]],0,1)</f>
        <v>1</v>
      </c>
      <c r="G20" s="312">
        <v>1</v>
      </c>
      <c r="H20" s="313">
        <v>4</v>
      </c>
      <c r="I20" s="95"/>
      <c r="J20" s="95"/>
      <c r="K20" s="95"/>
      <c r="L20" s="95"/>
      <c r="M20" s="95"/>
      <c r="N20" s="95"/>
      <c r="O20" s="95"/>
      <c r="P20" s="95"/>
      <c r="Q20" s="95"/>
      <c r="R20" s="95"/>
      <c r="S20" s="95"/>
      <c r="T20" s="95"/>
      <c r="U20" s="95"/>
      <c r="V20" s="95"/>
      <c r="W20" s="95"/>
      <c r="X20" s="95"/>
      <c r="Y20" s="95"/>
      <c r="Z20" s="95"/>
      <c r="AA20" s="95"/>
    </row>
    <row r="21" spans="1:27" ht="15.75" hidden="1">
      <c r="A21" s="117"/>
      <c r="B21" s="305" t="s">
        <v>22</v>
      </c>
      <c r="C21" s="310">
        <v>4</v>
      </c>
      <c r="D21" s="311">
        <f>IF(Number_of_Weeks[[#This Row],[Max]]&lt;Number_of_Weeks[[#This Row],[Min]],0,1)</f>
        <v>1</v>
      </c>
      <c r="E21" s="310">
        <v>0</v>
      </c>
      <c r="F21" s="311">
        <f>IF(Number_of_Weeks[[#This Row],[Max]]&lt;Number_of_Weeks[[#This Row],[Min]],0,1)</f>
        <v>1</v>
      </c>
      <c r="G21" s="312">
        <v>0</v>
      </c>
      <c r="H21" s="313">
        <v>3</v>
      </c>
      <c r="I21" s="95"/>
      <c r="J21" s="95"/>
      <c r="K21" s="95"/>
      <c r="L21" s="95"/>
      <c r="M21" s="95"/>
      <c r="N21" s="95"/>
      <c r="O21" s="95"/>
      <c r="P21" s="95"/>
      <c r="Q21" s="95"/>
      <c r="R21" s="95"/>
      <c r="S21" s="95"/>
      <c r="T21" s="95"/>
      <c r="U21" s="95"/>
      <c r="V21" s="95"/>
      <c r="W21" s="95"/>
      <c r="X21" s="95"/>
      <c r="Y21" s="95"/>
      <c r="Z21" s="95"/>
      <c r="AA21" s="95"/>
    </row>
    <row r="22" spans="1:27" ht="15.75" hidden="1">
      <c r="A22" s="117"/>
      <c r="B22" s="305" t="s">
        <v>21</v>
      </c>
      <c r="C22" s="310">
        <v>4</v>
      </c>
      <c r="D22" s="311">
        <f>IF(Number_of_Weeks[[#This Row],[Max]]&lt;Number_of_Weeks[[#This Row],[Min]],0,1)</f>
        <v>1</v>
      </c>
      <c r="E22" s="310">
        <v>0</v>
      </c>
      <c r="F22" s="311">
        <f>IF(Number_of_Weeks[[#This Row],[Max]]&lt;Number_of_Weeks[[#This Row],[Min]],0,1)</f>
        <v>1</v>
      </c>
      <c r="G22" s="312">
        <v>0</v>
      </c>
      <c r="H22" s="313">
        <v>2</v>
      </c>
      <c r="I22" s="95"/>
      <c r="J22" s="95"/>
      <c r="K22" s="95"/>
      <c r="L22" s="95"/>
      <c r="M22" s="95"/>
      <c r="N22" s="95"/>
      <c r="O22" s="95"/>
      <c r="P22" s="95"/>
      <c r="Q22" s="95"/>
      <c r="R22" s="95"/>
      <c r="S22" s="95"/>
      <c r="T22" s="95"/>
      <c r="U22" s="95"/>
      <c r="V22" s="95"/>
      <c r="W22" s="95"/>
      <c r="X22" s="95"/>
      <c r="Y22" s="95"/>
      <c r="Z22" s="95"/>
      <c r="AA22" s="95"/>
    </row>
    <row r="23" spans="1:27" ht="15.75" hidden="1">
      <c r="A23" s="117"/>
      <c r="B23" s="314" t="s">
        <v>98</v>
      </c>
      <c r="C23" s="315">
        <v>4</v>
      </c>
      <c r="D23" s="316">
        <f>IF(Number_of_Weeks[[#This Row],[Max]]&lt;Number_of_Weeks[[#This Row],[Min]],0,1)</f>
        <v>1</v>
      </c>
      <c r="E23" s="315">
        <v>0</v>
      </c>
      <c r="F23" s="316">
        <f>IF(Number_of_Weeks[[#This Row],[Max]]&lt;Number_of_Weeks[[#This Row],[Min]],0,1)</f>
        <v>1</v>
      </c>
      <c r="G23" s="317">
        <v>0</v>
      </c>
      <c r="H23" s="318">
        <v>1</v>
      </c>
      <c r="I23" s="95"/>
      <c r="J23" s="95"/>
      <c r="K23" s="95"/>
      <c r="L23" s="95"/>
      <c r="M23" s="95"/>
      <c r="N23" s="95"/>
      <c r="O23" s="95"/>
      <c r="P23" s="95"/>
      <c r="Q23" s="95"/>
      <c r="R23" s="95"/>
      <c r="S23" s="95"/>
      <c r="T23" s="95"/>
      <c r="U23" s="95"/>
      <c r="V23" s="95"/>
      <c r="W23" s="95"/>
      <c r="X23" s="95"/>
      <c r="Y23" s="95"/>
      <c r="Z23" s="95"/>
      <c r="AA23" s="95"/>
    </row>
    <row r="24" spans="1:27" ht="15.75" hidden="1">
      <c r="A24" s="117"/>
      <c r="B24" s="319" t="s">
        <v>13</v>
      </c>
      <c r="C24" s="320">
        <f>SUM(Number_of_Weeks[Max])</f>
        <v>27</v>
      </c>
      <c r="D24" s="321"/>
      <c r="E24" s="320">
        <f>SUM(Number_of_Weeks[Min])</f>
        <v>2</v>
      </c>
      <c r="F24" s="322"/>
      <c r="G24" s="320">
        <f>SUM(Number_of_Weeks[Plan])</f>
        <v>12</v>
      </c>
      <c r="H24" s="323">
        <f>SUMPRODUCT(Period_Weight,Number_of_Weeks[Plan])</f>
        <v>70</v>
      </c>
      <c r="I24" s="95"/>
      <c r="J24" s="95"/>
      <c r="K24" s="95"/>
      <c r="L24" s="95"/>
      <c r="M24" s="95"/>
      <c r="N24" s="95"/>
      <c r="O24" s="95"/>
      <c r="P24" s="95"/>
      <c r="Q24" s="95"/>
      <c r="R24" s="95"/>
      <c r="S24" s="95"/>
      <c r="T24" s="95"/>
      <c r="U24" s="95"/>
      <c r="V24" s="95"/>
      <c r="W24" s="95"/>
      <c r="X24" s="95"/>
      <c r="Y24" s="95"/>
      <c r="Z24" s="95"/>
      <c r="AA24" s="95"/>
    </row>
    <row r="25" spans="1:27" ht="24" hidden="1" customHeight="1">
      <c r="B25" s="324" t="s">
        <v>60</v>
      </c>
      <c r="C25" s="325"/>
      <c r="D25" s="326"/>
      <c r="E25" s="327"/>
      <c r="F25" s="328"/>
      <c r="G25" s="328"/>
      <c r="H25" s="329"/>
      <c r="I25" s="106"/>
      <c r="J25" s="106"/>
      <c r="K25" s="106"/>
      <c r="L25" s="106"/>
      <c r="M25" s="106"/>
      <c r="N25" s="106"/>
      <c r="O25" s="106"/>
      <c r="P25" s="106"/>
      <c r="Q25" s="106"/>
      <c r="R25" s="106"/>
      <c r="S25" s="106"/>
      <c r="T25" s="106"/>
      <c r="U25" s="106"/>
      <c r="V25" s="106"/>
      <c r="W25" s="106"/>
      <c r="X25" s="106"/>
      <c r="Y25" s="106"/>
      <c r="Z25" s="106"/>
      <c r="AA25" s="106"/>
    </row>
    <row r="26" spans="1:27" ht="15.75" hidden="1">
      <c r="B26" s="330" t="s">
        <v>206</v>
      </c>
      <c r="C26" s="407" t="s">
        <v>207</v>
      </c>
      <c r="D26" s="407"/>
      <c r="E26" s="407"/>
      <c r="F26" s="407"/>
      <c r="G26" s="407"/>
      <c r="H26" s="408"/>
      <c r="I26" s="108"/>
      <c r="J26" s="108"/>
      <c r="K26" s="108"/>
      <c r="L26" s="108"/>
      <c r="M26" s="108"/>
      <c r="N26" s="108"/>
      <c r="O26" s="108"/>
      <c r="P26" s="108"/>
      <c r="Q26" s="108"/>
      <c r="R26" s="108"/>
      <c r="S26" s="108"/>
      <c r="T26" s="108"/>
      <c r="U26" s="108"/>
      <c r="V26" s="108"/>
      <c r="W26" s="108"/>
      <c r="X26" s="108"/>
      <c r="Y26" s="108"/>
      <c r="Z26" s="108"/>
      <c r="AA26" s="108"/>
    </row>
    <row r="27" spans="1:27" ht="15.75" hidden="1">
      <c r="B27" s="330" t="s">
        <v>62</v>
      </c>
      <c r="C27" s="331">
        <v>21</v>
      </c>
      <c r="D27" s="332">
        <f>IF(BMI_min&gt;BMI_max,0,1)</f>
        <v>1</v>
      </c>
      <c r="E27" s="333"/>
      <c r="F27" s="333"/>
      <c r="G27" s="333"/>
      <c r="H27" s="334"/>
      <c r="I27" s="106"/>
      <c r="J27" s="106"/>
      <c r="K27" s="106"/>
      <c r="L27" s="106"/>
      <c r="M27" s="106"/>
      <c r="N27" s="106"/>
      <c r="O27" s="106"/>
      <c r="P27" s="106"/>
      <c r="Q27" s="106"/>
      <c r="R27" s="106"/>
      <c r="S27" s="106"/>
      <c r="T27" s="106"/>
      <c r="U27" s="106"/>
      <c r="V27" s="106"/>
      <c r="W27" s="106"/>
      <c r="X27" s="106"/>
      <c r="Y27" s="106"/>
      <c r="Z27" s="106"/>
      <c r="AA27" s="106"/>
    </row>
    <row r="28" spans="1:27" ht="15.75" hidden="1">
      <c r="B28" s="330" t="s">
        <v>61</v>
      </c>
      <c r="C28" s="331">
        <v>22.4</v>
      </c>
      <c r="D28" s="332">
        <f>IF(BMI_min&gt;BMI_max,0,1)</f>
        <v>1</v>
      </c>
      <c r="E28" s="335"/>
      <c r="F28" s="333"/>
      <c r="G28" s="333"/>
      <c r="H28" s="334"/>
      <c r="I28" s="106"/>
      <c r="J28" s="106"/>
      <c r="K28" s="106"/>
      <c r="L28" s="106"/>
      <c r="M28" s="106"/>
      <c r="N28" s="106"/>
      <c r="O28" s="106"/>
      <c r="P28" s="106"/>
      <c r="Q28" s="106"/>
      <c r="R28" s="106"/>
      <c r="S28" s="106"/>
      <c r="T28" s="106"/>
      <c r="U28" s="106"/>
      <c r="V28" s="106"/>
      <c r="W28" s="106"/>
      <c r="X28" s="106"/>
      <c r="Y28" s="106"/>
      <c r="Z28" s="106"/>
      <c r="AA28" s="106"/>
    </row>
    <row r="29" spans="1:27" ht="20.100000000000001" customHeight="1">
      <c r="B29" s="400"/>
      <c r="C29" s="400"/>
      <c r="D29" s="400"/>
      <c r="E29" s="400"/>
      <c r="F29" s="400"/>
      <c r="G29" s="400"/>
      <c r="H29" s="400"/>
      <c r="I29" s="109"/>
      <c r="J29" s="110"/>
      <c r="K29" s="109"/>
      <c r="L29" s="109"/>
      <c r="M29" s="109"/>
      <c r="N29" s="109"/>
      <c r="O29" s="109"/>
      <c r="P29" s="109"/>
      <c r="Q29" s="109"/>
      <c r="R29" s="109"/>
      <c r="S29" s="109"/>
      <c r="T29" s="109"/>
      <c r="U29" s="109"/>
      <c r="V29" s="109"/>
      <c r="W29" s="109"/>
      <c r="X29" s="109"/>
      <c r="Y29" s="109"/>
      <c r="Z29" s="109"/>
      <c r="AA29" s="109"/>
    </row>
    <row r="30" spans="1:27" ht="20.100000000000001" customHeight="1">
      <c r="B30" s="401"/>
      <c r="C30" s="401"/>
      <c r="D30" s="401"/>
      <c r="E30" s="401"/>
      <c r="F30" s="401"/>
      <c r="G30" s="401"/>
      <c r="H30" s="401"/>
      <c r="I30" s="110"/>
      <c r="J30" s="263"/>
      <c r="N30" s="110"/>
      <c r="O30" s="110"/>
      <c r="P30" s="110"/>
      <c r="Q30" s="110"/>
      <c r="R30" s="110"/>
      <c r="S30" s="110"/>
      <c r="T30" s="110"/>
      <c r="U30" s="110"/>
      <c r="V30" s="110"/>
      <c r="W30" s="110"/>
      <c r="X30" s="110"/>
      <c r="Y30" s="110"/>
      <c r="Z30" s="110"/>
      <c r="AA30" s="110"/>
    </row>
    <row r="31" spans="1:27" ht="20.100000000000001" customHeight="1">
      <c r="B31" s="402"/>
      <c r="C31" s="402"/>
      <c r="D31" s="402"/>
      <c r="E31" s="402"/>
      <c r="F31" s="402"/>
      <c r="G31" s="402"/>
      <c r="H31" s="402"/>
      <c r="I31" s="110"/>
      <c r="N31" s="110"/>
      <c r="O31" s="110"/>
      <c r="P31" s="110"/>
      <c r="Q31" s="110"/>
      <c r="R31" s="110"/>
      <c r="S31" s="110"/>
      <c r="T31" s="110"/>
      <c r="U31" s="110"/>
      <c r="V31" s="110"/>
      <c r="W31" s="110"/>
      <c r="X31" s="110"/>
      <c r="Y31" s="110"/>
      <c r="Z31" s="110"/>
      <c r="AA31" s="110"/>
    </row>
    <row r="32" spans="1:27" ht="20.100000000000001" customHeight="1">
      <c r="B32" s="403"/>
      <c r="C32" s="403"/>
      <c r="D32" s="403"/>
      <c r="E32" s="403"/>
      <c r="F32" s="403"/>
      <c r="G32" s="403"/>
      <c r="H32" s="403"/>
      <c r="I32" s="110"/>
      <c r="N32" s="110"/>
      <c r="O32" s="110"/>
      <c r="P32" s="110"/>
      <c r="Q32" s="110"/>
      <c r="R32" s="110"/>
      <c r="S32" s="110"/>
      <c r="T32" s="110"/>
      <c r="U32" s="110"/>
      <c r="V32" s="110"/>
      <c r="W32" s="110"/>
      <c r="X32" s="110"/>
      <c r="Y32" s="110"/>
      <c r="Z32" s="110"/>
      <c r="AA32" s="110"/>
    </row>
    <row r="33" spans="9:27" ht="20.100000000000001" customHeight="1">
      <c r="I33" s="110"/>
      <c r="N33" s="110"/>
      <c r="O33" s="110"/>
      <c r="P33" s="110"/>
      <c r="Q33" s="110"/>
      <c r="R33" s="110"/>
      <c r="S33" s="110"/>
      <c r="T33" s="110"/>
      <c r="U33" s="110"/>
      <c r="V33" s="110"/>
      <c r="W33" s="110"/>
      <c r="X33" s="110"/>
      <c r="Y33" s="110"/>
      <c r="Z33" s="110"/>
      <c r="AA33" s="110"/>
    </row>
    <row r="34" spans="9:27" ht="20.100000000000001" customHeight="1"/>
  </sheetData>
  <sheetProtection formatCells="0" formatColumns="0" formatRows="0" insertColumns="0" insertRows="0" insertHyperlinks="0" deleteColumns="0" deleteRows="0" sort="0" autoFilter="0" pivotTables="0"/>
  <mergeCells count="9">
    <mergeCell ref="B29:H29"/>
    <mergeCell ref="B30:H30"/>
    <mergeCell ref="B31:H31"/>
    <mergeCell ref="B32:H32"/>
    <mergeCell ref="B3:H3"/>
    <mergeCell ref="C26:H26"/>
    <mergeCell ref="C11:H11"/>
    <mergeCell ref="C9:G9"/>
    <mergeCell ref="C10:G10"/>
  </mergeCells>
  <phoneticPr fontId="49" type="noConversion"/>
  <dataValidations count="18">
    <dataValidation type="whole" allowBlank="1" showInputMessage="1" showErrorMessage="1" errorTitle="Invalid Number!" error="Enter a number between 0 and the maximum for this period" sqref="E18:E23" xr:uid="{9A42E661-3800-4662-B44A-078F719D275A}">
      <formula1>0</formula1>
      <formula2>C18</formula2>
    </dataValidation>
    <dataValidation type="whole" allowBlank="1" showInputMessage="1" showErrorMessage="1" errorTitle="Invalid Number" error="Enter a number between 1 and the maximum for the race period" sqref="E16" xr:uid="{03F0E6F5-27A0-4023-853A-D255027AFFAD}">
      <formula1>1</formula1>
      <formula2>C16</formula2>
    </dataValidation>
    <dataValidation type="list" allowBlank="1" showErrorMessage="1" errorTitle="Invalid Unit!" error="Height must be in feet (ft) or meters (m)." sqref="D8" xr:uid="{D8AF7238-F775-4E87-A3A4-277898C4F53C}">
      <formula1>"m,ft"</formula1>
    </dataValidation>
    <dataValidation operator="greaterThanOrEqual" allowBlank="1" showInputMessage="1" showErrorMessage="1" errorTitle="Invalid number!" error="Number must be greater than or equal to 0" sqref="F8" xr:uid="{2BF13E75-F033-41E6-AD3C-63ECB5951BB5}"/>
    <dataValidation type="decimal" showErrorMessage="1" errorTitle="BMI not valid" error="18.5 – 24.9 Normal or Healthy Weight" sqref="C27" xr:uid="{113612D5-F3A3-4D3A-AB5D-A793FB941362}">
      <formula1>18.5</formula1>
      <formula2>24.9</formula2>
    </dataValidation>
    <dataValidation type="whole" allowBlank="1" showInputMessage="1" showErrorMessage="1" errorTitle="Invalid number" error="Days must be between 3 and 7" promptTitle="Days" sqref="C5" xr:uid="{82660064-F372-48DA-BDFD-97A05B2AE3C0}">
      <formula1>3</formula1>
      <formula2>7</formula2>
    </dataValidation>
    <dataValidation type="whole" showInputMessage="1" showErrorMessage="1" errorTitle="Invalid number" error="Hours must be between 0 and 23" promptTitle="Hours" sqref="C4" xr:uid="{2F343229-99FE-4BAF-8FE3-2F938640B544}">
      <formula1>0</formula1>
      <formula2>23</formula2>
    </dataValidation>
    <dataValidation type="whole" showInputMessage="1" showErrorMessage="1" errorTitle="Invalid number" error="Minutes must be between 0 and 59" promptTitle="Minutes" sqref="E4" xr:uid="{35445DBB-D08D-43E6-80E1-1C9B7200181F}">
      <formula1>0</formula1>
      <formula2>59</formula2>
    </dataValidation>
    <dataValidation type="decimal" operator="greaterThanOrEqual" showInputMessage="1" showErrorMessage="1" errorTitle="BMI is invalid" error="18.5 – 24.9 Normal or Healthy Weight" sqref="C28" xr:uid="{253C54B7-800A-4E8B-95E7-9637EE9DF18C}">
      <formula1>BMI_min</formula1>
    </dataValidation>
    <dataValidation type="whole" allowBlank="1" showInputMessage="1" showErrorMessage="1" errorTitle="Invalid number!" error="Enter a number between 1 and 4" sqref="C18:C23" xr:uid="{0CC3D685-C0E7-46AB-BD03-C0993BD8A379}">
      <formula1>1</formula1>
      <formula2>4</formula2>
    </dataValidation>
    <dataValidation type="whole" allowBlank="1" showInputMessage="1" showErrorMessage="1" errorTitle="Invalid Number!" error="Enter a number between 1 and the maximum for this period" sqref="E17" xr:uid="{66EF6CBE-62DF-4CB8-9E0F-E77230875659}">
      <formula1>1</formula1>
      <formula2>C17</formula2>
    </dataValidation>
    <dataValidation type="whole" allowBlank="1" showInputMessage="1" showErrorMessage="1" errorTitle="Invalid number!" error="Number must be between 1 and 9" sqref="C8" xr:uid="{C9DBF13A-04DF-44B5-8366-B66062B26DF2}">
      <formula1>1</formula1>
      <formula2>9</formula2>
    </dataValidation>
    <dataValidation type="whole" allowBlank="1" showInputMessage="1" showErrorMessage="1" errorTitle="Invalid number!" error="Number must be between 0 and 99" sqref="E8" xr:uid="{AC249CA2-2C9B-40E5-834B-D86513D88800}">
      <formula1>0</formula1>
      <formula2>99</formula2>
    </dataValidation>
    <dataValidation type="whole" showInputMessage="1" showErrorMessage="1" errorTitle="Invalid number!" error="Month must be between 1 and 12" promptTitle="Month" sqref="C6:C7" xr:uid="{516250B5-C892-4F20-BD04-A3782FBBF391}">
      <formula1>1</formula1>
      <formula2>12</formula2>
    </dataValidation>
    <dataValidation type="whole" showInputMessage="1" showErrorMessage="1" errorTitle="Invalid number!" error="Day must be between 1 and 31" promptTitle="Day" sqref="E6:E7" xr:uid="{2EA568F4-D34B-46E7-BF27-3994819BACAE}">
      <formula1>1</formula1>
      <formula2>31</formula2>
    </dataValidation>
    <dataValidation type="whole" showInputMessage="1" showErrorMessage="1" errorTitle="Invalid Number!" error="Year must be between 1900 and 9999." promptTitle="Year" sqref="G6" xr:uid="{31308224-85B7-458C-94A1-B3AA15A1D45C}">
      <formula1>1900</formula1>
      <formula2>9999</formula2>
    </dataValidation>
    <dataValidation type="whole" showInputMessage="1" showErrorMessage="1" errorTitle="Invalid Number!" error="Year must be between 1900 and 9999. And Year must be equal or greater than start year." promptTitle="Year" sqref="G7" xr:uid="{1B28086C-5E7E-4C41-A186-4E61E26EBBB0}">
      <formula1>StartYear</formula1>
      <formula2>9999</formula2>
    </dataValidation>
    <dataValidation type="whole" allowBlank="1" showInputMessage="1" showErrorMessage="1" errorTitle="Invalid number!" error="Enter a number between 1 and 2" sqref="C16:C17" xr:uid="{7E0D6F23-4D72-4162-848E-38F84AD4239D}">
      <formula1>1</formula1>
      <formula2>2</formula2>
    </dataValidation>
  </dataValidations>
  <hyperlinks>
    <hyperlink ref="C26" r:id="rId1" display="*For adults 20 years old and older" xr:uid="{5CB6190D-14AC-484E-A9B8-469AE44EA0F2}"/>
  </hyperlinks>
  <pageMargins left="0.7" right="0.7" top="0.75" bottom="0.75" header="0.3" footer="0.3"/>
  <pageSetup scale="36" orientation="portrait" horizontalDpi="4294967293" verticalDpi="4294967293" r:id="rId2"/>
  <ignoredErrors>
    <ignoredError sqref="D16:D23 D24 F24 C9" unlockedFormula="1"/>
  </ignoredErrors>
  <drawing r:id="rId3"/>
  <legacyDrawing r:id="rId4"/>
  <controls>
    <mc:AlternateContent xmlns:mc="http://schemas.openxmlformats.org/markup-compatibility/2006">
      <mc:Choice Requires="x14">
        <control shapeId="1099" r:id="rId5" name="WeightUnitBox">
          <controlPr locked="0" defaultSize="0" autoFill="0" autoLine="0" linkedCell="WeightUnit" listFillRange="WeightUnitList" r:id="rId6">
            <anchor>
              <from>
                <xdr:col>2</xdr:col>
                <xdr:colOff>95250</xdr:colOff>
                <xdr:row>40</xdr:row>
                <xdr:rowOff>47625</xdr:rowOff>
              </from>
              <to>
                <xdr:col>3</xdr:col>
                <xdr:colOff>219075</xdr:colOff>
                <xdr:row>41</xdr:row>
                <xdr:rowOff>142875</xdr:rowOff>
              </to>
            </anchor>
          </controlPr>
        </control>
      </mc:Choice>
      <mc:Fallback>
        <control shapeId="1099" r:id="rId5" name="WeightUnitBox"/>
      </mc:Fallback>
    </mc:AlternateContent>
    <mc:AlternateContent xmlns:mc="http://schemas.openxmlformats.org/markup-compatibility/2006">
      <mc:Choice Requires="x14">
        <control shapeId="1049" r:id="rId7" name="AdvancedSetupButton">
          <controlPr defaultSize="0" print="0" autoFill="0" autoPict="0" macro="[0]!AdvancedSetup">
            <anchor moveWithCells="1">
              <from>
                <xdr:col>1</xdr:col>
                <xdr:colOff>2162175</xdr:colOff>
                <xdr:row>10</xdr:row>
                <xdr:rowOff>0</xdr:rowOff>
              </from>
              <to>
                <xdr:col>1</xdr:col>
                <xdr:colOff>2343150</xdr:colOff>
                <xdr:row>10</xdr:row>
                <xdr:rowOff>180975</xdr:rowOff>
              </to>
            </anchor>
          </controlPr>
        </control>
      </mc:Choice>
    </mc:AlternateContent>
    <mc:AlternateContent xmlns:mc="http://schemas.openxmlformats.org/markup-compatibility/2006">
      <mc:Choice Requires="x14">
        <control shapeId="1068" r:id="rId8" name="ResetAllChartsBox">
          <controlPr defaultSize="0" autoFill="0" autoLine="0" autoPict="0" macro="[0]!ResetAllChartsBox_Click">
            <anchor moveWithCells="1">
              <from>
                <xdr:col>6</xdr:col>
                <xdr:colOff>428625</xdr:colOff>
                <xdr:row>9</xdr:row>
                <xdr:rowOff>171450</xdr:rowOff>
              </from>
              <to>
                <xdr:col>7</xdr:col>
                <xdr:colOff>209550</xdr:colOff>
                <xdr:row>11</xdr:row>
                <xdr:rowOff>0</xdr:rowOff>
              </to>
            </anchor>
          </controlPr>
        </control>
      </mc:Choice>
    </mc:AlternateContent>
    <mc:AlternateContent xmlns:mc="http://schemas.openxmlformats.org/markup-compatibility/2006">
      <mc:Choice Requires="x14">
        <control shapeId="1025" r:id="rId9" name="CreatePlanButton">
          <controlPr defaultSize="0" autoFill="0" autoPict="0" macro="[0]!CreatePlan3" altText="Click Here to Create your Training Plan">
            <anchor moveWithCells="1">
              <from>
                <xdr:col>1</xdr:col>
                <xdr:colOff>971550</xdr:colOff>
                <xdr:row>28</xdr:row>
                <xdr:rowOff>209550</xdr:rowOff>
              </from>
              <to>
                <xdr:col>6</xdr:col>
                <xdr:colOff>0</xdr:colOff>
                <xdr:row>31</xdr:row>
                <xdr:rowOff>38100</xdr:rowOff>
              </to>
            </anchor>
          </controlPr>
        </control>
      </mc:Choice>
    </mc:AlternateContent>
  </controls>
  <tableParts count="2">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24" id="{6F197F08-94C5-43CE-AF91-DE047CC1C1C9}">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H6</xm:sqref>
        </x14:conditionalFormatting>
        <x14:conditionalFormatting xmlns:xm="http://schemas.microsoft.com/office/excel/2006/main">
          <x14:cfRule type="iconSet" priority="4" id="{220DF767-83E0-43F5-A33C-EC27E0C3E278}">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F16:F23</xm:sqref>
        </x14:conditionalFormatting>
        <x14:conditionalFormatting xmlns:xm="http://schemas.microsoft.com/office/excel/2006/main">
          <x14:cfRule type="iconSet" priority="3" id="{2672313D-38E1-4E2E-8A85-3AC4A6A5C8D4}">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H4</xm:sqref>
        </x14:conditionalFormatting>
        <x14:conditionalFormatting xmlns:xm="http://schemas.microsoft.com/office/excel/2006/main">
          <x14:cfRule type="iconSet" priority="1" id="{15C24C19-A91D-43ED-8069-653E76CA7605}">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H5</xm:sqref>
        </x14:conditionalFormatting>
        <x14:conditionalFormatting xmlns:xm="http://schemas.microsoft.com/office/excel/2006/main">
          <x14:cfRule type="iconSet" priority="41" id="{82CD7794-A0C5-44C5-AEA0-15354005CB6D}">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H7</xm:sqref>
        </x14:conditionalFormatting>
        <x14:conditionalFormatting xmlns:xm="http://schemas.microsoft.com/office/excel/2006/main">
          <x14:cfRule type="iconSet" priority="42" id="{6C692C5A-5F46-4F57-87A9-53BC94295438}">
            <x14:iconSet iconSet="3Symbols2" custom="1">
              <x14:cfvo type="percent">
                <xm:f>0</xm:f>
              </x14:cfvo>
              <x14:cfvo type="num" gte="0">
                <xm:f>0</xm:f>
              </x14:cfvo>
              <x14:cfvo type="num">
                <xm:f>1</xm:f>
              </x14:cfvo>
              <x14:cfIcon iconSet="3Symbols2" iconId="1"/>
              <x14:cfIcon iconSet="3Symbols2" iconId="1"/>
              <x14:cfIcon iconSet="3Symbols2" iconId="2"/>
            </x14:iconSet>
          </x14:cfRule>
          <xm:sqref>D27</xm:sqref>
        </x14:conditionalFormatting>
        <x14:conditionalFormatting xmlns:xm="http://schemas.microsoft.com/office/excel/2006/main">
          <x14:cfRule type="iconSet" priority="43" id="{64E22C05-10C6-4531-8D7F-701E28A02D3E}">
            <x14:iconSet iconSet="3Symbols2" custom="1">
              <x14:cfvo type="percent">
                <xm:f>0</xm:f>
              </x14:cfvo>
              <x14:cfvo type="num" gte="0">
                <xm:f>0</xm:f>
              </x14:cfvo>
              <x14:cfvo type="num">
                <xm:f>1</xm:f>
              </x14:cfvo>
              <x14:cfIcon iconSet="3Symbols2" iconId="1"/>
              <x14:cfIcon iconSet="3Symbols2" iconId="1"/>
              <x14:cfIcon iconSet="3Symbols2" iconId="2"/>
            </x14:iconSet>
          </x14:cfRule>
          <xm:sqref>D28</xm:sqref>
        </x14:conditionalFormatting>
        <x14:conditionalFormatting xmlns:xm="http://schemas.microsoft.com/office/excel/2006/main">
          <x14:cfRule type="iconSet" priority="44" id="{66A9BA11-2B4A-48F9-BCA6-2CF4F44D2DD7}">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D16:D23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479B8-ED14-43E2-8F03-E5CEC20F2E53}">
  <sheetPr codeName="Sheet2"/>
  <dimension ref="A1:XFC40"/>
  <sheetViews>
    <sheetView showGridLines="0" showRowColHeaders="0" zoomScaleNormal="100" workbookViewId="0">
      <pane ySplit="15" topLeftCell="A16" activePane="bottomLeft" state="frozen"/>
      <selection pane="bottomLeft" activeCell="B16" sqref="B16"/>
    </sheetView>
  </sheetViews>
  <sheetFormatPr defaultColWidth="0" defaultRowHeight="15.75"/>
  <cols>
    <col min="1" max="1" width="1.7109375" style="153" customWidth="1"/>
    <col min="2" max="2" width="4.7109375" style="153" customWidth="1"/>
    <col min="3" max="3" width="11.7109375" style="153" customWidth="1"/>
    <col min="4" max="4" width="8.7109375" style="153" customWidth="1"/>
    <col min="5" max="5" width="40.7109375" style="153" customWidth="1"/>
    <col min="6" max="6" width="16.7109375" style="153" customWidth="1"/>
    <col min="7" max="14" width="6.7109375" style="153" customWidth="1"/>
    <col min="15" max="18" width="8.7109375" style="153" customWidth="1"/>
    <col min="19" max="19" width="8.7109375" style="272" customWidth="1"/>
    <col min="20" max="20" width="8.7109375" style="272" hidden="1" customWidth="1"/>
    <col min="21" max="21" width="9.7109375" style="272" hidden="1" customWidth="1"/>
    <col min="22" max="23" width="6.7109375" style="272" hidden="1" customWidth="1"/>
    <col min="24" max="24" width="9.7109375" style="272" hidden="1" customWidth="1"/>
    <col min="25" max="26" width="10.7109375" style="272" hidden="1" customWidth="1"/>
    <col min="27" max="27" width="9.7109375" style="272" hidden="1" customWidth="1"/>
    <col min="28" max="28" width="14.7109375" style="272" hidden="1" customWidth="1"/>
    <col min="29" max="29" width="13.7109375" style="272" hidden="1" customWidth="1"/>
    <col min="30" max="30" width="5.7109375" style="272" hidden="1" customWidth="1"/>
    <col min="31" max="31" width="8.7109375" style="272" hidden="1" customWidth="1"/>
    <col min="32" max="32" width="11.7109375" style="272" hidden="1" customWidth="1"/>
    <col min="33" max="33" width="10.7109375" style="272" hidden="1" customWidth="1"/>
    <col min="34" max="34" width="9.7109375" style="272" hidden="1" customWidth="1"/>
    <col min="35" max="36" width="7.7109375" style="272" hidden="1" customWidth="1"/>
    <col min="37" max="37" width="6.7109375" style="272" hidden="1" customWidth="1"/>
    <col min="38" max="38" width="8.7109375" style="272" hidden="1" customWidth="1"/>
    <col min="39" max="39" width="11.85546875" style="272" customWidth="1"/>
    <col min="40" max="40" width="10.42578125" style="153" customWidth="1"/>
    <col min="41" max="41" width="11.42578125" style="153" customWidth="1"/>
    <col min="42" max="49" width="7.7109375" style="153" customWidth="1"/>
    <col min="50" max="16383" width="7.7109375" style="153" hidden="1"/>
    <col min="16384" max="16384" width="6.28515625" style="153" hidden="1"/>
  </cols>
  <sheetData>
    <row r="1" spans="1:49" s="150" customFormat="1" ht="21" customHeight="1">
      <c r="A1" s="119"/>
      <c r="B1" s="94" t="s">
        <v>556</v>
      </c>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row>
    <row r="2" spans="1:49" s="151" customFormat="1" ht="18">
      <c r="B2" s="152" t="s">
        <v>565</v>
      </c>
      <c r="C2" s="152"/>
      <c r="D2" s="152"/>
      <c r="E2" s="152"/>
      <c r="F2" s="152"/>
      <c r="G2" s="152"/>
      <c r="H2" s="152"/>
      <c r="I2" s="152"/>
      <c r="J2" s="152"/>
      <c r="K2" s="152"/>
      <c r="L2" s="152"/>
      <c r="M2" s="152"/>
      <c r="N2" s="152"/>
      <c r="O2" s="152"/>
      <c r="P2" s="152"/>
      <c r="Q2" s="152"/>
      <c r="R2" s="152"/>
      <c r="S2" s="152"/>
      <c r="T2" s="152"/>
    </row>
    <row r="3" spans="1:49">
      <c r="B3" s="154"/>
      <c r="C3" s="155"/>
      <c r="D3" s="155"/>
      <c r="E3" s="156"/>
      <c r="F3" s="156"/>
      <c r="G3" s="156"/>
      <c r="H3" s="156"/>
      <c r="I3" s="156"/>
      <c r="J3" s="156"/>
      <c r="K3" s="156"/>
      <c r="L3" s="156"/>
      <c r="M3" s="156"/>
      <c r="N3" s="156"/>
      <c r="O3" s="156"/>
      <c r="P3" s="156"/>
      <c r="Q3" s="156"/>
      <c r="R3" s="156"/>
      <c r="S3" s="156"/>
      <c r="T3" s="156"/>
      <c r="U3" s="156"/>
      <c r="V3" s="156"/>
      <c r="W3" s="153"/>
      <c r="X3" s="153"/>
      <c r="Y3" s="153"/>
      <c r="Z3" s="153"/>
      <c r="AA3" s="153"/>
      <c r="AB3" s="153"/>
      <c r="AC3" s="153"/>
      <c r="AD3" s="153"/>
      <c r="AE3" s="153"/>
      <c r="AF3" s="153"/>
      <c r="AG3" s="153"/>
      <c r="AH3" s="153"/>
      <c r="AI3" s="153"/>
      <c r="AJ3" s="153"/>
      <c r="AK3" s="153"/>
      <c r="AL3" s="153"/>
      <c r="AM3" s="153"/>
    </row>
    <row r="4" spans="1:49">
      <c r="B4" s="155"/>
      <c r="C4" s="155"/>
      <c r="D4" s="155"/>
      <c r="E4" s="156"/>
      <c r="F4" s="156"/>
      <c r="G4" s="156"/>
      <c r="H4" s="156"/>
      <c r="I4" s="156"/>
      <c r="J4" s="156"/>
      <c r="K4" s="156"/>
      <c r="L4" s="156"/>
      <c r="M4" s="156"/>
      <c r="N4" s="156"/>
      <c r="O4" s="156"/>
      <c r="P4" s="156"/>
      <c r="Q4" s="156"/>
      <c r="R4" s="156"/>
      <c r="S4" s="156"/>
      <c r="T4" s="156"/>
      <c r="U4" s="156"/>
      <c r="V4" s="156"/>
      <c r="W4" s="153"/>
      <c r="X4" s="153"/>
      <c r="Y4" s="153"/>
      <c r="Z4" s="153"/>
      <c r="AA4" s="153"/>
      <c r="AB4" s="153"/>
      <c r="AC4" s="153"/>
      <c r="AD4" s="153"/>
      <c r="AE4" s="153"/>
      <c r="AF4" s="153"/>
      <c r="AG4" s="153"/>
      <c r="AH4" s="153"/>
      <c r="AI4" s="153"/>
      <c r="AJ4" s="153"/>
      <c r="AK4" s="153"/>
      <c r="AL4" s="153"/>
      <c r="AM4" s="153"/>
    </row>
    <row r="5" spans="1:49">
      <c r="B5" s="155"/>
      <c r="C5" s="155"/>
      <c r="D5" s="155"/>
      <c r="E5" s="156"/>
      <c r="F5" s="156"/>
      <c r="G5" s="156"/>
      <c r="H5" s="156"/>
      <c r="I5" s="156"/>
      <c r="J5" s="156"/>
      <c r="K5" s="156"/>
      <c r="L5" s="156"/>
      <c r="M5" s="156"/>
      <c r="N5" s="156"/>
      <c r="O5" s="156"/>
      <c r="P5" s="156"/>
      <c r="Q5" s="156"/>
      <c r="R5" s="156"/>
      <c r="S5" s="156"/>
      <c r="T5" s="156"/>
      <c r="U5" s="156"/>
      <c r="V5" s="156"/>
      <c r="W5" s="153"/>
      <c r="X5" s="153"/>
      <c r="Y5" s="153"/>
      <c r="Z5" s="153"/>
      <c r="AA5" s="153"/>
      <c r="AB5" s="153"/>
      <c r="AC5" s="153"/>
      <c r="AD5" s="153"/>
      <c r="AE5" s="153"/>
      <c r="AF5" s="153"/>
      <c r="AG5" s="153"/>
      <c r="AH5" s="153"/>
      <c r="AI5" s="153"/>
      <c r="AJ5" s="153"/>
      <c r="AK5" s="153"/>
      <c r="AL5" s="153"/>
      <c r="AM5" s="153"/>
    </row>
    <row r="6" spans="1:49">
      <c r="B6" s="155"/>
      <c r="C6" s="155"/>
      <c r="D6" s="155"/>
      <c r="E6" s="156"/>
      <c r="F6" s="156"/>
      <c r="G6" s="156"/>
      <c r="H6" s="156"/>
      <c r="I6" s="156"/>
      <c r="J6" s="156"/>
      <c r="K6" s="156"/>
      <c r="L6" s="156"/>
      <c r="M6" s="156"/>
      <c r="N6" s="156"/>
      <c r="O6" s="156"/>
      <c r="P6" s="156"/>
      <c r="Q6" s="156"/>
      <c r="R6" s="156"/>
      <c r="S6" s="156"/>
      <c r="T6" s="156"/>
      <c r="U6" s="156"/>
      <c r="V6" s="156"/>
      <c r="W6" s="153"/>
      <c r="X6" s="153"/>
      <c r="Y6" s="153"/>
      <c r="Z6" s="153"/>
      <c r="AA6" s="153"/>
      <c r="AB6" s="153"/>
      <c r="AC6" s="153"/>
      <c r="AD6" s="153"/>
      <c r="AE6" s="153"/>
      <c r="AF6" s="153"/>
      <c r="AG6" s="153"/>
      <c r="AH6" s="153"/>
      <c r="AI6" s="153"/>
      <c r="AJ6" s="153"/>
      <c r="AK6" s="153"/>
      <c r="AL6" s="153"/>
      <c r="AM6" s="153"/>
    </row>
    <row r="7" spans="1:49">
      <c r="B7" s="155"/>
      <c r="C7" s="155"/>
      <c r="D7" s="155"/>
      <c r="E7" s="156"/>
      <c r="F7" s="156"/>
      <c r="G7" s="156"/>
      <c r="H7" s="156"/>
      <c r="I7" s="156"/>
      <c r="J7" s="156"/>
      <c r="K7" s="156"/>
      <c r="L7" s="156"/>
      <c r="M7" s="156"/>
      <c r="N7" s="156"/>
      <c r="O7" s="156"/>
      <c r="P7" s="156"/>
      <c r="Q7" s="156"/>
      <c r="R7" s="156"/>
      <c r="S7" s="156"/>
      <c r="T7" s="156"/>
      <c r="U7" s="156"/>
      <c r="V7" s="156"/>
      <c r="W7" s="153"/>
      <c r="X7" s="153"/>
      <c r="Y7" s="153"/>
      <c r="Z7" s="153"/>
      <c r="AA7" s="153"/>
      <c r="AB7" s="153"/>
      <c r="AC7" s="153"/>
      <c r="AD7" s="153"/>
      <c r="AE7" s="153"/>
      <c r="AF7" s="153"/>
      <c r="AG7" s="153"/>
      <c r="AH7" s="153"/>
      <c r="AI7" s="153"/>
      <c r="AJ7" s="153"/>
      <c r="AK7" s="153"/>
      <c r="AL7" s="153"/>
      <c r="AM7" s="153"/>
    </row>
    <row r="8" spans="1:49">
      <c r="B8" s="155"/>
      <c r="C8" s="155"/>
      <c r="D8" s="155"/>
      <c r="E8" s="156"/>
      <c r="F8" s="156"/>
      <c r="G8" s="156"/>
      <c r="H8" s="156"/>
      <c r="I8" s="156"/>
      <c r="J8" s="156"/>
      <c r="K8" s="156"/>
      <c r="L8" s="156"/>
      <c r="M8" s="156"/>
      <c r="N8" s="156"/>
      <c r="O8" s="156"/>
      <c r="P8" s="156"/>
      <c r="Q8" s="156"/>
      <c r="R8" s="156"/>
      <c r="S8" s="156"/>
      <c r="T8" s="156"/>
      <c r="U8" s="156"/>
      <c r="V8" s="156"/>
      <c r="W8" s="153"/>
      <c r="X8" s="153"/>
      <c r="Y8" s="153"/>
      <c r="Z8" s="153"/>
      <c r="AA8" s="153"/>
      <c r="AB8" s="153"/>
      <c r="AC8" s="153"/>
      <c r="AD8" s="153"/>
      <c r="AE8" s="153"/>
      <c r="AF8" s="153"/>
      <c r="AG8" s="153"/>
      <c r="AH8" s="153"/>
      <c r="AI8" s="153"/>
      <c r="AJ8" s="153"/>
      <c r="AK8" s="153"/>
      <c r="AL8" s="153"/>
      <c r="AM8" s="153"/>
    </row>
    <row r="9" spans="1:49">
      <c r="B9" s="155"/>
      <c r="C9" s="155"/>
      <c r="D9" s="155"/>
      <c r="E9" s="156"/>
      <c r="F9" s="156"/>
      <c r="G9" s="156"/>
      <c r="H9" s="156"/>
      <c r="I9" s="156"/>
      <c r="J9" s="156"/>
      <c r="K9" s="156"/>
      <c r="L9" s="156"/>
      <c r="M9" s="156"/>
      <c r="N9" s="156"/>
      <c r="O9" s="156"/>
      <c r="P9" s="156"/>
      <c r="Q9" s="156"/>
      <c r="R9" s="156"/>
      <c r="S9" s="156"/>
      <c r="T9" s="156"/>
      <c r="U9" s="156"/>
      <c r="V9" s="156"/>
      <c r="W9" s="153"/>
      <c r="X9" s="153"/>
      <c r="Y9" s="153"/>
      <c r="Z9" s="153"/>
      <c r="AA9" s="153"/>
      <c r="AB9" s="153"/>
      <c r="AC9" s="153"/>
      <c r="AD9" s="153"/>
      <c r="AE9" s="153"/>
      <c r="AF9" s="153"/>
      <c r="AG9" s="153"/>
      <c r="AH9" s="153"/>
      <c r="AI9" s="153"/>
      <c r="AJ9" s="153"/>
      <c r="AK9" s="153"/>
      <c r="AL9" s="153"/>
      <c r="AM9" s="153"/>
    </row>
    <row r="10" spans="1:49">
      <c r="B10" s="155"/>
      <c r="C10" s="155"/>
      <c r="D10" s="155"/>
      <c r="E10" s="156"/>
      <c r="F10" s="156"/>
      <c r="G10" s="156"/>
      <c r="H10" s="156"/>
      <c r="I10" s="156"/>
      <c r="J10" s="156"/>
      <c r="K10" s="156"/>
      <c r="L10" s="156"/>
      <c r="M10" s="156"/>
      <c r="N10" s="156"/>
      <c r="O10" s="156"/>
      <c r="P10" s="156"/>
      <c r="Q10" s="156"/>
      <c r="R10" s="156"/>
      <c r="S10" s="156"/>
      <c r="T10" s="156"/>
      <c r="U10" s="156"/>
      <c r="V10" s="156"/>
      <c r="W10" s="153"/>
      <c r="X10" s="153"/>
      <c r="Y10" s="153"/>
      <c r="Z10" s="153"/>
      <c r="AA10" s="153"/>
      <c r="AB10" s="153"/>
      <c r="AC10" s="153"/>
      <c r="AD10" s="153"/>
      <c r="AE10" s="153"/>
      <c r="AF10" s="153"/>
      <c r="AG10" s="153"/>
      <c r="AH10" s="153"/>
      <c r="AI10" s="153"/>
      <c r="AJ10" s="153"/>
      <c r="AK10" s="153"/>
      <c r="AL10" s="153"/>
      <c r="AM10" s="153"/>
    </row>
    <row r="11" spans="1:49">
      <c r="B11" s="155"/>
      <c r="C11" s="155"/>
      <c r="D11" s="155"/>
      <c r="E11" s="156"/>
      <c r="F11" s="156"/>
      <c r="G11" s="156"/>
      <c r="H11" s="156"/>
      <c r="I11" s="156"/>
      <c r="J11" s="156"/>
      <c r="K11" s="156"/>
      <c r="L11" s="156"/>
      <c r="M11" s="156"/>
      <c r="N11" s="156"/>
      <c r="O11" s="156"/>
      <c r="P11" s="156"/>
      <c r="Q11" s="156"/>
      <c r="R11" s="156"/>
      <c r="S11" s="156"/>
      <c r="T11" s="156"/>
      <c r="U11" s="156"/>
      <c r="V11" s="156"/>
      <c r="W11" s="153"/>
      <c r="X11" s="153"/>
      <c r="Y11" s="153"/>
      <c r="Z11" s="153"/>
      <c r="AA11" s="153"/>
      <c r="AB11" s="153"/>
      <c r="AC11" s="153"/>
      <c r="AD11" s="153"/>
      <c r="AE11" s="153"/>
      <c r="AF11" s="153"/>
      <c r="AG11" s="153"/>
      <c r="AH11" s="153"/>
      <c r="AI11" s="153"/>
      <c r="AJ11" s="153"/>
      <c r="AK11" s="153"/>
      <c r="AL11" s="153"/>
      <c r="AM11" s="153"/>
    </row>
    <row r="12" spans="1:49">
      <c r="B12" s="155"/>
      <c r="C12" s="155"/>
      <c r="D12" s="155"/>
      <c r="E12" s="156"/>
      <c r="F12" s="156"/>
      <c r="G12" s="156"/>
      <c r="H12" s="156"/>
      <c r="I12" s="156"/>
      <c r="J12" s="156"/>
      <c r="K12" s="156"/>
      <c r="L12" s="156"/>
      <c r="M12" s="156"/>
      <c r="N12" s="156"/>
      <c r="O12" s="156"/>
      <c r="P12" s="156"/>
      <c r="Q12" s="156"/>
      <c r="R12" s="156"/>
      <c r="S12" s="156"/>
      <c r="T12" s="156"/>
      <c r="U12" s="156"/>
      <c r="V12" s="156"/>
      <c r="W12" s="153"/>
      <c r="X12" s="153"/>
      <c r="Y12" s="153"/>
      <c r="Z12" s="153"/>
      <c r="AA12" s="153"/>
      <c r="AB12" s="153"/>
      <c r="AC12" s="153"/>
      <c r="AD12" s="153"/>
      <c r="AE12" s="153"/>
      <c r="AF12" s="153"/>
      <c r="AG12" s="153"/>
      <c r="AH12" s="153"/>
      <c r="AI12" s="153"/>
      <c r="AJ12" s="153"/>
      <c r="AK12" s="153"/>
      <c r="AL12" s="157"/>
      <c r="AM12" s="153"/>
      <c r="AN12" s="157"/>
    </row>
    <row r="13" spans="1:49">
      <c r="B13" s="264"/>
      <c r="C13" s="155"/>
      <c r="D13" s="155"/>
      <c r="E13" s="156"/>
      <c r="F13" s="156"/>
      <c r="G13" s="156"/>
      <c r="H13" s="156"/>
      <c r="I13" s="156"/>
      <c r="J13" s="156"/>
      <c r="K13" s="156"/>
      <c r="L13" s="156"/>
      <c r="M13" s="156"/>
      <c r="N13" s="156"/>
      <c r="O13" s="156"/>
      <c r="P13" s="156"/>
      <c r="Q13" s="156"/>
      <c r="R13" s="156"/>
      <c r="S13" s="156"/>
      <c r="T13" s="156"/>
      <c r="U13" s="156"/>
      <c r="V13" s="156"/>
      <c r="W13" s="153"/>
      <c r="X13" s="153"/>
      <c r="Y13" s="246"/>
      <c r="Z13" s="153"/>
      <c r="AA13" s="153"/>
      <c r="AB13" s="153"/>
      <c r="AC13" s="153"/>
      <c r="AD13" s="153"/>
      <c r="AE13" s="153"/>
      <c r="AF13" s="153"/>
      <c r="AG13" s="153"/>
      <c r="AH13" s="158"/>
      <c r="AI13" s="153"/>
      <c r="AJ13" s="153"/>
      <c r="AK13" s="247"/>
      <c r="AL13" s="247"/>
      <c r="AM13" s="265"/>
    </row>
    <row r="14" spans="1:49">
      <c r="B14" s="159"/>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c r="AG14" s="160"/>
      <c r="AH14" s="160"/>
      <c r="AI14" s="160"/>
      <c r="AJ14" s="160"/>
      <c r="AK14" s="160"/>
      <c r="AL14" s="160"/>
      <c r="AM14" s="153"/>
    </row>
    <row r="15" spans="1:49" ht="35.1" customHeight="1">
      <c r="B15" s="161" t="s">
        <v>27</v>
      </c>
      <c r="C15" s="161" t="s">
        <v>18</v>
      </c>
      <c r="D15" s="161" t="s">
        <v>0</v>
      </c>
      <c r="E15" s="161" t="s">
        <v>10</v>
      </c>
      <c r="F15" s="161" t="s">
        <v>96</v>
      </c>
      <c r="G15" s="336" t="s">
        <v>29</v>
      </c>
      <c r="H15" s="336" t="s">
        <v>3</v>
      </c>
      <c r="I15" s="336" t="s">
        <v>4</v>
      </c>
      <c r="J15" s="336" t="s">
        <v>5</v>
      </c>
      <c r="K15" s="336" t="s">
        <v>6</v>
      </c>
      <c r="L15" s="336" t="s">
        <v>7</v>
      </c>
      <c r="M15" s="336" t="s">
        <v>8</v>
      </c>
      <c r="N15" s="336" t="s">
        <v>9</v>
      </c>
      <c r="O15" s="336" t="s">
        <v>35</v>
      </c>
      <c r="P15" s="336" t="s">
        <v>25</v>
      </c>
      <c r="Q15" s="336" t="s">
        <v>26</v>
      </c>
      <c r="R15" s="336" t="s">
        <v>47</v>
      </c>
      <c r="S15" s="337" t="s">
        <v>334</v>
      </c>
      <c r="T15" s="273" t="s">
        <v>17</v>
      </c>
      <c r="U15" s="273" t="s">
        <v>19</v>
      </c>
      <c r="V15" s="273" t="s">
        <v>39</v>
      </c>
      <c r="W15" s="273" t="s">
        <v>45</v>
      </c>
      <c r="X15" s="273" t="s">
        <v>20</v>
      </c>
      <c r="Y15" s="273" t="s">
        <v>341</v>
      </c>
      <c r="Z15" s="273" t="s">
        <v>332</v>
      </c>
      <c r="AA15" s="273" t="s">
        <v>350</v>
      </c>
      <c r="AB15" s="273" t="s">
        <v>349</v>
      </c>
      <c r="AC15" s="273" t="s">
        <v>351</v>
      </c>
      <c r="AD15" s="273" t="s">
        <v>43</v>
      </c>
      <c r="AE15" s="273" t="s">
        <v>46</v>
      </c>
      <c r="AF15" s="273" t="s">
        <v>95</v>
      </c>
      <c r="AG15" s="273" t="s">
        <v>100</v>
      </c>
      <c r="AH15" s="273" t="s">
        <v>101</v>
      </c>
      <c r="AI15" s="273" t="s">
        <v>533</v>
      </c>
      <c r="AJ15" s="273" t="s">
        <v>34</v>
      </c>
      <c r="AK15" s="273" t="s">
        <v>417</v>
      </c>
      <c r="AL15" s="273" t="s">
        <v>418</v>
      </c>
      <c r="AM15" s="271"/>
    </row>
    <row r="16" spans="1:49" s="162" customFormat="1">
      <c r="A16" s="153"/>
      <c r="B16" s="338"/>
      <c r="C16" s="360"/>
      <c r="D16" s="339"/>
      <c r="E16" s="339"/>
      <c r="F16" s="361"/>
      <c r="G16" s="362"/>
      <c r="H16" s="363"/>
      <c r="I16" s="363"/>
      <c r="J16" s="363"/>
      <c r="K16" s="363"/>
      <c r="L16" s="363"/>
      <c r="M16" s="363"/>
      <c r="N16" s="363"/>
      <c r="O16" s="362"/>
      <c r="P16" s="364"/>
      <c r="Q16" s="364"/>
      <c r="R16" s="364"/>
      <c r="S16" s="340"/>
      <c r="T16" s="341" t="e">
        <f>IF(ISBLANK(VLOOKUP(Calendar[[#This Row],[Date]],WeightTable[],2,FALSE))=TRUE,NA(),VLOOKUP(Calendar[[#This Row],[Date]],WeightTable[],IF(WeightUnit="lb",2,3),FALSE))</f>
        <v>#N/A</v>
      </c>
      <c r="U16" s="341" t="e">
        <f>IF(ISBLANK(INDEX(TargetsTable[],MATCH(Calendar[[#This Row],[Date]],TargetsTable[Date],0),MATCH(Calendar[#Headers],TargetsTable[#Headers],0)))=TRUE,NA(),INDEX(TargetsTable[],MATCH(Calendar[[#This Row],[Date]],TargetsTable[Date],0),MATCH(Calendar[#Headers],TargetsTable[#Headers],0)))</f>
        <v>#N/A</v>
      </c>
      <c r="V16" s="338" t="e">
        <f>IF(ISBLANK(VLOOKUP(Calendar[[#This Row],[Date]],UploadQuery[],MATCH("Heart Rate",UploadQuery[#Headers],0),FALSE))=TRUE,NA(),VLOOKUP(Calendar[[#This Row],[Date]],UploadQuery[],MATCH("Heart Rate",UploadQuery[#Headers],0),FALSE))</f>
        <v>#N/A</v>
      </c>
      <c r="W16" s="338" t="e">
        <f>IF(ISBLANK(INDEX(TargetsTable[],MATCH(Calendar[[#This Row],[Date]],TargetsTable[Date],0),MATCH(Calendar[#Headers],TargetsTable[#Headers],0)))=TRUE,NA(),INDEX(TargetsTable[],MATCH(Calendar[[#This Row],[Date]],TargetsTable[Date],0),MATCH(Calendar[#Headers],TargetsTable[#Headers],0)))</f>
        <v>#N/A</v>
      </c>
      <c r="X16" s="339">
        <f>Calendar[[#This Row],[Period]]</f>
        <v>0</v>
      </c>
      <c r="Y16" s="342">
        <f>IFERROR(IF(Calendar[[#This Row],[Plan. Hrs]]&lt;Calendar[[#This Row],[Actual Hrs]],0,Calendar[[#This Row],[Plan. Hrs]]-Calendar[[#This Row],[Actual Hrs]]),Calendar[[#This Row],[Plan. Hrs]])</f>
        <v>0</v>
      </c>
      <c r="Z16" s="343">
        <f>IFERROR(IF(Calendar[[#This Row],[Cal. Goal]]&lt;Calendar[[#This Row],[Cal.]],0,Calendar[[#This Row],[Cal. Goal]]-Calendar[[#This Row],[Cal.]]),Calendar[[#This Row],[Cal. Goal]])</f>
        <v>0</v>
      </c>
      <c r="AA16" s="338"/>
      <c r="AB16" s="341"/>
      <c r="AC16" s="343"/>
      <c r="AD16" s="341" t="e">
        <f>BMIf(Calendar[[#This Row],[Weight]],ActualHeight)</f>
        <v>#N/A</v>
      </c>
      <c r="AE16" s="341" t="e">
        <f>VLOOKUP(Calendar[[#This Row],[Date]],UploadQuery[],MATCH("Speed",UploadQuery[#Headers],0),FALSE)</f>
        <v>#N/A</v>
      </c>
      <c r="AF16" s="343" t="e">
        <f>VLOOKUP(Calendar[[#This Row],[Date]],UploadQuery[],MATCH("Elev Gain",UploadQuery[#Headers],0),FALSE)</f>
        <v>#N/A</v>
      </c>
      <c r="AG16" s="343" t="e">
        <f>VLOOKUP(Calendar[[#This Row],[Date]],UploadQuery[],MATCH("Distance",UploadQuery[#Headers],0),FALSE)</f>
        <v>#N/A</v>
      </c>
      <c r="AH16" s="343" t="e">
        <f>VLOOKUP(Calendar[[#This Row],[Date]],UploadQuery[],MATCH("Climber Index",UploadQuery[#Headers],0),FALSE)</f>
        <v>#N/A</v>
      </c>
      <c r="AI16" s="343" t="e">
        <f>VLOOKUP(Calendar[[#This Row],[Date]],UploadQuery[],MATCH("Cal/hour",UploadQuery[#Headers],0),FALSE)</f>
        <v>#N/A</v>
      </c>
      <c r="AJ16" s="344">
        <f>IF(YEAR(Calendar[[#This Row],[Date]])=YEAR(TodayDate),IF(WEEKNUM(Calendar[[#This Row],[Date]],21)=WEEKNUM(TodayDate,21),IFERROR(MAX(Calendar[[#This Row],[Actual Hrs]],Calendar[[#This Row],[Plan. Hrs]])+(2/24),Calendar[[#This Row],[Plan. Hrs]]+(2/24)),-1),-1)</f>
        <v>-1</v>
      </c>
      <c r="AK16" s="344">
        <f>SUM(Calendar[[#This Row],[Mon]:[Sun]])</f>
        <v>0</v>
      </c>
      <c r="AL16" s="344" t="e">
        <f>VLOOKUP(Calendar[[#This Row],[Date]],UploadQuery[],MATCH("Activity Time",UploadQuery[#Headers],0),FALSE)</f>
        <v>#N/A</v>
      </c>
      <c r="AM16" s="271"/>
      <c r="AO16" s="163"/>
      <c r="AP16" s="153"/>
    </row>
    <row r="17" spans="2:38">
      <c r="B17" s="352"/>
      <c r="C17" s="353"/>
      <c r="D17" s="354"/>
      <c r="E17" s="354"/>
      <c r="F17" s="355"/>
      <c r="G17" s="356"/>
      <c r="H17" s="357"/>
      <c r="I17" s="357"/>
      <c r="J17" s="357"/>
      <c r="K17" s="357"/>
      <c r="L17" s="357"/>
      <c r="M17" s="357"/>
      <c r="N17" s="357"/>
      <c r="O17" s="356"/>
      <c r="P17" s="358"/>
      <c r="Q17" s="358"/>
      <c r="R17" s="358"/>
      <c r="S17" s="347"/>
      <c r="T17" s="348" t="e">
        <f>IF(ISBLANK(VLOOKUP(Calendar[[#This Row],[Date]],WeightTable[],2,FALSE))=TRUE,NA(),VLOOKUP(Calendar[[#This Row],[Date]],WeightTable[],IF(WeightUnit="lb",2,3),FALSE))</f>
        <v>#N/A</v>
      </c>
      <c r="U17" s="348" t="e">
        <f>IF(ISBLANK(INDEX(TargetsTable[],MATCH(Calendar[[#This Row],[Date]],TargetsTable[Date],0),MATCH(Calendar[#Headers],TargetsTable[#Headers],0)))=TRUE,NA(),INDEX(TargetsTable[],MATCH(Calendar[[#This Row],[Date]],TargetsTable[Date],0),MATCH(Calendar[#Headers],TargetsTable[#Headers],0)))</f>
        <v>#N/A</v>
      </c>
      <c r="V17" s="345" t="e">
        <f>IF(ISBLANK(VLOOKUP(Calendar[[#This Row],[Date]],UploadQuery[],MATCH("Heart Rate",UploadQuery[#Headers],0),FALSE))=TRUE,NA(),VLOOKUP(Calendar[[#This Row],[Date]],UploadQuery[],MATCH("Heart Rate",UploadQuery[#Headers],0),FALSE))</f>
        <v>#N/A</v>
      </c>
      <c r="W17" s="345" t="e">
        <f>IF(ISBLANK(INDEX(TargetsTable[],MATCH(Calendar[[#This Row],[Date]],TargetsTable[Date],0),MATCH(Calendar[#Headers],TargetsTable[#Headers],0)))=TRUE,NA(),INDEX(TargetsTable[],MATCH(Calendar[[#This Row],[Date]],TargetsTable[Date],0),MATCH(Calendar[#Headers],TargetsTable[#Headers],0)))</f>
        <v>#N/A</v>
      </c>
      <c r="X17" s="346">
        <f>Calendar[[#This Row],[Period]]</f>
        <v>0</v>
      </c>
      <c r="Y17" s="349">
        <f>IFERROR(IF(Calendar[[#This Row],[Plan. Hrs]]&lt;Calendar[[#This Row],[Actual Hrs]],0,Calendar[[#This Row],[Plan. Hrs]]-Calendar[[#This Row],[Actual Hrs]]),Calendar[[#This Row],[Plan. Hrs]])</f>
        <v>0</v>
      </c>
      <c r="Z17" s="350">
        <f>IFERROR(IF(Calendar[[#This Row],[Cal. Goal]]&lt;Calendar[[#This Row],[Cal.]],0,Calendar[[#This Row],[Cal. Goal]]-Calendar[[#This Row],[Cal.]]),Calendar[[#This Row],[Cal. Goal]])</f>
        <v>0</v>
      </c>
      <c r="AA17" s="345"/>
      <c r="AB17" s="348"/>
      <c r="AC17" s="350"/>
      <c r="AD17" s="348" t="e">
        <f>BMIf(Calendar[[#This Row],[Weight]],ActualHeight)</f>
        <v>#N/A</v>
      </c>
      <c r="AE17" s="348" t="e">
        <f>VLOOKUP(Calendar[[#This Row],[Date]],UploadQuery[],MATCH("Speed",UploadQuery[#Headers],0),FALSE)</f>
        <v>#N/A</v>
      </c>
      <c r="AF17" s="350" t="e">
        <f>VLOOKUP(Calendar[[#This Row],[Date]],UploadQuery[],MATCH("Elev Gain",UploadQuery[#Headers],0),FALSE)</f>
        <v>#N/A</v>
      </c>
      <c r="AG17" s="350" t="e">
        <f>VLOOKUP(Calendar[[#This Row],[Date]],UploadQuery[],MATCH("Distance",UploadQuery[#Headers],0),FALSE)</f>
        <v>#N/A</v>
      </c>
      <c r="AH17" s="350" t="e">
        <f>VLOOKUP(Calendar[[#This Row],[Date]],UploadQuery[],MATCH("Climber Index",UploadQuery[#Headers],0),FALSE)</f>
        <v>#N/A</v>
      </c>
      <c r="AI17" s="350" t="e">
        <f>VLOOKUP(Calendar[[#This Row],[Date]],UploadQuery[],MATCH("Cal/hour",UploadQuery[#Headers],0),FALSE)</f>
        <v>#N/A</v>
      </c>
      <c r="AJ17" s="351">
        <f>IF(YEAR(Calendar[[#This Row],[Date]])=YEAR(TodayDate),IF(WEEKNUM(Calendar[[#This Row],[Date]],21)=WEEKNUM(TodayDate,21),IFERROR(MAX(Calendar[[#This Row],[Actual Hrs]],Calendar[[#This Row],[Plan. Hrs]])+(2/24),Calendar[[#This Row],[Plan. Hrs]]+(2/24)),-1),-1)</f>
        <v>-1</v>
      </c>
      <c r="AK17" s="351">
        <f>SUM(Calendar[[#This Row],[Mon]:[Sun]])</f>
        <v>0</v>
      </c>
      <c r="AL17" s="351" t="e">
        <f>VLOOKUP(Calendar[[#This Row],[Date]],UploadQuery[],MATCH("Activity Time",UploadQuery[#Headers],0),FALSE)</f>
        <v>#N/A</v>
      </c>
    </row>
    <row r="18" spans="2:38">
      <c r="B18" s="352"/>
      <c r="C18" s="353"/>
      <c r="D18" s="354"/>
      <c r="E18" s="354"/>
      <c r="F18" s="355"/>
      <c r="G18" s="356"/>
      <c r="H18" s="357"/>
      <c r="I18" s="357"/>
      <c r="J18" s="357"/>
      <c r="K18" s="357"/>
      <c r="L18" s="357"/>
      <c r="M18" s="357"/>
      <c r="N18" s="357"/>
      <c r="O18" s="356"/>
      <c r="P18" s="358"/>
      <c r="Q18" s="358"/>
      <c r="R18" s="358"/>
      <c r="S18" s="347"/>
      <c r="T18" s="348" t="e">
        <f>IF(ISBLANK(VLOOKUP(Calendar[[#This Row],[Date]],WeightTable[],2,FALSE))=TRUE,NA(),VLOOKUP(Calendar[[#This Row],[Date]],WeightTable[],IF(WeightUnit="lb",2,3),FALSE))</f>
        <v>#N/A</v>
      </c>
      <c r="U18" s="348" t="e">
        <f>IF(ISBLANK(INDEX(TargetsTable[],MATCH(Calendar[[#This Row],[Date]],TargetsTable[Date],0),MATCH(Calendar[#Headers],TargetsTable[#Headers],0)))=TRUE,NA(),INDEX(TargetsTable[],MATCH(Calendar[[#This Row],[Date]],TargetsTable[Date],0),MATCH(Calendar[#Headers],TargetsTable[#Headers],0)))</f>
        <v>#N/A</v>
      </c>
      <c r="V18" s="345" t="e">
        <f>IF(ISBLANK(VLOOKUP(Calendar[[#This Row],[Date]],UploadQuery[],MATCH("Heart Rate",UploadQuery[#Headers],0),FALSE))=TRUE,NA(),VLOOKUP(Calendar[[#This Row],[Date]],UploadQuery[],MATCH("Heart Rate",UploadQuery[#Headers],0),FALSE))</f>
        <v>#N/A</v>
      </c>
      <c r="W18" s="345" t="e">
        <f>IF(ISBLANK(INDEX(TargetsTable[],MATCH(Calendar[[#This Row],[Date]],TargetsTable[Date],0),MATCH(Calendar[#Headers],TargetsTable[#Headers],0)))=TRUE,NA(),INDEX(TargetsTable[],MATCH(Calendar[[#This Row],[Date]],TargetsTable[Date],0),MATCH(Calendar[#Headers],TargetsTable[#Headers],0)))</f>
        <v>#N/A</v>
      </c>
      <c r="X18" s="346">
        <f>Calendar[[#This Row],[Period]]</f>
        <v>0</v>
      </c>
      <c r="Y18" s="349">
        <f>IFERROR(IF(Calendar[[#This Row],[Plan. Hrs]]&lt;Calendar[[#This Row],[Actual Hrs]],0,Calendar[[#This Row],[Plan. Hrs]]-Calendar[[#This Row],[Actual Hrs]]),Calendar[[#This Row],[Plan. Hrs]])</f>
        <v>0</v>
      </c>
      <c r="Z18" s="350">
        <f>IFERROR(IF(Calendar[[#This Row],[Cal. Goal]]&lt;Calendar[[#This Row],[Cal.]],0,Calendar[[#This Row],[Cal. Goal]]-Calendar[[#This Row],[Cal.]]),Calendar[[#This Row],[Cal. Goal]])</f>
        <v>0</v>
      </c>
      <c r="AA18" s="345"/>
      <c r="AB18" s="348"/>
      <c r="AC18" s="350"/>
      <c r="AD18" s="348" t="e">
        <f>BMIf(Calendar[[#This Row],[Weight]],ActualHeight)</f>
        <v>#N/A</v>
      </c>
      <c r="AE18" s="348" t="e">
        <f>VLOOKUP(Calendar[[#This Row],[Date]],UploadQuery[],MATCH("Speed",UploadQuery[#Headers],0),FALSE)</f>
        <v>#N/A</v>
      </c>
      <c r="AF18" s="350" t="e">
        <f>VLOOKUP(Calendar[[#This Row],[Date]],UploadQuery[],MATCH("Elev Gain",UploadQuery[#Headers],0),FALSE)</f>
        <v>#N/A</v>
      </c>
      <c r="AG18" s="350" t="e">
        <f>VLOOKUP(Calendar[[#This Row],[Date]],UploadQuery[],MATCH("Distance",UploadQuery[#Headers],0),FALSE)</f>
        <v>#N/A</v>
      </c>
      <c r="AH18" s="350" t="e">
        <f>VLOOKUP(Calendar[[#This Row],[Date]],UploadQuery[],MATCH("Climber Index",UploadQuery[#Headers],0),FALSE)</f>
        <v>#N/A</v>
      </c>
      <c r="AI18" s="350" t="e">
        <f>VLOOKUP(Calendar[[#This Row],[Date]],UploadQuery[],MATCH("Cal/hour",UploadQuery[#Headers],0),FALSE)</f>
        <v>#N/A</v>
      </c>
      <c r="AJ18" s="351">
        <f>IF(YEAR(Calendar[[#This Row],[Date]])=YEAR(TodayDate),IF(WEEKNUM(Calendar[[#This Row],[Date]],21)=WEEKNUM(TodayDate,21),IFERROR(MAX(Calendar[[#This Row],[Actual Hrs]],Calendar[[#This Row],[Plan. Hrs]])+(2/24),Calendar[[#This Row],[Plan. Hrs]]+(2/24)),-1),-1)</f>
        <v>-1</v>
      </c>
      <c r="AK18" s="351">
        <f>SUM(Calendar[[#This Row],[Mon]:[Sun]])</f>
        <v>0</v>
      </c>
      <c r="AL18" s="351" t="e">
        <f>VLOOKUP(Calendar[[#This Row],[Date]],UploadQuery[],MATCH("Activity Time",UploadQuery[#Headers],0),FALSE)</f>
        <v>#N/A</v>
      </c>
    </row>
    <row r="19" spans="2:38">
      <c r="B19" s="352"/>
      <c r="C19" s="353"/>
      <c r="D19" s="354"/>
      <c r="E19" s="354"/>
      <c r="F19" s="355"/>
      <c r="G19" s="356"/>
      <c r="H19" s="357"/>
      <c r="I19" s="357"/>
      <c r="J19" s="357"/>
      <c r="K19" s="357"/>
      <c r="L19" s="357"/>
      <c r="M19" s="357"/>
      <c r="N19" s="357"/>
      <c r="O19" s="356"/>
      <c r="P19" s="358"/>
      <c r="Q19" s="358"/>
      <c r="R19" s="358"/>
      <c r="S19" s="347"/>
      <c r="T19" s="348" t="e">
        <f>IF(ISBLANK(VLOOKUP(Calendar[[#This Row],[Date]],WeightTable[],2,FALSE))=TRUE,NA(),VLOOKUP(Calendar[[#This Row],[Date]],WeightTable[],IF(WeightUnit="lb",2,3),FALSE))</f>
        <v>#N/A</v>
      </c>
      <c r="U19" s="348" t="e">
        <f>IF(ISBLANK(INDEX(TargetsTable[],MATCH(Calendar[[#This Row],[Date]],TargetsTable[Date],0),MATCH(Calendar[#Headers],TargetsTable[#Headers],0)))=TRUE,NA(),INDEX(TargetsTable[],MATCH(Calendar[[#This Row],[Date]],TargetsTable[Date],0),MATCH(Calendar[#Headers],TargetsTable[#Headers],0)))</f>
        <v>#N/A</v>
      </c>
      <c r="V19" s="345" t="e">
        <f>IF(ISBLANK(VLOOKUP(Calendar[[#This Row],[Date]],UploadQuery[],MATCH("Heart Rate",UploadQuery[#Headers],0),FALSE))=TRUE,NA(),VLOOKUP(Calendar[[#This Row],[Date]],UploadQuery[],MATCH("Heart Rate",UploadQuery[#Headers],0),FALSE))</f>
        <v>#N/A</v>
      </c>
      <c r="W19" s="345" t="e">
        <f>IF(ISBLANK(INDEX(TargetsTable[],MATCH(Calendar[[#This Row],[Date]],TargetsTable[Date],0),MATCH(Calendar[#Headers],TargetsTable[#Headers],0)))=TRUE,NA(),INDEX(TargetsTable[],MATCH(Calendar[[#This Row],[Date]],TargetsTable[Date],0),MATCH(Calendar[#Headers],TargetsTable[#Headers],0)))</f>
        <v>#N/A</v>
      </c>
      <c r="X19" s="346">
        <f>Calendar[[#This Row],[Period]]</f>
        <v>0</v>
      </c>
      <c r="Y19" s="349">
        <f>IFERROR(IF(Calendar[[#This Row],[Plan. Hrs]]&lt;Calendar[[#This Row],[Actual Hrs]],0,Calendar[[#This Row],[Plan. Hrs]]-Calendar[[#This Row],[Actual Hrs]]),Calendar[[#This Row],[Plan. Hrs]])</f>
        <v>0</v>
      </c>
      <c r="Z19" s="350">
        <f>IFERROR(IF(Calendar[[#This Row],[Cal. Goal]]&lt;Calendar[[#This Row],[Cal.]],0,Calendar[[#This Row],[Cal. Goal]]-Calendar[[#This Row],[Cal.]]),Calendar[[#This Row],[Cal. Goal]])</f>
        <v>0</v>
      </c>
      <c r="AA19" s="345"/>
      <c r="AB19" s="348"/>
      <c r="AC19" s="350"/>
      <c r="AD19" s="348" t="e">
        <f>BMIf(Calendar[[#This Row],[Weight]],ActualHeight)</f>
        <v>#N/A</v>
      </c>
      <c r="AE19" s="348" t="e">
        <f>VLOOKUP(Calendar[[#This Row],[Date]],UploadQuery[],MATCH("Speed",UploadQuery[#Headers],0),FALSE)</f>
        <v>#N/A</v>
      </c>
      <c r="AF19" s="350" t="e">
        <f>VLOOKUP(Calendar[[#This Row],[Date]],UploadQuery[],MATCH("Elev Gain",UploadQuery[#Headers],0),FALSE)</f>
        <v>#N/A</v>
      </c>
      <c r="AG19" s="350" t="e">
        <f>VLOOKUP(Calendar[[#This Row],[Date]],UploadQuery[],MATCH("Distance",UploadQuery[#Headers],0),FALSE)</f>
        <v>#N/A</v>
      </c>
      <c r="AH19" s="350" t="e">
        <f>VLOOKUP(Calendar[[#This Row],[Date]],UploadQuery[],MATCH("Climber Index",UploadQuery[#Headers],0),FALSE)</f>
        <v>#N/A</v>
      </c>
      <c r="AI19" s="350" t="e">
        <f>VLOOKUP(Calendar[[#This Row],[Date]],UploadQuery[],MATCH("Cal/hour",UploadQuery[#Headers],0),FALSE)</f>
        <v>#N/A</v>
      </c>
      <c r="AJ19" s="351">
        <f>IF(YEAR(Calendar[[#This Row],[Date]])=YEAR(TodayDate),IF(WEEKNUM(Calendar[[#This Row],[Date]],21)=WEEKNUM(TodayDate,21),IFERROR(MAX(Calendar[[#This Row],[Actual Hrs]],Calendar[[#This Row],[Plan. Hrs]])+(2/24),Calendar[[#This Row],[Plan. Hrs]]+(2/24)),-1),-1)</f>
        <v>-1</v>
      </c>
      <c r="AK19" s="351">
        <f>SUM(Calendar[[#This Row],[Mon]:[Sun]])</f>
        <v>0</v>
      </c>
      <c r="AL19" s="351" t="e">
        <f>VLOOKUP(Calendar[[#This Row],[Date]],UploadQuery[],MATCH("Activity Time",UploadQuery[#Headers],0),FALSE)</f>
        <v>#N/A</v>
      </c>
    </row>
    <row r="20" spans="2:38">
      <c r="B20" s="352"/>
      <c r="C20" s="353"/>
      <c r="D20" s="354"/>
      <c r="E20" s="354"/>
      <c r="F20" s="355"/>
      <c r="G20" s="356"/>
      <c r="H20" s="357"/>
      <c r="I20" s="357"/>
      <c r="J20" s="357"/>
      <c r="K20" s="357"/>
      <c r="L20" s="357"/>
      <c r="M20" s="357"/>
      <c r="N20" s="357"/>
      <c r="O20" s="356"/>
      <c r="P20" s="358"/>
      <c r="Q20" s="358"/>
      <c r="R20" s="358"/>
      <c r="S20" s="347"/>
      <c r="T20" s="348" t="e">
        <f>IF(ISBLANK(VLOOKUP(Calendar[[#This Row],[Date]],WeightTable[],2,FALSE))=TRUE,NA(),VLOOKUP(Calendar[[#This Row],[Date]],WeightTable[],IF(WeightUnit="lb",2,3),FALSE))</f>
        <v>#N/A</v>
      </c>
      <c r="U20" s="348" t="e">
        <f>IF(ISBLANK(INDEX(TargetsTable[],MATCH(Calendar[[#This Row],[Date]],TargetsTable[Date],0),MATCH(Calendar[#Headers],TargetsTable[#Headers],0)))=TRUE,NA(),INDEX(TargetsTable[],MATCH(Calendar[[#This Row],[Date]],TargetsTable[Date],0),MATCH(Calendar[#Headers],TargetsTable[#Headers],0)))</f>
        <v>#N/A</v>
      </c>
      <c r="V20" s="345" t="e">
        <f>IF(ISBLANK(VLOOKUP(Calendar[[#This Row],[Date]],UploadQuery[],MATCH("Heart Rate",UploadQuery[#Headers],0),FALSE))=TRUE,NA(),VLOOKUP(Calendar[[#This Row],[Date]],UploadQuery[],MATCH("Heart Rate",UploadQuery[#Headers],0),FALSE))</f>
        <v>#N/A</v>
      </c>
      <c r="W20" s="345" t="e">
        <f>IF(ISBLANK(INDEX(TargetsTable[],MATCH(Calendar[[#This Row],[Date]],TargetsTable[Date],0),MATCH(Calendar[#Headers],TargetsTable[#Headers],0)))=TRUE,NA(),INDEX(TargetsTable[],MATCH(Calendar[[#This Row],[Date]],TargetsTable[Date],0),MATCH(Calendar[#Headers],TargetsTable[#Headers],0)))</f>
        <v>#N/A</v>
      </c>
      <c r="X20" s="346">
        <f>Calendar[[#This Row],[Period]]</f>
        <v>0</v>
      </c>
      <c r="Y20" s="349">
        <f>IFERROR(IF(Calendar[[#This Row],[Plan. Hrs]]&lt;Calendar[[#This Row],[Actual Hrs]],0,Calendar[[#This Row],[Plan. Hrs]]-Calendar[[#This Row],[Actual Hrs]]),Calendar[[#This Row],[Plan. Hrs]])</f>
        <v>0</v>
      </c>
      <c r="Z20" s="350">
        <f>IFERROR(IF(Calendar[[#This Row],[Cal. Goal]]&lt;Calendar[[#This Row],[Cal.]],0,Calendar[[#This Row],[Cal. Goal]]-Calendar[[#This Row],[Cal.]]),Calendar[[#This Row],[Cal. Goal]])</f>
        <v>0</v>
      </c>
      <c r="AA20" s="345"/>
      <c r="AB20" s="348"/>
      <c r="AC20" s="350"/>
      <c r="AD20" s="348" t="e">
        <f>BMIf(Calendar[[#This Row],[Weight]],ActualHeight)</f>
        <v>#N/A</v>
      </c>
      <c r="AE20" s="348" t="e">
        <f>VLOOKUP(Calendar[[#This Row],[Date]],UploadQuery[],MATCH("Speed",UploadQuery[#Headers],0),FALSE)</f>
        <v>#N/A</v>
      </c>
      <c r="AF20" s="350" t="e">
        <f>VLOOKUP(Calendar[[#This Row],[Date]],UploadQuery[],MATCH("Elev Gain",UploadQuery[#Headers],0),FALSE)</f>
        <v>#N/A</v>
      </c>
      <c r="AG20" s="350" t="e">
        <f>VLOOKUP(Calendar[[#This Row],[Date]],UploadQuery[],MATCH("Distance",UploadQuery[#Headers],0),FALSE)</f>
        <v>#N/A</v>
      </c>
      <c r="AH20" s="350" t="e">
        <f>VLOOKUP(Calendar[[#This Row],[Date]],UploadQuery[],MATCH("Climber Index",UploadQuery[#Headers],0),FALSE)</f>
        <v>#N/A</v>
      </c>
      <c r="AI20" s="350" t="e">
        <f>VLOOKUP(Calendar[[#This Row],[Date]],UploadQuery[],MATCH("Cal/hour",UploadQuery[#Headers],0),FALSE)</f>
        <v>#N/A</v>
      </c>
      <c r="AJ20" s="351">
        <f>IF(YEAR(Calendar[[#This Row],[Date]])=YEAR(TodayDate),IF(WEEKNUM(Calendar[[#This Row],[Date]],21)=WEEKNUM(TodayDate,21),IFERROR(MAX(Calendar[[#This Row],[Actual Hrs]],Calendar[[#This Row],[Plan. Hrs]])+(2/24),Calendar[[#This Row],[Plan. Hrs]]+(2/24)),-1),-1)</f>
        <v>-1</v>
      </c>
      <c r="AK20" s="351">
        <f>SUM(Calendar[[#This Row],[Mon]:[Sun]])</f>
        <v>0</v>
      </c>
      <c r="AL20" s="351" t="e">
        <f>VLOOKUP(Calendar[[#This Row],[Date]],UploadQuery[],MATCH("Activity Time",UploadQuery[#Headers],0),FALSE)</f>
        <v>#N/A</v>
      </c>
    </row>
    <row r="21" spans="2:38">
      <c r="B21" s="352"/>
      <c r="C21" s="353"/>
      <c r="D21" s="354"/>
      <c r="E21" s="354"/>
      <c r="F21" s="355"/>
      <c r="G21" s="356"/>
      <c r="H21" s="357"/>
      <c r="I21" s="357"/>
      <c r="J21" s="357"/>
      <c r="K21" s="357"/>
      <c r="L21" s="357"/>
      <c r="M21" s="357"/>
      <c r="N21" s="357"/>
      <c r="O21" s="356"/>
      <c r="P21" s="358"/>
      <c r="Q21" s="358"/>
      <c r="R21" s="358"/>
      <c r="S21" s="347"/>
      <c r="T21" s="348" t="e">
        <f>IF(ISBLANK(VLOOKUP(Calendar[[#This Row],[Date]],WeightTable[],2,FALSE))=TRUE,NA(),VLOOKUP(Calendar[[#This Row],[Date]],WeightTable[],IF(WeightUnit="lb",2,3),FALSE))</f>
        <v>#N/A</v>
      </c>
      <c r="U21" s="348" t="e">
        <f>IF(ISBLANK(INDEX(TargetsTable[],MATCH(Calendar[[#This Row],[Date]],TargetsTable[Date],0),MATCH(Calendar[#Headers],TargetsTable[#Headers],0)))=TRUE,NA(),INDEX(TargetsTable[],MATCH(Calendar[[#This Row],[Date]],TargetsTable[Date],0),MATCH(Calendar[#Headers],TargetsTable[#Headers],0)))</f>
        <v>#N/A</v>
      </c>
      <c r="V21" s="345" t="e">
        <f>IF(ISBLANK(VLOOKUP(Calendar[[#This Row],[Date]],UploadQuery[],MATCH("Heart Rate",UploadQuery[#Headers],0),FALSE))=TRUE,NA(),VLOOKUP(Calendar[[#This Row],[Date]],UploadQuery[],MATCH("Heart Rate",UploadQuery[#Headers],0),FALSE))</f>
        <v>#N/A</v>
      </c>
      <c r="W21" s="345" t="e">
        <f>IF(ISBLANK(INDEX(TargetsTable[],MATCH(Calendar[[#This Row],[Date]],TargetsTable[Date],0),MATCH(Calendar[#Headers],TargetsTable[#Headers],0)))=TRUE,NA(),INDEX(TargetsTable[],MATCH(Calendar[[#This Row],[Date]],TargetsTable[Date],0),MATCH(Calendar[#Headers],TargetsTable[#Headers],0)))</f>
        <v>#N/A</v>
      </c>
      <c r="X21" s="346">
        <f>Calendar[[#This Row],[Period]]</f>
        <v>0</v>
      </c>
      <c r="Y21" s="349">
        <f>IFERROR(IF(Calendar[[#This Row],[Plan. Hrs]]&lt;Calendar[[#This Row],[Actual Hrs]],0,Calendar[[#This Row],[Plan. Hrs]]-Calendar[[#This Row],[Actual Hrs]]),Calendar[[#This Row],[Plan. Hrs]])</f>
        <v>0</v>
      </c>
      <c r="Z21" s="350">
        <f>IFERROR(IF(Calendar[[#This Row],[Cal. Goal]]&lt;Calendar[[#This Row],[Cal.]],0,Calendar[[#This Row],[Cal. Goal]]-Calendar[[#This Row],[Cal.]]),Calendar[[#This Row],[Cal. Goal]])</f>
        <v>0</v>
      </c>
      <c r="AA21" s="345"/>
      <c r="AB21" s="348"/>
      <c r="AC21" s="350"/>
      <c r="AD21" s="348" t="e">
        <f>BMIf(Calendar[[#This Row],[Weight]],ActualHeight)</f>
        <v>#N/A</v>
      </c>
      <c r="AE21" s="348" t="e">
        <f>VLOOKUP(Calendar[[#This Row],[Date]],UploadQuery[],MATCH("Speed",UploadQuery[#Headers],0),FALSE)</f>
        <v>#N/A</v>
      </c>
      <c r="AF21" s="350" t="e">
        <f>VLOOKUP(Calendar[[#This Row],[Date]],UploadQuery[],MATCH("Elev Gain",UploadQuery[#Headers],0),FALSE)</f>
        <v>#N/A</v>
      </c>
      <c r="AG21" s="350" t="e">
        <f>VLOOKUP(Calendar[[#This Row],[Date]],UploadQuery[],MATCH("Distance",UploadQuery[#Headers],0),FALSE)</f>
        <v>#N/A</v>
      </c>
      <c r="AH21" s="350" t="e">
        <f>VLOOKUP(Calendar[[#This Row],[Date]],UploadQuery[],MATCH("Climber Index",UploadQuery[#Headers],0),FALSE)</f>
        <v>#N/A</v>
      </c>
      <c r="AI21" s="350" t="e">
        <f>VLOOKUP(Calendar[[#This Row],[Date]],UploadQuery[],MATCH("Cal/hour",UploadQuery[#Headers],0),FALSE)</f>
        <v>#N/A</v>
      </c>
      <c r="AJ21" s="351">
        <f>IF(YEAR(Calendar[[#This Row],[Date]])=YEAR(TodayDate),IF(WEEKNUM(Calendar[[#This Row],[Date]],21)=WEEKNUM(TodayDate,21),IFERROR(MAX(Calendar[[#This Row],[Actual Hrs]],Calendar[[#This Row],[Plan. Hrs]])+(2/24),Calendar[[#This Row],[Plan. Hrs]]+(2/24)),-1),-1)</f>
        <v>-1</v>
      </c>
      <c r="AK21" s="351">
        <f>SUM(Calendar[[#This Row],[Mon]:[Sun]])</f>
        <v>0</v>
      </c>
      <c r="AL21" s="351" t="e">
        <f>VLOOKUP(Calendar[[#This Row],[Date]],UploadQuery[],MATCH("Activity Time",UploadQuery[#Headers],0),FALSE)</f>
        <v>#N/A</v>
      </c>
    </row>
    <row r="22" spans="2:38">
      <c r="B22" s="352"/>
      <c r="C22" s="353"/>
      <c r="D22" s="354"/>
      <c r="E22" s="354"/>
      <c r="F22" s="355"/>
      <c r="G22" s="356"/>
      <c r="H22" s="357"/>
      <c r="I22" s="357"/>
      <c r="J22" s="357"/>
      <c r="K22" s="357"/>
      <c r="L22" s="357"/>
      <c r="M22" s="357"/>
      <c r="N22" s="357"/>
      <c r="O22" s="356"/>
      <c r="P22" s="358"/>
      <c r="Q22" s="358"/>
      <c r="R22" s="358"/>
      <c r="S22" s="347"/>
      <c r="T22" s="348" t="e">
        <f>IF(ISBLANK(VLOOKUP(Calendar[[#This Row],[Date]],WeightTable[],2,FALSE))=TRUE,NA(),VLOOKUP(Calendar[[#This Row],[Date]],WeightTable[],IF(WeightUnit="lb",2,3),FALSE))</f>
        <v>#N/A</v>
      </c>
      <c r="U22" s="348" t="e">
        <f>IF(ISBLANK(INDEX(TargetsTable[],MATCH(Calendar[[#This Row],[Date]],TargetsTable[Date],0),MATCH(Calendar[#Headers],TargetsTable[#Headers],0)))=TRUE,NA(),INDEX(TargetsTable[],MATCH(Calendar[[#This Row],[Date]],TargetsTable[Date],0),MATCH(Calendar[#Headers],TargetsTable[#Headers],0)))</f>
        <v>#N/A</v>
      </c>
      <c r="V22" s="345" t="e">
        <f>IF(ISBLANK(VLOOKUP(Calendar[[#This Row],[Date]],UploadQuery[],MATCH("Heart Rate",UploadQuery[#Headers],0),FALSE))=TRUE,NA(),VLOOKUP(Calendar[[#This Row],[Date]],UploadQuery[],MATCH("Heart Rate",UploadQuery[#Headers],0),FALSE))</f>
        <v>#N/A</v>
      </c>
      <c r="W22" s="345" t="e">
        <f>IF(ISBLANK(INDEX(TargetsTable[],MATCH(Calendar[[#This Row],[Date]],TargetsTable[Date],0),MATCH(Calendar[#Headers],TargetsTable[#Headers],0)))=TRUE,NA(),INDEX(TargetsTable[],MATCH(Calendar[[#This Row],[Date]],TargetsTable[Date],0),MATCH(Calendar[#Headers],TargetsTable[#Headers],0)))</f>
        <v>#N/A</v>
      </c>
      <c r="X22" s="346">
        <f>Calendar[[#This Row],[Period]]</f>
        <v>0</v>
      </c>
      <c r="Y22" s="349">
        <f>IFERROR(IF(Calendar[[#This Row],[Plan. Hrs]]&lt;Calendar[[#This Row],[Actual Hrs]],0,Calendar[[#This Row],[Plan. Hrs]]-Calendar[[#This Row],[Actual Hrs]]),Calendar[[#This Row],[Plan. Hrs]])</f>
        <v>0</v>
      </c>
      <c r="Z22" s="350">
        <f>IFERROR(IF(Calendar[[#This Row],[Cal. Goal]]&lt;Calendar[[#This Row],[Cal.]],0,Calendar[[#This Row],[Cal. Goal]]-Calendar[[#This Row],[Cal.]]),Calendar[[#This Row],[Cal. Goal]])</f>
        <v>0</v>
      </c>
      <c r="AA22" s="345"/>
      <c r="AB22" s="348"/>
      <c r="AC22" s="350"/>
      <c r="AD22" s="348" t="e">
        <f>BMIf(Calendar[[#This Row],[Weight]],ActualHeight)</f>
        <v>#N/A</v>
      </c>
      <c r="AE22" s="348" t="e">
        <f>VLOOKUP(Calendar[[#This Row],[Date]],UploadQuery[],MATCH("Speed",UploadQuery[#Headers],0),FALSE)</f>
        <v>#N/A</v>
      </c>
      <c r="AF22" s="350" t="e">
        <f>VLOOKUP(Calendar[[#This Row],[Date]],UploadQuery[],MATCH("Elev Gain",UploadQuery[#Headers],0),FALSE)</f>
        <v>#N/A</v>
      </c>
      <c r="AG22" s="350" t="e">
        <f>VLOOKUP(Calendar[[#This Row],[Date]],UploadQuery[],MATCH("Distance",UploadQuery[#Headers],0),FALSE)</f>
        <v>#N/A</v>
      </c>
      <c r="AH22" s="350" t="e">
        <f>VLOOKUP(Calendar[[#This Row],[Date]],UploadQuery[],MATCH("Climber Index",UploadQuery[#Headers],0),FALSE)</f>
        <v>#N/A</v>
      </c>
      <c r="AI22" s="350" t="e">
        <f>VLOOKUP(Calendar[[#This Row],[Date]],UploadQuery[],MATCH("Cal/hour",UploadQuery[#Headers],0),FALSE)</f>
        <v>#N/A</v>
      </c>
      <c r="AJ22" s="351">
        <f>IF(YEAR(Calendar[[#This Row],[Date]])=YEAR(TodayDate),IF(WEEKNUM(Calendar[[#This Row],[Date]],21)=WEEKNUM(TodayDate,21),IFERROR(MAX(Calendar[[#This Row],[Actual Hrs]],Calendar[[#This Row],[Plan. Hrs]])+(2/24),Calendar[[#This Row],[Plan. Hrs]]+(2/24)),-1),-1)</f>
        <v>-1</v>
      </c>
      <c r="AK22" s="351">
        <f>SUM(Calendar[[#This Row],[Mon]:[Sun]])</f>
        <v>0</v>
      </c>
      <c r="AL22" s="351" t="e">
        <f>VLOOKUP(Calendar[[#This Row],[Date]],UploadQuery[],MATCH("Activity Time",UploadQuery[#Headers],0),FALSE)</f>
        <v>#N/A</v>
      </c>
    </row>
    <row r="23" spans="2:38">
      <c r="B23" s="352"/>
      <c r="C23" s="353"/>
      <c r="D23" s="354"/>
      <c r="E23" s="354"/>
      <c r="F23" s="355"/>
      <c r="G23" s="356"/>
      <c r="H23" s="357"/>
      <c r="I23" s="357"/>
      <c r="J23" s="357"/>
      <c r="K23" s="357"/>
      <c r="L23" s="357"/>
      <c r="M23" s="357"/>
      <c r="N23" s="357"/>
      <c r="O23" s="356"/>
      <c r="P23" s="358"/>
      <c r="Q23" s="358"/>
      <c r="R23" s="358"/>
      <c r="S23" s="347"/>
      <c r="T23" s="348" t="e">
        <f>IF(ISBLANK(VLOOKUP(Calendar[[#This Row],[Date]],WeightTable[],2,FALSE))=TRUE,NA(),VLOOKUP(Calendar[[#This Row],[Date]],WeightTable[],IF(WeightUnit="lb",2,3),FALSE))</f>
        <v>#N/A</v>
      </c>
      <c r="U23" s="348" t="e">
        <f>IF(ISBLANK(INDEX(TargetsTable[],MATCH(Calendar[[#This Row],[Date]],TargetsTable[Date],0),MATCH(Calendar[#Headers],TargetsTable[#Headers],0)))=TRUE,NA(),INDEX(TargetsTable[],MATCH(Calendar[[#This Row],[Date]],TargetsTable[Date],0),MATCH(Calendar[#Headers],TargetsTable[#Headers],0)))</f>
        <v>#N/A</v>
      </c>
      <c r="V23" s="345" t="e">
        <f>IF(ISBLANK(VLOOKUP(Calendar[[#This Row],[Date]],UploadQuery[],MATCH("Heart Rate",UploadQuery[#Headers],0),FALSE))=TRUE,NA(),VLOOKUP(Calendar[[#This Row],[Date]],UploadQuery[],MATCH("Heart Rate",UploadQuery[#Headers],0),FALSE))</f>
        <v>#N/A</v>
      </c>
      <c r="W23" s="345" t="e">
        <f>IF(ISBLANK(INDEX(TargetsTable[],MATCH(Calendar[[#This Row],[Date]],TargetsTable[Date],0),MATCH(Calendar[#Headers],TargetsTable[#Headers],0)))=TRUE,NA(),INDEX(TargetsTable[],MATCH(Calendar[[#This Row],[Date]],TargetsTable[Date],0),MATCH(Calendar[#Headers],TargetsTable[#Headers],0)))</f>
        <v>#N/A</v>
      </c>
      <c r="X23" s="346">
        <f>Calendar[[#This Row],[Period]]</f>
        <v>0</v>
      </c>
      <c r="Y23" s="349">
        <f>IFERROR(IF(Calendar[[#This Row],[Plan. Hrs]]&lt;Calendar[[#This Row],[Actual Hrs]],0,Calendar[[#This Row],[Plan. Hrs]]-Calendar[[#This Row],[Actual Hrs]]),Calendar[[#This Row],[Plan. Hrs]])</f>
        <v>0</v>
      </c>
      <c r="Z23" s="350">
        <f>IFERROR(IF(Calendar[[#This Row],[Cal. Goal]]&lt;Calendar[[#This Row],[Cal.]],0,Calendar[[#This Row],[Cal. Goal]]-Calendar[[#This Row],[Cal.]]),Calendar[[#This Row],[Cal. Goal]])</f>
        <v>0</v>
      </c>
      <c r="AA23" s="345"/>
      <c r="AB23" s="348"/>
      <c r="AC23" s="350"/>
      <c r="AD23" s="348" t="e">
        <f>BMIf(Calendar[[#This Row],[Weight]],ActualHeight)</f>
        <v>#N/A</v>
      </c>
      <c r="AE23" s="348" t="e">
        <f>VLOOKUP(Calendar[[#This Row],[Date]],UploadQuery[],MATCH("Speed",UploadQuery[#Headers],0),FALSE)</f>
        <v>#N/A</v>
      </c>
      <c r="AF23" s="350" t="e">
        <f>VLOOKUP(Calendar[[#This Row],[Date]],UploadQuery[],MATCH("Elev Gain",UploadQuery[#Headers],0),FALSE)</f>
        <v>#N/A</v>
      </c>
      <c r="AG23" s="350" t="e">
        <f>VLOOKUP(Calendar[[#This Row],[Date]],UploadQuery[],MATCH("Distance",UploadQuery[#Headers],0),FALSE)</f>
        <v>#N/A</v>
      </c>
      <c r="AH23" s="350" t="e">
        <f>VLOOKUP(Calendar[[#This Row],[Date]],UploadQuery[],MATCH("Climber Index",UploadQuery[#Headers],0),FALSE)</f>
        <v>#N/A</v>
      </c>
      <c r="AI23" s="350" t="e">
        <f>VLOOKUP(Calendar[[#This Row],[Date]],UploadQuery[],MATCH("Cal/hour",UploadQuery[#Headers],0),FALSE)</f>
        <v>#N/A</v>
      </c>
      <c r="AJ23" s="351">
        <f>IF(YEAR(Calendar[[#This Row],[Date]])=YEAR(TodayDate),IF(WEEKNUM(Calendar[[#This Row],[Date]],21)=WEEKNUM(TodayDate,21),IFERROR(MAX(Calendar[[#This Row],[Actual Hrs]],Calendar[[#This Row],[Plan. Hrs]])+(2/24),Calendar[[#This Row],[Plan. Hrs]]+(2/24)),-1),-1)</f>
        <v>-1</v>
      </c>
      <c r="AK23" s="351">
        <f>SUM(Calendar[[#This Row],[Mon]:[Sun]])</f>
        <v>0</v>
      </c>
      <c r="AL23" s="351" t="e">
        <f>VLOOKUP(Calendar[[#This Row],[Date]],UploadQuery[],MATCH("Activity Time",UploadQuery[#Headers],0),FALSE)</f>
        <v>#N/A</v>
      </c>
    </row>
    <row r="24" spans="2:38">
      <c r="B24" s="352"/>
      <c r="C24" s="353"/>
      <c r="D24" s="354"/>
      <c r="E24" s="354"/>
      <c r="F24" s="355"/>
      <c r="G24" s="356"/>
      <c r="H24" s="357"/>
      <c r="I24" s="357"/>
      <c r="J24" s="357"/>
      <c r="K24" s="357"/>
      <c r="L24" s="357"/>
      <c r="M24" s="357"/>
      <c r="N24" s="357"/>
      <c r="O24" s="356"/>
      <c r="P24" s="358"/>
      <c r="Q24" s="358"/>
      <c r="R24" s="358"/>
      <c r="S24" s="347"/>
      <c r="T24" s="348" t="e">
        <f>IF(ISBLANK(VLOOKUP(Calendar[[#This Row],[Date]],WeightTable[],2,FALSE))=TRUE,NA(),VLOOKUP(Calendar[[#This Row],[Date]],WeightTable[],IF(WeightUnit="lb",2,3),FALSE))</f>
        <v>#N/A</v>
      </c>
      <c r="U24" s="348" t="e">
        <f>IF(ISBLANK(INDEX(TargetsTable[],MATCH(Calendar[[#This Row],[Date]],TargetsTable[Date],0),MATCH(Calendar[#Headers],TargetsTable[#Headers],0)))=TRUE,NA(),INDEX(TargetsTable[],MATCH(Calendar[[#This Row],[Date]],TargetsTable[Date],0),MATCH(Calendar[#Headers],TargetsTable[#Headers],0)))</f>
        <v>#N/A</v>
      </c>
      <c r="V24" s="345" t="e">
        <f>IF(ISBLANK(VLOOKUP(Calendar[[#This Row],[Date]],UploadQuery[],MATCH("Heart Rate",UploadQuery[#Headers],0),FALSE))=TRUE,NA(),VLOOKUP(Calendar[[#This Row],[Date]],UploadQuery[],MATCH("Heart Rate",UploadQuery[#Headers],0),FALSE))</f>
        <v>#N/A</v>
      </c>
      <c r="W24" s="345" t="e">
        <f>IF(ISBLANK(INDEX(TargetsTable[],MATCH(Calendar[[#This Row],[Date]],TargetsTable[Date],0),MATCH(Calendar[#Headers],TargetsTable[#Headers],0)))=TRUE,NA(),INDEX(TargetsTable[],MATCH(Calendar[[#This Row],[Date]],TargetsTable[Date],0),MATCH(Calendar[#Headers],TargetsTable[#Headers],0)))</f>
        <v>#N/A</v>
      </c>
      <c r="X24" s="346">
        <f>Calendar[[#This Row],[Period]]</f>
        <v>0</v>
      </c>
      <c r="Y24" s="349">
        <f>IFERROR(IF(Calendar[[#This Row],[Plan. Hrs]]&lt;Calendar[[#This Row],[Actual Hrs]],0,Calendar[[#This Row],[Plan. Hrs]]-Calendar[[#This Row],[Actual Hrs]]),Calendar[[#This Row],[Plan. Hrs]])</f>
        <v>0</v>
      </c>
      <c r="Z24" s="350">
        <f>IFERROR(IF(Calendar[[#This Row],[Cal. Goal]]&lt;Calendar[[#This Row],[Cal.]],0,Calendar[[#This Row],[Cal. Goal]]-Calendar[[#This Row],[Cal.]]),Calendar[[#This Row],[Cal. Goal]])</f>
        <v>0</v>
      </c>
      <c r="AA24" s="345"/>
      <c r="AB24" s="348"/>
      <c r="AC24" s="350"/>
      <c r="AD24" s="348" t="e">
        <f>BMIf(Calendar[[#This Row],[Weight]],ActualHeight)</f>
        <v>#N/A</v>
      </c>
      <c r="AE24" s="348" t="e">
        <f>VLOOKUP(Calendar[[#This Row],[Date]],UploadQuery[],MATCH("Speed",UploadQuery[#Headers],0),FALSE)</f>
        <v>#N/A</v>
      </c>
      <c r="AF24" s="350" t="e">
        <f>VLOOKUP(Calendar[[#This Row],[Date]],UploadQuery[],MATCH("Elev Gain",UploadQuery[#Headers],0),FALSE)</f>
        <v>#N/A</v>
      </c>
      <c r="AG24" s="350" t="e">
        <f>VLOOKUP(Calendar[[#This Row],[Date]],UploadQuery[],MATCH("Distance",UploadQuery[#Headers],0),FALSE)</f>
        <v>#N/A</v>
      </c>
      <c r="AH24" s="350" t="e">
        <f>VLOOKUP(Calendar[[#This Row],[Date]],UploadQuery[],MATCH("Climber Index",UploadQuery[#Headers],0),FALSE)</f>
        <v>#N/A</v>
      </c>
      <c r="AI24" s="350" t="e">
        <f>VLOOKUP(Calendar[[#This Row],[Date]],UploadQuery[],MATCH("Cal/hour",UploadQuery[#Headers],0),FALSE)</f>
        <v>#N/A</v>
      </c>
      <c r="AJ24" s="351">
        <f>IF(YEAR(Calendar[[#This Row],[Date]])=YEAR(TodayDate),IF(WEEKNUM(Calendar[[#This Row],[Date]],21)=WEEKNUM(TodayDate,21),IFERROR(MAX(Calendar[[#This Row],[Actual Hrs]],Calendar[[#This Row],[Plan. Hrs]])+(2/24),Calendar[[#This Row],[Plan. Hrs]]+(2/24)),-1),-1)</f>
        <v>-1</v>
      </c>
      <c r="AK24" s="351">
        <f>SUM(Calendar[[#This Row],[Mon]:[Sun]])</f>
        <v>0</v>
      </c>
      <c r="AL24" s="351" t="e">
        <f>VLOOKUP(Calendar[[#This Row],[Date]],UploadQuery[],MATCH("Activity Time",UploadQuery[#Headers],0),FALSE)</f>
        <v>#N/A</v>
      </c>
    </row>
    <row r="25" spans="2:38">
      <c r="B25" s="352"/>
      <c r="C25" s="353"/>
      <c r="D25" s="354"/>
      <c r="E25" s="354"/>
      <c r="F25" s="355"/>
      <c r="G25" s="356"/>
      <c r="H25" s="357"/>
      <c r="I25" s="357"/>
      <c r="J25" s="357"/>
      <c r="K25" s="357"/>
      <c r="L25" s="357"/>
      <c r="M25" s="357"/>
      <c r="N25" s="357"/>
      <c r="O25" s="356"/>
      <c r="P25" s="358"/>
      <c r="Q25" s="358"/>
      <c r="R25" s="358"/>
      <c r="S25" s="347"/>
      <c r="T25" s="348" t="e">
        <f>IF(ISBLANK(VLOOKUP(Calendar[[#This Row],[Date]],WeightTable[],2,FALSE))=TRUE,NA(),VLOOKUP(Calendar[[#This Row],[Date]],WeightTable[],IF(WeightUnit="lb",2,3),FALSE))</f>
        <v>#N/A</v>
      </c>
      <c r="U25" s="348" t="e">
        <f>IF(ISBLANK(INDEX(TargetsTable[],MATCH(Calendar[[#This Row],[Date]],TargetsTable[Date],0),MATCH(Calendar[#Headers],TargetsTable[#Headers],0)))=TRUE,NA(),INDEX(TargetsTable[],MATCH(Calendar[[#This Row],[Date]],TargetsTable[Date],0),MATCH(Calendar[#Headers],TargetsTable[#Headers],0)))</f>
        <v>#N/A</v>
      </c>
      <c r="V25" s="345" t="e">
        <f>IF(ISBLANK(VLOOKUP(Calendar[[#This Row],[Date]],UploadQuery[],MATCH("Heart Rate",UploadQuery[#Headers],0),FALSE))=TRUE,NA(),VLOOKUP(Calendar[[#This Row],[Date]],UploadQuery[],MATCH("Heart Rate",UploadQuery[#Headers],0),FALSE))</f>
        <v>#N/A</v>
      </c>
      <c r="W25" s="345" t="e">
        <f>IF(ISBLANK(INDEX(TargetsTable[],MATCH(Calendar[[#This Row],[Date]],TargetsTable[Date],0),MATCH(Calendar[#Headers],TargetsTable[#Headers],0)))=TRUE,NA(),INDEX(TargetsTable[],MATCH(Calendar[[#This Row],[Date]],TargetsTable[Date],0),MATCH(Calendar[#Headers],TargetsTable[#Headers],0)))</f>
        <v>#N/A</v>
      </c>
      <c r="X25" s="346">
        <f>Calendar[[#This Row],[Period]]</f>
        <v>0</v>
      </c>
      <c r="Y25" s="349">
        <f>IFERROR(IF(Calendar[[#This Row],[Plan. Hrs]]&lt;Calendar[[#This Row],[Actual Hrs]],0,Calendar[[#This Row],[Plan. Hrs]]-Calendar[[#This Row],[Actual Hrs]]),Calendar[[#This Row],[Plan. Hrs]])</f>
        <v>0</v>
      </c>
      <c r="Z25" s="350">
        <f>IFERROR(IF(Calendar[[#This Row],[Cal. Goal]]&lt;Calendar[[#This Row],[Cal.]],0,Calendar[[#This Row],[Cal. Goal]]-Calendar[[#This Row],[Cal.]]),Calendar[[#This Row],[Cal. Goal]])</f>
        <v>0</v>
      </c>
      <c r="AA25" s="345"/>
      <c r="AB25" s="348"/>
      <c r="AC25" s="350"/>
      <c r="AD25" s="348" t="e">
        <f>BMIf(Calendar[[#This Row],[Weight]],ActualHeight)</f>
        <v>#N/A</v>
      </c>
      <c r="AE25" s="348" t="e">
        <f>VLOOKUP(Calendar[[#This Row],[Date]],UploadQuery[],MATCH("Speed",UploadQuery[#Headers],0),FALSE)</f>
        <v>#N/A</v>
      </c>
      <c r="AF25" s="350" t="e">
        <f>VLOOKUP(Calendar[[#This Row],[Date]],UploadQuery[],MATCH("Elev Gain",UploadQuery[#Headers],0),FALSE)</f>
        <v>#N/A</v>
      </c>
      <c r="AG25" s="350" t="e">
        <f>VLOOKUP(Calendar[[#This Row],[Date]],UploadQuery[],MATCH("Distance",UploadQuery[#Headers],0),FALSE)</f>
        <v>#N/A</v>
      </c>
      <c r="AH25" s="350" t="e">
        <f>VLOOKUP(Calendar[[#This Row],[Date]],UploadQuery[],MATCH("Climber Index",UploadQuery[#Headers],0),FALSE)</f>
        <v>#N/A</v>
      </c>
      <c r="AI25" s="350" t="e">
        <f>VLOOKUP(Calendar[[#This Row],[Date]],UploadQuery[],MATCH("Cal/hour",UploadQuery[#Headers],0),FALSE)</f>
        <v>#N/A</v>
      </c>
      <c r="AJ25" s="351">
        <f>IF(YEAR(Calendar[[#This Row],[Date]])=YEAR(TodayDate),IF(WEEKNUM(Calendar[[#This Row],[Date]],21)=WEEKNUM(TodayDate,21),IFERROR(MAX(Calendar[[#This Row],[Actual Hrs]],Calendar[[#This Row],[Plan. Hrs]])+(2/24),Calendar[[#This Row],[Plan. Hrs]]+(2/24)),-1),-1)</f>
        <v>-1</v>
      </c>
      <c r="AK25" s="351">
        <f>SUM(Calendar[[#This Row],[Mon]:[Sun]])</f>
        <v>0</v>
      </c>
      <c r="AL25" s="351" t="e">
        <f>VLOOKUP(Calendar[[#This Row],[Date]],UploadQuery[],MATCH("Activity Time",UploadQuery[#Headers],0),FALSE)</f>
        <v>#N/A</v>
      </c>
    </row>
    <row r="26" spans="2:38">
      <c r="B26" s="352"/>
      <c r="C26" s="353"/>
      <c r="D26" s="354"/>
      <c r="E26" s="354"/>
      <c r="F26" s="355"/>
      <c r="G26" s="356"/>
      <c r="H26" s="357"/>
      <c r="I26" s="357"/>
      <c r="J26" s="357"/>
      <c r="K26" s="357"/>
      <c r="L26" s="357"/>
      <c r="M26" s="357"/>
      <c r="N26" s="357"/>
      <c r="O26" s="356"/>
      <c r="P26" s="358"/>
      <c r="Q26" s="358"/>
      <c r="R26" s="358"/>
      <c r="S26" s="347"/>
      <c r="T26" s="348" t="e">
        <f>IF(ISBLANK(VLOOKUP(Calendar[[#This Row],[Date]],WeightTable[],2,FALSE))=TRUE,NA(),VLOOKUP(Calendar[[#This Row],[Date]],WeightTable[],IF(WeightUnit="lb",2,3),FALSE))</f>
        <v>#N/A</v>
      </c>
      <c r="U26" s="348" t="e">
        <f>IF(ISBLANK(INDEX(TargetsTable[],MATCH(Calendar[[#This Row],[Date]],TargetsTable[Date],0),MATCH(Calendar[#Headers],TargetsTable[#Headers],0)))=TRUE,NA(),INDEX(TargetsTable[],MATCH(Calendar[[#This Row],[Date]],TargetsTable[Date],0),MATCH(Calendar[#Headers],TargetsTable[#Headers],0)))</f>
        <v>#N/A</v>
      </c>
      <c r="V26" s="345" t="e">
        <f>IF(ISBLANK(VLOOKUP(Calendar[[#This Row],[Date]],UploadQuery[],MATCH("Heart Rate",UploadQuery[#Headers],0),FALSE))=TRUE,NA(),VLOOKUP(Calendar[[#This Row],[Date]],UploadQuery[],MATCH("Heart Rate",UploadQuery[#Headers],0),FALSE))</f>
        <v>#N/A</v>
      </c>
      <c r="W26" s="345" t="e">
        <f>IF(ISBLANK(INDEX(TargetsTable[],MATCH(Calendar[[#This Row],[Date]],TargetsTable[Date],0),MATCH(Calendar[#Headers],TargetsTable[#Headers],0)))=TRUE,NA(),INDEX(TargetsTable[],MATCH(Calendar[[#This Row],[Date]],TargetsTable[Date],0),MATCH(Calendar[#Headers],TargetsTable[#Headers],0)))</f>
        <v>#N/A</v>
      </c>
      <c r="X26" s="346">
        <f>Calendar[[#This Row],[Period]]</f>
        <v>0</v>
      </c>
      <c r="Y26" s="349">
        <f>IFERROR(IF(Calendar[[#This Row],[Plan. Hrs]]&lt;Calendar[[#This Row],[Actual Hrs]],0,Calendar[[#This Row],[Plan. Hrs]]-Calendar[[#This Row],[Actual Hrs]]),Calendar[[#This Row],[Plan. Hrs]])</f>
        <v>0</v>
      </c>
      <c r="Z26" s="350">
        <f>IFERROR(IF(Calendar[[#This Row],[Cal. Goal]]&lt;Calendar[[#This Row],[Cal.]],0,Calendar[[#This Row],[Cal. Goal]]-Calendar[[#This Row],[Cal.]]),Calendar[[#This Row],[Cal. Goal]])</f>
        <v>0</v>
      </c>
      <c r="AA26" s="345"/>
      <c r="AB26" s="348"/>
      <c r="AC26" s="350"/>
      <c r="AD26" s="348" t="e">
        <f>BMIf(Calendar[[#This Row],[Weight]],ActualHeight)</f>
        <v>#N/A</v>
      </c>
      <c r="AE26" s="348" t="e">
        <f>VLOOKUP(Calendar[[#This Row],[Date]],UploadQuery[],MATCH("Speed",UploadQuery[#Headers],0),FALSE)</f>
        <v>#N/A</v>
      </c>
      <c r="AF26" s="350" t="e">
        <f>VLOOKUP(Calendar[[#This Row],[Date]],UploadQuery[],MATCH("Elev Gain",UploadQuery[#Headers],0),FALSE)</f>
        <v>#N/A</v>
      </c>
      <c r="AG26" s="350" t="e">
        <f>VLOOKUP(Calendar[[#This Row],[Date]],UploadQuery[],MATCH("Distance",UploadQuery[#Headers],0),FALSE)</f>
        <v>#N/A</v>
      </c>
      <c r="AH26" s="350" t="e">
        <f>VLOOKUP(Calendar[[#This Row],[Date]],UploadQuery[],MATCH("Climber Index",UploadQuery[#Headers],0),FALSE)</f>
        <v>#N/A</v>
      </c>
      <c r="AI26" s="350" t="e">
        <f>VLOOKUP(Calendar[[#This Row],[Date]],UploadQuery[],MATCH("Cal/hour",UploadQuery[#Headers],0),FALSE)</f>
        <v>#N/A</v>
      </c>
      <c r="AJ26" s="351">
        <f>IF(YEAR(Calendar[[#This Row],[Date]])=YEAR(TodayDate),IF(WEEKNUM(Calendar[[#This Row],[Date]],21)=WEEKNUM(TodayDate,21),IFERROR(MAX(Calendar[[#This Row],[Actual Hrs]],Calendar[[#This Row],[Plan. Hrs]])+(2/24),Calendar[[#This Row],[Plan. Hrs]]+(2/24)),-1),-1)</f>
        <v>-1</v>
      </c>
      <c r="AK26" s="351">
        <f>SUM(Calendar[[#This Row],[Mon]:[Sun]])</f>
        <v>0</v>
      </c>
      <c r="AL26" s="351" t="e">
        <f>VLOOKUP(Calendar[[#This Row],[Date]],UploadQuery[],MATCH("Activity Time",UploadQuery[#Headers],0),FALSE)</f>
        <v>#N/A</v>
      </c>
    </row>
    <row r="27" spans="2:38">
      <c r="B27" s="352"/>
      <c r="C27" s="353"/>
      <c r="D27" s="354"/>
      <c r="E27" s="354"/>
      <c r="F27" s="355"/>
      <c r="G27" s="356"/>
      <c r="H27" s="357"/>
      <c r="I27" s="357"/>
      <c r="J27" s="357"/>
      <c r="K27" s="357"/>
      <c r="L27" s="357"/>
      <c r="M27" s="357"/>
      <c r="N27" s="357"/>
      <c r="O27" s="356"/>
      <c r="P27" s="358"/>
      <c r="Q27" s="358"/>
      <c r="R27" s="358"/>
      <c r="S27" s="347"/>
      <c r="T27" s="348" t="e">
        <f>IF(ISBLANK(VLOOKUP(Calendar[[#This Row],[Date]],WeightTable[],2,FALSE))=TRUE,NA(),VLOOKUP(Calendar[[#This Row],[Date]],WeightTable[],IF(WeightUnit="lb",2,3),FALSE))</f>
        <v>#N/A</v>
      </c>
      <c r="U27" s="348" t="e">
        <f>IF(ISBLANK(INDEX(TargetsTable[],MATCH(Calendar[[#This Row],[Date]],TargetsTable[Date],0),MATCH(Calendar[#Headers],TargetsTable[#Headers],0)))=TRUE,NA(),INDEX(TargetsTable[],MATCH(Calendar[[#This Row],[Date]],TargetsTable[Date],0),MATCH(Calendar[#Headers],TargetsTable[#Headers],0)))</f>
        <v>#N/A</v>
      </c>
      <c r="V27" s="345" t="e">
        <f>IF(ISBLANK(VLOOKUP(Calendar[[#This Row],[Date]],UploadQuery[],MATCH("Heart Rate",UploadQuery[#Headers],0),FALSE))=TRUE,NA(),VLOOKUP(Calendar[[#This Row],[Date]],UploadQuery[],MATCH("Heart Rate",UploadQuery[#Headers],0),FALSE))</f>
        <v>#N/A</v>
      </c>
      <c r="W27" s="345" t="e">
        <f>IF(ISBLANK(INDEX(TargetsTable[],MATCH(Calendar[[#This Row],[Date]],TargetsTable[Date],0),MATCH(Calendar[#Headers],TargetsTable[#Headers],0)))=TRUE,NA(),INDEX(TargetsTable[],MATCH(Calendar[[#This Row],[Date]],TargetsTable[Date],0),MATCH(Calendar[#Headers],TargetsTable[#Headers],0)))</f>
        <v>#N/A</v>
      </c>
      <c r="X27" s="346">
        <f>Calendar[[#This Row],[Period]]</f>
        <v>0</v>
      </c>
      <c r="Y27" s="349">
        <f>IFERROR(IF(Calendar[[#This Row],[Plan. Hrs]]&lt;Calendar[[#This Row],[Actual Hrs]],0,Calendar[[#This Row],[Plan. Hrs]]-Calendar[[#This Row],[Actual Hrs]]),Calendar[[#This Row],[Plan. Hrs]])</f>
        <v>0</v>
      </c>
      <c r="Z27" s="350">
        <f>IFERROR(IF(Calendar[[#This Row],[Cal. Goal]]&lt;Calendar[[#This Row],[Cal.]],0,Calendar[[#This Row],[Cal. Goal]]-Calendar[[#This Row],[Cal.]]),Calendar[[#This Row],[Cal. Goal]])</f>
        <v>0</v>
      </c>
      <c r="AA27" s="345"/>
      <c r="AB27" s="348"/>
      <c r="AC27" s="350"/>
      <c r="AD27" s="348" t="e">
        <f>BMIf(Calendar[[#This Row],[Weight]],ActualHeight)</f>
        <v>#N/A</v>
      </c>
      <c r="AE27" s="348" t="e">
        <f>VLOOKUP(Calendar[[#This Row],[Date]],UploadQuery[],MATCH("Speed",UploadQuery[#Headers],0),FALSE)</f>
        <v>#N/A</v>
      </c>
      <c r="AF27" s="350" t="e">
        <f>VLOOKUP(Calendar[[#This Row],[Date]],UploadQuery[],MATCH("Elev Gain",UploadQuery[#Headers],0),FALSE)</f>
        <v>#N/A</v>
      </c>
      <c r="AG27" s="350" t="e">
        <f>VLOOKUP(Calendar[[#This Row],[Date]],UploadQuery[],MATCH("Distance",UploadQuery[#Headers],0),FALSE)</f>
        <v>#N/A</v>
      </c>
      <c r="AH27" s="350" t="e">
        <f>VLOOKUP(Calendar[[#This Row],[Date]],UploadQuery[],MATCH("Climber Index",UploadQuery[#Headers],0),FALSE)</f>
        <v>#N/A</v>
      </c>
      <c r="AI27" s="350" t="e">
        <f>VLOOKUP(Calendar[[#This Row],[Date]],UploadQuery[],MATCH("Cal/hour",UploadQuery[#Headers],0),FALSE)</f>
        <v>#N/A</v>
      </c>
      <c r="AJ27" s="351">
        <f>IF(YEAR(Calendar[[#This Row],[Date]])=YEAR(TodayDate),IF(WEEKNUM(Calendar[[#This Row],[Date]],21)=WEEKNUM(TodayDate,21),IFERROR(MAX(Calendar[[#This Row],[Actual Hrs]],Calendar[[#This Row],[Plan. Hrs]])+(2/24),Calendar[[#This Row],[Plan. Hrs]]+(2/24)),-1),-1)</f>
        <v>-1</v>
      </c>
      <c r="AK27" s="351">
        <f>SUM(Calendar[[#This Row],[Mon]:[Sun]])</f>
        <v>0</v>
      </c>
      <c r="AL27" s="351" t="e">
        <f>VLOOKUP(Calendar[[#This Row],[Date]],UploadQuery[],MATCH("Activity Time",UploadQuery[#Headers],0),FALSE)</f>
        <v>#N/A</v>
      </c>
    </row>
    <row r="28" spans="2:38">
      <c r="B28" s="352"/>
      <c r="C28" s="353"/>
      <c r="D28" s="354"/>
      <c r="E28" s="354"/>
      <c r="F28" s="355"/>
      <c r="G28" s="356"/>
      <c r="H28" s="357"/>
      <c r="I28" s="357"/>
      <c r="J28" s="357"/>
      <c r="K28" s="357"/>
      <c r="L28" s="357"/>
      <c r="M28" s="357"/>
      <c r="N28" s="357"/>
      <c r="O28" s="356"/>
      <c r="P28" s="358"/>
      <c r="Q28" s="358"/>
      <c r="R28" s="358"/>
      <c r="S28" s="347"/>
      <c r="T28" s="348"/>
      <c r="U28" s="348"/>
      <c r="V28" s="345"/>
      <c r="W28" s="345"/>
      <c r="X28" s="346"/>
      <c r="Y28" s="349"/>
      <c r="Z28" s="350"/>
      <c r="AA28" s="345"/>
      <c r="AB28" s="348"/>
      <c r="AC28" s="350"/>
      <c r="AD28" s="348"/>
      <c r="AE28" s="348"/>
      <c r="AF28" s="350"/>
      <c r="AG28" s="350"/>
      <c r="AH28" s="350"/>
      <c r="AI28" s="350"/>
      <c r="AJ28" s="351"/>
      <c r="AK28" s="351"/>
      <c r="AL28" s="351"/>
    </row>
    <row r="29" spans="2:38">
      <c r="B29" s="352"/>
      <c r="C29" s="353"/>
      <c r="D29" s="354"/>
      <c r="E29" s="354"/>
      <c r="F29" s="355"/>
      <c r="G29" s="356"/>
      <c r="H29" s="357"/>
      <c r="I29" s="357"/>
      <c r="J29" s="357"/>
      <c r="K29" s="357"/>
      <c r="L29" s="357"/>
      <c r="M29" s="357"/>
      <c r="N29" s="357"/>
      <c r="O29" s="356"/>
      <c r="P29" s="358"/>
      <c r="Q29" s="358"/>
      <c r="R29" s="358"/>
      <c r="S29" s="347"/>
      <c r="T29" s="348"/>
      <c r="U29" s="348"/>
      <c r="V29" s="345"/>
      <c r="W29" s="345"/>
      <c r="X29" s="346"/>
      <c r="Y29" s="349"/>
      <c r="Z29" s="350"/>
      <c r="AA29" s="345"/>
      <c r="AB29" s="348"/>
      <c r="AC29" s="350"/>
      <c r="AD29" s="348"/>
      <c r="AE29" s="348"/>
      <c r="AF29" s="350"/>
      <c r="AG29" s="350"/>
      <c r="AH29" s="350"/>
      <c r="AI29" s="350"/>
      <c r="AJ29" s="351"/>
      <c r="AK29" s="351"/>
      <c r="AL29" s="351"/>
    </row>
    <row r="30" spans="2:38">
      <c r="B30" s="352"/>
      <c r="C30" s="353"/>
      <c r="D30" s="354"/>
      <c r="E30" s="354"/>
      <c r="F30" s="355"/>
      <c r="G30" s="356"/>
      <c r="H30" s="357"/>
      <c r="I30" s="357"/>
      <c r="J30" s="357"/>
      <c r="K30" s="357"/>
      <c r="L30" s="357"/>
      <c r="M30" s="357"/>
      <c r="N30" s="357"/>
      <c r="O30" s="356"/>
      <c r="P30" s="358"/>
      <c r="Q30" s="358"/>
      <c r="R30" s="358"/>
      <c r="S30" s="347"/>
      <c r="T30" s="348"/>
      <c r="U30" s="348"/>
      <c r="V30" s="345"/>
      <c r="W30" s="345"/>
      <c r="X30" s="346"/>
      <c r="Y30" s="349"/>
      <c r="Z30" s="350"/>
      <c r="AA30" s="345"/>
      <c r="AB30" s="348"/>
      <c r="AC30" s="350"/>
      <c r="AD30" s="348"/>
      <c r="AE30" s="348"/>
      <c r="AF30" s="350"/>
      <c r="AG30" s="350"/>
      <c r="AH30" s="350"/>
      <c r="AI30" s="350"/>
      <c r="AJ30" s="351"/>
      <c r="AK30" s="351"/>
      <c r="AL30" s="351"/>
    </row>
    <row r="31" spans="2:38">
      <c r="B31" s="352"/>
      <c r="C31" s="353"/>
      <c r="D31" s="354"/>
      <c r="E31" s="354"/>
      <c r="F31" s="355"/>
      <c r="G31" s="356"/>
      <c r="H31" s="357"/>
      <c r="I31" s="357"/>
      <c r="J31" s="357"/>
      <c r="K31" s="357"/>
      <c r="L31" s="357"/>
      <c r="M31" s="357"/>
      <c r="N31" s="357"/>
      <c r="O31" s="356"/>
      <c r="P31" s="358"/>
      <c r="Q31" s="358"/>
      <c r="R31" s="358"/>
      <c r="S31" s="347"/>
      <c r="T31" s="348"/>
      <c r="U31" s="348"/>
      <c r="V31" s="345"/>
      <c r="W31" s="345"/>
      <c r="X31" s="346"/>
      <c r="Y31" s="349"/>
      <c r="Z31" s="350"/>
      <c r="AA31" s="345"/>
      <c r="AB31" s="348"/>
      <c r="AC31" s="350"/>
      <c r="AD31" s="348"/>
      <c r="AE31" s="348"/>
      <c r="AF31" s="350"/>
      <c r="AG31" s="350"/>
      <c r="AH31" s="350"/>
      <c r="AI31" s="350"/>
      <c r="AJ31" s="351"/>
      <c r="AK31" s="351"/>
      <c r="AL31" s="351"/>
    </row>
    <row r="32" spans="2:38">
      <c r="B32" s="352"/>
      <c r="C32" s="353"/>
      <c r="D32" s="354"/>
      <c r="E32" s="354"/>
      <c r="F32" s="355"/>
      <c r="G32" s="356"/>
      <c r="H32" s="357"/>
      <c r="I32" s="357"/>
      <c r="J32" s="357"/>
      <c r="K32" s="357"/>
      <c r="L32" s="357"/>
      <c r="M32" s="357"/>
      <c r="N32" s="357"/>
      <c r="O32" s="356"/>
      <c r="P32" s="358"/>
      <c r="Q32" s="358"/>
      <c r="R32" s="358"/>
      <c r="S32" s="347"/>
      <c r="T32" s="348"/>
      <c r="U32" s="348"/>
      <c r="V32" s="345"/>
      <c r="W32" s="345"/>
      <c r="X32" s="346"/>
      <c r="Y32" s="349"/>
      <c r="Z32" s="350"/>
      <c r="AA32" s="345"/>
      <c r="AB32" s="348"/>
      <c r="AC32" s="350"/>
      <c r="AD32" s="348"/>
      <c r="AE32" s="348"/>
      <c r="AF32" s="350"/>
      <c r="AG32" s="350"/>
      <c r="AH32" s="350"/>
      <c r="AI32" s="350"/>
      <c r="AJ32" s="351"/>
      <c r="AK32" s="351"/>
      <c r="AL32" s="351"/>
    </row>
    <row r="33" spans="2:38">
      <c r="B33" s="352"/>
      <c r="C33" s="353"/>
      <c r="D33" s="354"/>
      <c r="E33" s="354"/>
      <c r="F33" s="355"/>
      <c r="G33" s="356"/>
      <c r="H33" s="357"/>
      <c r="I33" s="357"/>
      <c r="J33" s="357"/>
      <c r="K33" s="357"/>
      <c r="L33" s="357"/>
      <c r="M33" s="357"/>
      <c r="N33" s="357"/>
      <c r="O33" s="356"/>
      <c r="P33" s="358"/>
      <c r="Q33" s="358"/>
      <c r="R33" s="358"/>
      <c r="S33" s="347"/>
      <c r="T33" s="348"/>
      <c r="U33" s="348"/>
      <c r="V33" s="345"/>
      <c r="W33" s="345"/>
      <c r="X33" s="346"/>
      <c r="Y33" s="349"/>
      <c r="Z33" s="350"/>
      <c r="AA33" s="345"/>
      <c r="AB33" s="348"/>
      <c r="AC33" s="350"/>
      <c r="AD33" s="348"/>
      <c r="AE33" s="348"/>
      <c r="AF33" s="350"/>
      <c r="AG33" s="350"/>
      <c r="AH33" s="350"/>
      <c r="AI33" s="350"/>
      <c r="AJ33" s="351"/>
      <c r="AK33" s="351"/>
      <c r="AL33" s="351"/>
    </row>
    <row r="34" spans="2:38">
      <c r="B34" s="352"/>
      <c r="C34" s="353"/>
      <c r="D34" s="354"/>
      <c r="E34" s="354"/>
      <c r="F34" s="355"/>
      <c r="G34" s="356"/>
      <c r="H34" s="357"/>
      <c r="I34" s="357"/>
      <c r="J34" s="357"/>
      <c r="K34" s="357"/>
      <c r="L34" s="357"/>
      <c r="M34" s="357"/>
      <c r="N34" s="357"/>
      <c r="O34" s="356"/>
      <c r="P34" s="358"/>
      <c r="Q34" s="358"/>
      <c r="R34" s="358"/>
      <c r="S34" s="347"/>
      <c r="T34" s="348"/>
      <c r="U34" s="348"/>
      <c r="V34" s="345"/>
      <c r="W34" s="345"/>
      <c r="X34" s="346"/>
      <c r="Y34" s="349"/>
      <c r="Z34" s="350"/>
      <c r="AA34" s="345"/>
      <c r="AB34" s="348"/>
      <c r="AC34" s="350"/>
      <c r="AD34" s="348"/>
      <c r="AE34" s="348"/>
      <c r="AF34" s="350"/>
      <c r="AG34" s="350"/>
      <c r="AH34" s="350"/>
      <c r="AI34" s="350"/>
      <c r="AJ34" s="351"/>
      <c r="AK34" s="351"/>
      <c r="AL34" s="351"/>
    </row>
    <row r="35" spans="2:38">
      <c r="B35" s="352"/>
      <c r="C35" s="353"/>
      <c r="D35" s="354"/>
      <c r="E35" s="354"/>
      <c r="F35" s="355"/>
      <c r="G35" s="356"/>
      <c r="H35" s="357"/>
      <c r="I35" s="357"/>
      <c r="J35" s="357"/>
      <c r="K35" s="357"/>
      <c r="L35" s="357"/>
      <c r="M35" s="357"/>
      <c r="N35" s="357"/>
      <c r="O35" s="356"/>
      <c r="P35" s="358"/>
      <c r="Q35" s="358"/>
      <c r="R35" s="358"/>
      <c r="S35" s="347"/>
      <c r="T35" s="348"/>
      <c r="U35" s="348"/>
      <c r="V35" s="345"/>
      <c r="W35" s="345"/>
      <c r="X35" s="346"/>
      <c r="Y35" s="349"/>
      <c r="Z35" s="350"/>
      <c r="AA35" s="345"/>
      <c r="AB35" s="348"/>
      <c r="AC35" s="350"/>
      <c r="AD35" s="348"/>
      <c r="AE35" s="348"/>
      <c r="AF35" s="350"/>
      <c r="AG35" s="350"/>
      <c r="AH35" s="350"/>
      <c r="AI35" s="350"/>
      <c r="AJ35" s="351"/>
      <c r="AK35" s="351"/>
      <c r="AL35" s="351"/>
    </row>
    <row r="36" spans="2:38">
      <c r="B36" s="352"/>
      <c r="C36" s="353"/>
      <c r="D36" s="354"/>
      <c r="E36" s="354"/>
      <c r="F36" s="355"/>
      <c r="G36" s="356"/>
      <c r="H36" s="357"/>
      <c r="I36" s="357"/>
      <c r="J36" s="357"/>
      <c r="K36" s="357"/>
      <c r="L36" s="357"/>
      <c r="M36" s="357"/>
      <c r="N36" s="357"/>
      <c r="O36" s="356"/>
      <c r="P36" s="358"/>
      <c r="Q36" s="358"/>
      <c r="R36" s="358"/>
      <c r="S36" s="347"/>
      <c r="T36" s="348"/>
      <c r="U36" s="348"/>
      <c r="V36" s="345"/>
      <c r="W36" s="345"/>
      <c r="X36" s="346"/>
      <c r="Y36" s="349"/>
      <c r="Z36" s="350"/>
      <c r="AA36" s="345"/>
      <c r="AB36" s="348"/>
      <c r="AC36" s="350"/>
      <c r="AD36" s="348"/>
      <c r="AE36" s="348"/>
      <c r="AF36" s="350"/>
      <c r="AG36" s="350"/>
      <c r="AH36" s="350"/>
      <c r="AI36" s="350"/>
      <c r="AJ36" s="351"/>
      <c r="AK36" s="351"/>
      <c r="AL36" s="351"/>
    </row>
    <row r="37" spans="2:38">
      <c r="B37" s="352"/>
      <c r="C37" s="353"/>
      <c r="D37" s="354"/>
      <c r="E37" s="354"/>
      <c r="F37" s="355"/>
      <c r="G37" s="356"/>
      <c r="H37" s="357"/>
      <c r="I37" s="357"/>
      <c r="J37" s="357"/>
      <c r="K37" s="357"/>
      <c r="L37" s="357"/>
      <c r="M37" s="357"/>
      <c r="N37" s="357"/>
      <c r="O37" s="356"/>
      <c r="P37" s="358"/>
      <c r="Q37" s="358"/>
      <c r="R37" s="358"/>
      <c r="S37" s="347"/>
      <c r="T37" s="348"/>
      <c r="U37" s="348"/>
      <c r="V37" s="345"/>
      <c r="W37" s="345"/>
      <c r="X37" s="346"/>
      <c r="Y37" s="349"/>
      <c r="Z37" s="350"/>
      <c r="AA37" s="345"/>
      <c r="AB37" s="348"/>
      <c r="AC37" s="350"/>
      <c r="AD37" s="348"/>
      <c r="AE37" s="348"/>
      <c r="AF37" s="350"/>
      <c r="AG37" s="350"/>
      <c r="AH37" s="350"/>
      <c r="AI37" s="350"/>
      <c r="AJ37" s="351"/>
      <c r="AK37" s="351"/>
      <c r="AL37" s="351"/>
    </row>
    <row r="38" spans="2:38">
      <c r="B38" s="352"/>
      <c r="C38" s="353"/>
      <c r="D38" s="354"/>
      <c r="E38" s="354"/>
      <c r="F38" s="355"/>
      <c r="G38" s="356"/>
      <c r="H38" s="357"/>
      <c r="I38" s="357"/>
      <c r="J38" s="357"/>
      <c r="K38" s="357"/>
      <c r="L38" s="357"/>
      <c r="M38" s="357"/>
      <c r="N38" s="357"/>
      <c r="O38" s="356"/>
      <c r="P38" s="358"/>
      <c r="Q38" s="358"/>
      <c r="R38" s="358"/>
      <c r="S38" s="347"/>
      <c r="T38" s="348"/>
      <c r="U38" s="348"/>
      <c r="V38" s="345"/>
      <c r="W38" s="345"/>
      <c r="X38" s="346"/>
      <c r="Y38" s="349"/>
      <c r="Z38" s="350"/>
      <c r="AA38" s="345"/>
      <c r="AB38" s="348"/>
      <c r="AC38" s="350"/>
      <c r="AD38" s="348"/>
      <c r="AE38" s="348"/>
      <c r="AF38" s="350"/>
      <c r="AG38" s="350"/>
      <c r="AH38" s="350"/>
      <c r="AI38" s="350"/>
      <c r="AJ38" s="351"/>
      <c r="AK38" s="351"/>
      <c r="AL38" s="351"/>
    </row>
    <row r="39" spans="2:38">
      <c r="B39" s="352"/>
      <c r="C39" s="353"/>
      <c r="D39" s="354"/>
      <c r="E39" s="354"/>
      <c r="F39" s="355"/>
      <c r="G39" s="356"/>
      <c r="H39" s="357"/>
      <c r="I39" s="357"/>
      <c r="J39" s="357"/>
      <c r="K39" s="357"/>
      <c r="L39" s="357"/>
      <c r="M39" s="357"/>
      <c r="N39" s="357"/>
      <c r="O39" s="356"/>
      <c r="P39" s="358"/>
      <c r="Q39" s="358"/>
      <c r="R39" s="358"/>
      <c r="S39" s="347"/>
      <c r="T39" s="348"/>
      <c r="U39" s="348"/>
      <c r="V39" s="345"/>
      <c r="W39" s="345"/>
      <c r="X39" s="346"/>
      <c r="Y39" s="349"/>
      <c r="Z39" s="350"/>
      <c r="AA39" s="345"/>
      <c r="AB39" s="348"/>
      <c r="AC39" s="350"/>
      <c r="AD39" s="348"/>
      <c r="AE39" s="348"/>
      <c r="AF39" s="350"/>
      <c r="AG39" s="350"/>
      <c r="AH39" s="350"/>
      <c r="AI39" s="350"/>
      <c r="AJ39" s="351"/>
      <c r="AK39" s="351"/>
      <c r="AL39" s="351"/>
    </row>
    <row r="40" spans="2:38">
      <c r="B40" s="352"/>
      <c r="C40" s="353"/>
      <c r="D40" s="354"/>
      <c r="E40" s="354"/>
      <c r="F40" s="355"/>
      <c r="G40" s="356"/>
      <c r="H40" s="357"/>
      <c r="I40" s="357"/>
      <c r="J40" s="357"/>
      <c r="K40" s="357"/>
      <c r="L40" s="357"/>
      <c r="M40" s="357"/>
      <c r="N40" s="357"/>
      <c r="O40" s="356"/>
      <c r="P40" s="358"/>
      <c r="Q40" s="358"/>
      <c r="R40" s="358"/>
      <c r="S40" s="347"/>
      <c r="T40" s="348"/>
      <c r="U40" s="348"/>
      <c r="V40" s="345"/>
      <c r="W40" s="345"/>
      <c r="X40" s="346"/>
      <c r="Y40" s="349"/>
      <c r="Z40" s="350"/>
      <c r="AA40" s="345"/>
      <c r="AB40" s="348"/>
      <c r="AC40" s="350"/>
      <c r="AD40" s="348"/>
      <c r="AE40" s="348"/>
      <c r="AF40" s="350"/>
      <c r="AG40" s="350"/>
      <c r="AH40" s="350"/>
      <c r="AI40" s="350"/>
      <c r="AJ40" s="351"/>
      <c r="AK40" s="351"/>
      <c r="AL40" s="351"/>
    </row>
  </sheetData>
  <sheetProtection formatCells="0" formatColumns="0" formatRows="0" insertColumns="0" insertRows="0" insertHyperlinks="0" deleteColumns="0" deleteRows="0" sort="0" autoFilter="0" pivotTables="0"/>
  <dataConsolidate link="1"/>
  <conditionalFormatting sqref="D16:D27">
    <cfRule type="cellIs" dxfId="78" priority="1" stopIfTrue="1" operator="equal">
      <formula>"Race"</formula>
    </cfRule>
    <cfRule type="cellIs" dxfId="77" priority="2" stopIfTrue="1" operator="equal">
      <formula>"Peak"</formula>
    </cfRule>
    <cfRule type="cellIs" dxfId="76" priority="3" stopIfTrue="1" operator="equal">
      <formula>"Build II"</formula>
    </cfRule>
    <cfRule type="cellIs" dxfId="75" priority="4" stopIfTrue="1" operator="equal">
      <formula>"Build I"</formula>
    </cfRule>
    <cfRule type="cellIs" dxfId="74" priority="5" stopIfTrue="1" operator="equal">
      <formula>"Base III"</formula>
    </cfRule>
    <cfRule type="cellIs" dxfId="73" priority="6" stopIfTrue="1" operator="equal">
      <formula>"Base II"</formula>
    </cfRule>
    <cfRule type="cellIs" dxfId="72" priority="7" stopIfTrue="1" operator="equal">
      <formula>"Base I"</formula>
    </cfRule>
    <cfRule type="cellIs" dxfId="71" priority="8" stopIfTrue="1" operator="equal">
      <formula>"Prep."</formula>
    </cfRule>
  </conditionalFormatting>
  <pageMargins left="0.7" right="0.7" top="0.75" bottom="0.75" header="0.3" footer="0.3"/>
  <pageSetup orientation="portrait" horizontalDpi="4294967293" verticalDpi="4294967293"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112F4-99FB-4DFC-8D64-72DDB74DC5B9}">
  <sheetPr codeName="Sheet5"/>
  <dimension ref="A1:AG138"/>
  <sheetViews>
    <sheetView showGridLines="0" showRowColHeaders="0" zoomScaleNormal="100" workbookViewId="0">
      <pane ySplit="1" topLeftCell="A2" activePane="bottomLeft" state="frozen"/>
      <selection pane="bottomLeft" activeCell="B3" sqref="B3"/>
    </sheetView>
  </sheetViews>
  <sheetFormatPr defaultColWidth="0" defaultRowHeight="15.75"/>
  <cols>
    <col min="1" max="1" width="1.7109375" style="111" customWidth="1"/>
    <col min="2" max="2" width="4.7109375" style="91" customWidth="1"/>
    <col min="3" max="3" width="12.7109375" style="173" customWidth="1"/>
    <col min="4" max="8" width="8.7109375" style="111" customWidth="1"/>
    <col min="9" max="9" width="1.7109375" style="111" customWidth="1"/>
    <col min="10" max="15" width="9.140625" style="111" customWidth="1"/>
    <col min="16" max="16" width="1.7109375" style="111" customWidth="1"/>
    <col min="17" max="33" width="9.140625" style="111" customWidth="1"/>
    <col min="34" max="16384" width="9.140625" style="111" hidden="1"/>
  </cols>
  <sheetData>
    <row r="1" spans="1:33" s="38" customFormat="1" ht="21" customHeight="1">
      <c r="A1" s="164"/>
      <c r="B1" s="165" t="s">
        <v>557</v>
      </c>
      <c r="C1" s="165"/>
      <c r="D1" s="165"/>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row>
    <row r="2" spans="1:33" ht="5.0999999999999996" customHeight="1">
      <c r="B2" s="162"/>
      <c r="C2" s="162"/>
      <c r="D2" s="162"/>
      <c r="E2" s="162"/>
      <c r="F2" s="162"/>
      <c r="G2" s="162"/>
      <c r="H2" s="162"/>
    </row>
    <row r="3" spans="1:33" ht="35.1" customHeight="1">
      <c r="B3" s="166" t="s">
        <v>27</v>
      </c>
      <c r="C3" s="166" t="s">
        <v>18</v>
      </c>
      <c r="D3" s="166" t="s">
        <v>0</v>
      </c>
      <c r="E3" s="166" t="s">
        <v>26</v>
      </c>
      <c r="F3" s="166" t="s">
        <v>19</v>
      </c>
      <c r="G3" s="166" t="s">
        <v>45</v>
      </c>
      <c r="H3" s="166" t="s">
        <v>334</v>
      </c>
      <c r="I3" s="81"/>
    </row>
    <row r="4" spans="1:33">
      <c r="B4" s="167">
        <v>1</v>
      </c>
      <c r="C4" s="168">
        <v>44277</v>
      </c>
      <c r="D4" s="169" t="s">
        <v>23</v>
      </c>
      <c r="E4" s="267"/>
      <c r="F4" s="268"/>
      <c r="G4" s="269"/>
      <c r="H4" s="267"/>
      <c r="I4" s="99"/>
    </row>
    <row r="5" spans="1:33">
      <c r="B5" s="167">
        <v>2</v>
      </c>
      <c r="C5" s="168">
        <v>44284</v>
      </c>
      <c r="D5" s="169" t="s">
        <v>12</v>
      </c>
      <c r="E5" s="267"/>
      <c r="F5" s="268"/>
      <c r="G5" s="269"/>
      <c r="H5" s="267"/>
      <c r="I5" s="81"/>
    </row>
    <row r="6" spans="1:33">
      <c r="B6" s="167">
        <v>3</v>
      </c>
      <c r="C6" s="168">
        <v>44291</v>
      </c>
      <c r="D6" s="169" t="s">
        <v>12</v>
      </c>
      <c r="E6" s="267"/>
      <c r="F6" s="268"/>
      <c r="G6" s="269"/>
      <c r="H6" s="267"/>
      <c r="I6" s="81"/>
    </row>
    <row r="7" spans="1:33">
      <c r="B7" s="167">
        <v>4</v>
      </c>
      <c r="C7" s="168">
        <v>44298</v>
      </c>
      <c r="D7" s="169" t="s">
        <v>12</v>
      </c>
      <c r="E7" s="267"/>
      <c r="F7" s="268"/>
      <c r="G7" s="269"/>
      <c r="H7" s="267"/>
      <c r="I7" s="81"/>
    </row>
    <row r="8" spans="1:33">
      <c r="B8" s="167">
        <v>5</v>
      </c>
      <c r="C8" s="168">
        <v>44305</v>
      </c>
      <c r="D8" s="169" t="s">
        <v>12</v>
      </c>
      <c r="E8" s="267"/>
      <c r="F8" s="268"/>
      <c r="G8" s="269"/>
      <c r="H8" s="267"/>
      <c r="I8" s="81"/>
    </row>
    <row r="9" spans="1:33">
      <c r="B9" s="167">
        <v>6</v>
      </c>
      <c r="C9" s="168">
        <v>44312</v>
      </c>
      <c r="D9" s="169" t="s">
        <v>11</v>
      </c>
      <c r="E9" s="267"/>
      <c r="F9" s="268"/>
      <c r="G9" s="269"/>
      <c r="H9" s="267"/>
      <c r="I9" s="81"/>
    </row>
    <row r="10" spans="1:33">
      <c r="B10" s="167">
        <v>7</v>
      </c>
      <c r="C10" s="168">
        <v>44319</v>
      </c>
      <c r="D10" s="169" t="s">
        <v>11</v>
      </c>
      <c r="E10" s="267"/>
      <c r="F10" s="268"/>
      <c r="G10" s="269"/>
      <c r="H10" s="267"/>
      <c r="I10" s="81"/>
    </row>
    <row r="11" spans="1:33">
      <c r="B11" s="167">
        <v>8</v>
      </c>
      <c r="C11" s="168">
        <v>44326</v>
      </c>
      <c r="D11" s="169" t="s">
        <v>11</v>
      </c>
      <c r="E11" s="267"/>
      <c r="F11" s="268"/>
      <c r="G11" s="269"/>
      <c r="H11" s="267"/>
      <c r="I11" s="81"/>
    </row>
    <row r="12" spans="1:33">
      <c r="B12" s="167">
        <v>9</v>
      </c>
      <c r="C12" s="168">
        <v>44333</v>
      </c>
      <c r="D12" s="169" t="s">
        <v>11</v>
      </c>
      <c r="E12" s="267"/>
      <c r="F12" s="268"/>
      <c r="G12" s="269"/>
      <c r="H12" s="267"/>
      <c r="I12" s="81"/>
    </row>
    <row r="13" spans="1:33">
      <c r="B13" s="167">
        <v>10</v>
      </c>
      <c r="C13" s="168">
        <v>44340</v>
      </c>
      <c r="D13" s="169" t="s">
        <v>1</v>
      </c>
      <c r="E13" s="267"/>
      <c r="F13" s="268"/>
      <c r="G13" s="269"/>
      <c r="H13" s="267"/>
      <c r="I13" s="81"/>
    </row>
    <row r="14" spans="1:33">
      <c r="B14" s="167">
        <v>11</v>
      </c>
      <c r="C14" s="168">
        <v>44347</v>
      </c>
      <c r="D14" s="169" t="s">
        <v>1</v>
      </c>
      <c r="E14" s="267"/>
      <c r="F14" s="268"/>
      <c r="G14" s="269"/>
      <c r="H14" s="267"/>
      <c r="I14" s="81"/>
    </row>
    <row r="15" spans="1:33">
      <c r="B15" s="167">
        <v>12</v>
      </c>
      <c r="C15" s="168">
        <v>44354</v>
      </c>
      <c r="D15" s="169" t="s">
        <v>2</v>
      </c>
      <c r="E15" s="267"/>
      <c r="F15" s="268"/>
      <c r="G15" s="269"/>
      <c r="H15" s="267"/>
      <c r="I15" s="81"/>
    </row>
    <row r="16" spans="1:33">
      <c r="B16" s="167"/>
      <c r="C16" s="168"/>
      <c r="D16" s="169"/>
      <c r="E16" s="267"/>
      <c r="F16" s="268"/>
      <c r="G16" s="269"/>
      <c r="H16" s="267"/>
      <c r="I16" s="81"/>
    </row>
    <row r="17" spans="2:9">
      <c r="B17" s="167"/>
      <c r="C17" s="168"/>
      <c r="D17" s="169"/>
      <c r="E17" s="267"/>
      <c r="F17" s="268"/>
      <c r="G17" s="269"/>
      <c r="H17" s="267"/>
      <c r="I17" s="81"/>
    </row>
    <row r="18" spans="2:9">
      <c r="B18" s="167"/>
      <c r="C18" s="168"/>
      <c r="D18" s="169"/>
      <c r="E18" s="267"/>
      <c r="F18" s="268"/>
      <c r="G18" s="269"/>
      <c r="H18" s="267"/>
      <c r="I18" s="81"/>
    </row>
    <row r="19" spans="2:9">
      <c r="B19" s="167"/>
      <c r="C19" s="168"/>
      <c r="D19" s="169"/>
      <c r="E19" s="267"/>
      <c r="F19" s="268"/>
      <c r="G19" s="269"/>
      <c r="H19" s="267"/>
      <c r="I19" s="81"/>
    </row>
    <row r="20" spans="2:9">
      <c r="B20" s="167"/>
      <c r="C20" s="168"/>
      <c r="D20" s="169"/>
      <c r="E20" s="267"/>
      <c r="F20" s="268"/>
      <c r="G20" s="269"/>
      <c r="H20" s="267"/>
      <c r="I20" s="81"/>
    </row>
    <row r="21" spans="2:9">
      <c r="B21" s="167"/>
      <c r="C21" s="168"/>
      <c r="D21" s="169"/>
      <c r="E21" s="267"/>
      <c r="F21" s="268"/>
      <c r="G21" s="269"/>
      <c r="H21" s="267"/>
      <c r="I21" s="81"/>
    </row>
    <row r="22" spans="2:9">
      <c r="B22" s="167"/>
      <c r="C22" s="168"/>
      <c r="D22" s="169"/>
      <c r="E22" s="267"/>
      <c r="F22" s="268"/>
      <c r="G22" s="269"/>
      <c r="H22" s="267"/>
      <c r="I22" s="81"/>
    </row>
    <row r="23" spans="2:9">
      <c r="B23" s="167"/>
      <c r="C23" s="168"/>
      <c r="D23" s="169"/>
      <c r="E23" s="267"/>
      <c r="F23" s="268"/>
      <c r="G23" s="269"/>
      <c r="H23" s="267"/>
      <c r="I23" s="81"/>
    </row>
    <row r="24" spans="2:9">
      <c r="B24" s="167"/>
      <c r="C24" s="168"/>
      <c r="D24" s="169"/>
      <c r="E24" s="267"/>
      <c r="F24" s="268"/>
      <c r="G24" s="269"/>
      <c r="H24" s="267"/>
      <c r="I24" s="81"/>
    </row>
    <row r="25" spans="2:9">
      <c r="B25" s="167"/>
      <c r="C25" s="168"/>
      <c r="D25" s="169"/>
      <c r="E25" s="267"/>
      <c r="F25" s="268"/>
      <c r="G25" s="269"/>
      <c r="H25" s="267"/>
      <c r="I25" s="81"/>
    </row>
    <row r="26" spans="2:9">
      <c r="B26" s="167"/>
      <c r="C26" s="168"/>
      <c r="D26" s="169"/>
      <c r="E26" s="267"/>
      <c r="F26" s="268"/>
      <c r="G26" s="269"/>
      <c r="H26" s="267"/>
      <c r="I26" s="81"/>
    </row>
    <row r="27" spans="2:9">
      <c r="B27" s="167"/>
      <c r="C27" s="168"/>
      <c r="D27" s="169"/>
      <c r="E27" s="267"/>
      <c r="F27" s="268"/>
      <c r="G27" s="269"/>
      <c r="H27" s="267"/>
      <c r="I27" s="81"/>
    </row>
    <row r="28" spans="2:9">
      <c r="B28" s="167"/>
      <c r="C28" s="168"/>
      <c r="D28" s="169"/>
      <c r="E28" s="267"/>
      <c r="F28" s="268"/>
      <c r="G28" s="269"/>
      <c r="H28" s="267"/>
      <c r="I28" s="81"/>
    </row>
    <row r="29" spans="2:9">
      <c r="B29" s="167"/>
      <c r="C29" s="168"/>
      <c r="D29" s="169"/>
      <c r="E29" s="267"/>
      <c r="F29" s="268"/>
      <c r="G29" s="269"/>
      <c r="H29" s="267"/>
      <c r="I29" s="81"/>
    </row>
    <row r="30" spans="2:9">
      <c r="B30" s="167"/>
      <c r="C30" s="168"/>
      <c r="D30" s="169"/>
      <c r="E30" s="99"/>
      <c r="F30" s="99"/>
      <c r="G30" s="99"/>
      <c r="H30" s="99"/>
      <c r="I30" s="81"/>
    </row>
    <row r="31" spans="2:9">
      <c r="B31" s="167"/>
      <c r="C31" s="168"/>
      <c r="D31" s="169"/>
      <c r="E31" s="99"/>
      <c r="F31" s="99"/>
      <c r="G31" s="99"/>
      <c r="H31" s="99"/>
      <c r="I31" s="81"/>
    </row>
    <row r="32" spans="2:9">
      <c r="B32" s="167"/>
      <c r="C32" s="168"/>
      <c r="D32" s="169"/>
      <c r="E32" s="99"/>
      <c r="F32" s="100"/>
      <c r="G32" s="101"/>
      <c r="H32" s="99"/>
      <c r="I32" s="81"/>
    </row>
    <row r="33" spans="2:9">
      <c r="B33" s="167"/>
      <c r="C33" s="168"/>
      <c r="D33" s="169"/>
      <c r="E33" s="99"/>
      <c r="F33" s="100"/>
      <c r="G33" s="101"/>
      <c r="H33" s="99"/>
      <c r="I33" s="81"/>
    </row>
    <row r="34" spans="2:9">
      <c r="B34" s="167"/>
      <c r="C34" s="168"/>
      <c r="D34" s="169"/>
      <c r="E34" s="99"/>
      <c r="F34" s="100"/>
      <c r="G34" s="101"/>
      <c r="H34" s="99"/>
      <c r="I34" s="81"/>
    </row>
    <row r="35" spans="2:9">
      <c r="B35" s="167"/>
      <c r="C35" s="168"/>
      <c r="D35" s="169"/>
      <c r="E35" s="99"/>
      <c r="F35" s="100"/>
      <c r="G35" s="101"/>
      <c r="H35" s="99"/>
      <c r="I35" s="81"/>
    </row>
    <row r="36" spans="2:9">
      <c r="B36" s="81"/>
      <c r="C36" s="81"/>
      <c r="D36" s="81"/>
      <c r="E36" s="170"/>
      <c r="F36" s="171"/>
      <c r="G36" s="170"/>
      <c r="H36" s="172"/>
    </row>
    <row r="37" spans="2:9">
      <c r="B37" s="81"/>
      <c r="C37" s="81"/>
      <c r="D37" s="81"/>
      <c r="E37" s="170"/>
      <c r="F37" s="171"/>
      <c r="G37" s="170"/>
      <c r="H37" s="172"/>
    </row>
    <row r="38" spans="2:9">
      <c r="B38" s="81"/>
      <c r="C38" s="81"/>
      <c r="D38" s="81"/>
      <c r="E38" s="170"/>
      <c r="F38" s="171"/>
      <c r="G38" s="170"/>
      <c r="H38" s="172"/>
    </row>
    <row r="39" spans="2:9">
      <c r="B39" s="81"/>
      <c r="C39" s="81"/>
      <c r="D39" s="81"/>
      <c r="E39" s="170"/>
      <c r="F39" s="171"/>
      <c r="G39" s="170"/>
      <c r="H39" s="172"/>
    </row>
    <row r="40" spans="2:9">
      <c r="B40" s="81"/>
      <c r="C40" s="81"/>
      <c r="D40" s="81"/>
      <c r="E40" s="170"/>
      <c r="F40" s="171"/>
      <c r="G40" s="170"/>
      <c r="H40" s="172"/>
    </row>
    <row r="41" spans="2:9">
      <c r="B41" s="81"/>
      <c r="C41" s="81"/>
      <c r="D41" s="81"/>
      <c r="E41" s="170"/>
      <c r="F41" s="171"/>
      <c r="G41" s="170"/>
      <c r="H41" s="172"/>
    </row>
    <row r="42" spans="2:9">
      <c r="B42" s="81"/>
      <c r="C42" s="81"/>
      <c r="D42" s="81"/>
      <c r="E42" s="170"/>
      <c r="F42" s="171"/>
      <c r="G42" s="170"/>
      <c r="H42" s="172"/>
    </row>
    <row r="43" spans="2:9">
      <c r="B43" s="81"/>
      <c r="C43" s="81"/>
      <c r="D43" s="81"/>
      <c r="E43" s="170"/>
      <c r="F43" s="171"/>
      <c r="G43" s="170"/>
      <c r="H43" s="172"/>
    </row>
    <row r="44" spans="2:9">
      <c r="B44" s="81"/>
      <c r="C44" s="81"/>
      <c r="D44" s="81"/>
      <c r="E44" s="170"/>
      <c r="F44" s="171"/>
      <c r="G44" s="170"/>
      <c r="H44" s="172"/>
    </row>
    <row r="45" spans="2:9">
      <c r="B45" s="81"/>
      <c r="C45" s="81"/>
      <c r="D45" s="81"/>
      <c r="E45" s="170"/>
      <c r="F45" s="171"/>
      <c r="G45" s="170"/>
      <c r="H45" s="172"/>
    </row>
    <row r="46" spans="2:9">
      <c r="B46" s="81"/>
      <c r="C46" s="81"/>
      <c r="D46" s="81"/>
      <c r="E46" s="170"/>
      <c r="F46" s="171"/>
      <c r="G46" s="170"/>
      <c r="H46" s="172"/>
    </row>
    <row r="47" spans="2:9">
      <c r="B47" s="81"/>
      <c r="C47" s="81"/>
      <c r="D47" s="81"/>
      <c r="E47" s="170"/>
      <c r="F47" s="171"/>
      <c r="G47" s="170"/>
      <c r="H47" s="172"/>
    </row>
    <row r="48" spans="2:9">
      <c r="B48" s="81"/>
      <c r="C48" s="81"/>
      <c r="D48" s="81"/>
      <c r="E48" s="170"/>
      <c r="F48" s="171"/>
      <c r="G48" s="170"/>
      <c r="H48" s="172"/>
    </row>
    <row r="49" spans="2:8">
      <c r="B49" s="81"/>
      <c r="C49" s="81"/>
      <c r="D49" s="81"/>
      <c r="E49" s="170"/>
      <c r="F49" s="171"/>
      <c r="G49" s="170"/>
      <c r="H49" s="172"/>
    </row>
    <row r="50" spans="2:8">
      <c r="B50" s="81"/>
      <c r="C50" s="81"/>
      <c r="D50" s="81"/>
      <c r="E50" s="170"/>
      <c r="F50" s="171"/>
      <c r="G50" s="170"/>
      <c r="H50" s="172"/>
    </row>
    <row r="51" spans="2:8">
      <c r="B51" s="81"/>
      <c r="C51" s="81"/>
      <c r="D51" s="81"/>
      <c r="E51" s="170"/>
      <c r="F51" s="171"/>
      <c r="G51" s="170"/>
      <c r="H51" s="172"/>
    </row>
    <row r="52" spans="2:8">
      <c r="B52" s="81"/>
      <c r="C52" s="81"/>
      <c r="D52" s="81"/>
      <c r="E52" s="170"/>
      <c r="F52" s="171"/>
      <c r="G52" s="170"/>
      <c r="H52" s="172"/>
    </row>
    <row r="53" spans="2:8">
      <c r="B53" s="81"/>
      <c r="C53" s="81"/>
      <c r="D53" s="81"/>
      <c r="E53" s="170"/>
      <c r="F53" s="171"/>
      <c r="G53" s="170"/>
      <c r="H53" s="172"/>
    </row>
    <row r="54" spans="2:8">
      <c r="B54" s="81"/>
      <c r="C54" s="81"/>
      <c r="D54" s="81"/>
      <c r="E54" s="170"/>
      <c r="F54" s="171"/>
      <c r="G54" s="170"/>
      <c r="H54" s="172"/>
    </row>
    <row r="55" spans="2:8">
      <c r="B55" s="81"/>
      <c r="C55" s="81"/>
      <c r="D55" s="81"/>
      <c r="E55" s="170"/>
      <c r="F55" s="171"/>
      <c r="G55" s="170"/>
      <c r="H55" s="172"/>
    </row>
    <row r="56" spans="2:8">
      <c r="B56" s="81"/>
      <c r="C56" s="81"/>
      <c r="D56" s="81"/>
      <c r="E56" s="170"/>
      <c r="F56" s="171"/>
      <c r="G56" s="170"/>
      <c r="H56" s="172"/>
    </row>
    <row r="57" spans="2:8">
      <c r="B57" s="81"/>
      <c r="C57" s="81"/>
      <c r="D57" s="81"/>
      <c r="E57" s="170"/>
      <c r="F57" s="171"/>
      <c r="G57" s="170"/>
      <c r="H57" s="172"/>
    </row>
    <row r="58" spans="2:8">
      <c r="B58" s="81"/>
      <c r="C58" s="81"/>
      <c r="D58" s="81"/>
      <c r="E58" s="170"/>
      <c r="F58" s="171"/>
      <c r="G58" s="170"/>
      <c r="H58" s="172"/>
    </row>
    <row r="59" spans="2:8">
      <c r="B59" s="81"/>
      <c r="C59" s="81"/>
      <c r="D59" s="81"/>
      <c r="E59" s="170"/>
      <c r="F59" s="171"/>
      <c r="G59" s="170"/>
      <c r="H59" s="172"/>
    </row>
    <row r="60" spans="2:8">
      <c r="B60" s="81"/>
      <c r="C60" s="81"/>
      <c r="D60" s="81"/>
      <c r="E60" s="170"/>
      <c r="F60" s="171"/>
      <c r="G60" s="170"/>
      <c r="H60" s="172"/>
    </row>
    <row r="61" spans="2:8">
      <c r="B61" s="81"/>
      <c r="C61" s="81"/>
      <c r="D61" s="81"/>
      <c r="E61" s="170"/>
      <c r="F61" s="171"/>
      <c r="G61" s="170"/>
      <c r="H61" s="172"/>
    </row>
    <row r="62" spans="2:8">
      <c r="B62" s="81"/>
      <c r="C62" s="81"/>
      <c r="D62" s="81"/>
      <c r="E62" s="170"/>
      <c r="F62" s="171"/>
      <c r="G62" s="170"/>
      <c r="H62" s="172"/>
    </row>
    <row r="63" spans="2:8">
      <c r="B63" s="81"/>
      <c r="C63" s="81"/>
      <c r="D63" s="81"/>
      <c r="E63" s="170"/>
      <c r="F63" s="171"/>
      <c r="G63" s="170"/>
      <c r="H63" s="172"/>
    </row>
    <row r="64" spans="2:8">
      <c r="B64" s="81"/>
      <c r="C64" s="81"/>
      <c r="D64" s="81"/>
      <c r="E64" s="170"/>
      <c r="F64" s="171"/>
      <c r="G64" s="170"/>
      <c r="H64" s="172"/>
    </row>
    <row r="65" spans="2:8">
      <c r="B65" s="81"/>
      <c r="C65" s="81"/>
      <c r="D65" s="81"/>
      <c r="E65" s="170"/>
      <c r="F65" s="171"/>
      <c r="G65" s="170"/>
      <c r="H65" s="172"/>
    </row>
    <row r="66" spans="2:8">
      <c r="B66" s="81"/>
      <c r="C66" s="81"/>
      <c r="D66" s="81"/>
      <c r="E66" s="170"/>
      <c r="F66" s="171"/>
      <c r="G66" s="170"/>
      <c r="H66" s="172"/>
    </row>
    <row r="67" spans="2:8">
      <c r="B67" s="81"/>
      <c r="C67" s="81"/>
      <c r="D67" s="81"/>
      <c r="E67" s="170"/>
      <c r="F67" s="171"/>
      <c r="G67" s="170"/>
      <c r="H67" s="172"/>
    </row>
    <row r="68" spans="2:8">
      <c r="B68" s="81"/>
      <c r="C68" s="81"/>
      <c r="D68" s="81"/>
      <c r="E68" s="170"/>
      <c r="F68" s="171"/>
      <c r="G68" s="170"/>
      <c r="H68" s="172"/>
    </row>
    <row r="69" spans="2:8">
      <c r="B69" s="81"/>
      <c r="C69" s="81"/>
      <c r="D69" s="81"/>
      <c r="E69" s="170"/>
      <c r="F69" s="171"/>
      <c r="G69" s="170"/>
      <c r="H69" s="172"/>
    </row>
    <row r="70" spans="2:8">
      <c r="B70" s="81"/>
      <c r="C70" s="81"/>
      <c r="D70" s="81"/>
      <c r="E70" s="170"/>
      <c r="F70" s="171"/>
      <c r="G70" s="170"/>
      <c r="H70" s="172"/>
    </row>
    <row r="71" spans="2:8">
      <c r="B71" s="81"/>
      <c r="C71" s="81"/>
      <c r="D71" s="81"/>
      <c r="E71" s="170"/>
      <c r="F71" s="171"/>
      <c r="G71" s="170"/>
      <c r="H71" s="172"/>
    </row>
    <row r="72" spans="2:8">
      <c r="B72" s="81"/>
      <c r="C72" s="81"/>
      <c r="D72" s="81"/>
      <c r="E72" s="170"/>
      <c r="F72" s="171"/>
      <c r="G72" s="170"/>
      <c r="H72" s="172"/>
    </row>
    <row r="73" spans="2:8">
      <c r="B73" s="81"/>
      <c r="C73" s="81"/>
      <c r="D73" s="81"/>
      <c r="E73" s="170"/>
      <c r="F73" s="171"/>
      <c r="G73" s="170"/>
      <c r="H73" s="172"/>
    </row>
    <row r="74" spans="2:8">
      <c r="B74" s="81"/>
      <c r="C74" s="81"/>
      <c r="D74" s="81"/>
      <c r="E74" s="170"/>
      <c r="F74" s="171"/>
      <c r="G74" s="170"/>
      <c r="H74" s="172"/>
    </row>
    <row r="75" spans="2:8">
      <c r="B75" s="81"/>
      <c r="C75" s="81"/>
      <c r="D75" s="81"/>
      <c r="E75" s="170"/>
      <c r="F75" s="171"/>
      <c r="G75" s="170"/>
      <c r="H75" s="172"/>
    </row>
    <row r="76" spans="2:8">
      <c r="B76" s="81"/>
      <c r="C76" s="81"/>
      <c r="D76" s="81"/>
      <c r="E76" s="170"/>
      <c r="F76" s="171"/>
      <c r="G76" s="170"/>
      <c r="H76" s="172"/>
    </row>
    <row r="77" spans="2:8">
      <c r="B77" s="81"/>
      <c r="C77" s="81"/>
      <c r="D77" s="81"/>
      <c r="E77" s="170"/>
      <c r="F77" s="171"/>
      <c r="G77" s="170"/>
      <c r="H77" s="172"/>
    </row>
    <row r="78" spans="2:8">
      <c r="B78" s="81"/>
      <c r="C78" s="81"/>
      <c r="D78" s="81"/>
      <c r="E78" s="170"/>
      <c r="F78" s="171"/>
      <c r="G78" s="170"/>
      <c r="H78" s="172"/>
    </row>
    <row r="79" spans="2:8">
      <c r="B79" s="81"/>
      <c r="C79" s="81"/>
      <c r="D79" s="81"/>
      <c r="E79" s="170"/>
      <c r="F79" s="171"/>
      <c r="G79" s="170"/>
      <c r="H79" s="172"/>
    </row>
    <row r="80" spans="2:8">
      <c r="B80" s="81"/>
      <c r="C80" s="81"/>
      <c r="D80" s="81"/>
      <c r="E80" s="170"/>
      <c r="F80" s="171"/>
      <c r="G80" s="170"/>
      <c r="H80" s="172"/>
    </row>
    <row r="81" spans="2:8">
      <c r="B81" s="81"/>
      <c r="C81" s="81"/>
      <c r="D81" s="81"/>
      <c r="E81" s="170"/>
      <c r="F81" s="171"/>
      <c r="G81" s="170"/>
      <c r="H81" s="172"/>
    </row>
    <row r="82" spans="2:8">
      <c r="B82" s="81"/>
      <c r="C82" s="81"/>
      <c r="D82" s="81"/>
      <c r="E82" s="170"/>
      <c r="F82" s="171"/>
      <c r="G82" s="170"/>
      <c r="H82" s="172"/>
    </row>
    <row r="83" spans="2:8">
      <c r="B83" s="81"/>
      <c r="C83" s="81"/>
      <c r="D83" s="81"/>
      <c r="E83" s="170"/>
      <c r="F83" s="171"/>
      <c r="G83" s="170"/>
      <c r="H83" s="172"/>
    </row>
    <row r="84" spans="2:8">
      <c r="B84" s="81"/>
      <c r="C84" s="81"/>
      <c r="D84" s="81"/>
      <c r="E84" s="170"/>
      <c r="F84" s="171"/>
      <c r="G84" s="170"/>
      <c r="H84" s="172"/>
    </row>
    <row r="85" spans="2:8">
      <c r="B85" s="81"/>
      <c r="C85" s="81"/>
      <c r="D85" s="81"/>
      <c r="E85" s="170"/>
      <c r="F85" s="171"/>
      <c r="G85" s="170"/>
      <c r="H85" s="172"/>
    </row>
    <row r="86" spans="2:8">
      <c r="B86" s="81"/>
      <c r="C86" s="81"/>
      <c r="D86" s="81"/>
      <c r="E86" s="170"/>
      <c r="F86" s="171"/>
      <c r="G86" s="170"/>
      <c r="H86" s="172"/>
    </row>
    <row r="87" spans="2:8">
      <c r="B87" s="81"/>
      <c r="C87" s="81"/>
      <c r="D87" s="81"/>
      <c r="E87" s="170"/>
      <c r="F87" s="171"/>
      <c r="G87" s="170"/>
      <c r="H87" s="172"/>
    </row>
    <row r="88" spans="2:8">
      <c r="B88" s="81"/>
      <c r="C88" s="81"/>
      <c r="D88" s="81"/>
      <c r="E88" s="170"/>
      <c r="F88" s="171"/>
      <c r="G88" s="170"/>
      <c r="H88" s="172"/>
    </row>
    <row r="89" spans="2:8">
      <c r="B89" s="81"/>
      <c r="C89" s="81"/>
      <c r="D89" s="81"/>
      <c r="E89" s="170"/>
      <c r="F89" s="171"/>
      <c r="G89" s="170"/>
      <c r="H89" s="172"/>
    </row>
    <row r="90" spans="2:8">
      <c r="B90" s="81"/>
      <c r="C90" s="81"/>
      <c r="D90" s="81"/>
      <c r="E90" s="170"/>
      <c r="F90" s="171"/>
      <c r="G90" s="170"/>
      <c r="H90" s="172"/>
    </row>
    <row r="91" spans="2:8">
      <c r="B91" s="81"/>
      <c r="C91" s="81"/>
      <c r="D91" s="81"/>
      <c r="E91" s="170"/>
      <c r="F91" s="171"/>
      <c r="G91" s="170"/>
      <c r="H91" s="172"/>
    </row>
    <row r="92" spans="2:8">
      <c r="B92" s="81"/>
      <c r="C92" s="81"/>
      <c r="D92" s="81"/>
      <c r="E92" s="170"/>
      <c r="F92" s="171"/>
      <c r="G92" s="170"/>
      <c r="H92" s="172"/>
    </row>
    <row r="93" spans="2:8">
      <c r="B93" s="81"/>
      <c r="C93" s="81"/>
      <c r="D93" s="81"/>
      <c r="E93" s="170"/>
      <c r="F93" s="171"/>
      <c r="G93" s="170"/>
      <c r="H93" s="172"/>
    </row>
    <row r="94" spans="2:8">
      <c r="B94" s="81"/>
      <c r="C94" s="81"/>
      <c r="D94" s="81"/>
      <c r="E94" s="170"/>
      <c r="F94" s="171"/>
      <c r="G94" s="170"/>
      <c r="H94" s="172"/>
    </row>
    <row r="95" spans="2:8">
      <c r="B95" s="81"/>
      <c r="C95" s="81"/>
      <c r="D95" s="81"/>
      <c r="E95" s="170"/>
      <c r="F95" s="171"/>
      <c r="G95" s="170"/>
      <c r="H95" s="172"/>
    </row>
    <row r="96" spans="2:8">
      <c r="B96" s="81"/>
      <c r="C96" s="81"/>
      <c r="D96" s="81"/>
      <c r="E96" s="170"/>
      <c r="F96" s="171"/>
      <c r="G96" s="170"/>
      <c r="H96" s="172"/>
    </row>
    <row r="97" spans="2:8">
      <c r="B97" s="81"/>
      <c r="C97" s="81"/>
      <c r="D97" s="81"/>
      <c r="E97" s="170"/>
      <c r="F97" s="171"/>
      <c r="G97" s="170"/>
      <c r="H97" s="172"/>
    </row>
    <row r="98" spans="2:8">
      <c r="B98" s="81"/>
      <c r="C98" s="81"/>
      <c r="D98" s="81"/>
      <c r="E98" s="170"/>
      <c r="F98" s="171"/>
      <c r="G98" s="170"/>
      <c r="H98" s="172"/>
    </row>
    <row r="99" spans="2:8">
      <c r="B99" s="81"/>
      <c r="C99" s="81"/>
      <c r="D99" s="81"/>
      <c r="E99" s="170"/>
      <c r="F99" s="171"/>
      <c r="G99" s="170"/>
      <c r="H99" s="172"/>
    </row>
    <row r="100" spans="2:8">
      <c r="B100" s="81"/>
      <c r="C100" s="81"/>
      <c r="D100" s="81"/>
      <c r="E100" s="170"/>
      <c r="F100" s="171"/>
      <c r="G100" s="170"/>
      <c r="H100" s="172"/>
    </row>
    <row r="101" spans="2:8">
      <c r="B101" s="81"/>
      <c r="C101" s="81"/>
      <c r="D101" s="81"/>
      <c r="E101" s="170"/>
      <c r="F101" s="171"/>
      <c r="G101" s="170"/>
      <c r="H101" s="172"/>
    </row>
    <row r="102" spans="2:8">
      <c r="B102" s="81"/>
      <c r="C102" s="81"/>
      <c r="D102" s="81"/>
      <c r="E102" s="170"/>
      <c r="F102" s="171"/>
      <c r="G102" s="170"/>
      <c r="H102" s="172"/>
    </row>
    <row r="103" spans="2:8">
      <c r="B103" s="81"/>
      <c r="C103" s="81"/>
      <c r="D103" s="81"/>
      <c r="E103" s="170"/>
      <c r="F103" s="171"/>
      <c r="G103" s="170"/>
      <c r="H103" s="172"/>
    </row>
    <row r="104" spans="2:8">
      <c r="B104" s="81"/>
      <c r="C104" s="81"/>
      <c r="D104" s="81"/>
      <c r="E104" s="170"/>
      <c r="F104" s="171"/>
      <c r="G104" s="170"/>
      <c r="H104" s="172"/>
    </row>
    <row r="105" spans="2:8">
      <c r="B105" s="81"/>
      <c r="C105" s="81"/>
      <c r="D105" s="81"/>
      <c r="E105" s="170"/>
      <c r="F105" s="171"/>
      <c r="G105" s="170"/>
      <c r="H105" s="172"/>
    </row>
    <row r="106" spans="2:8">
      <c r="B106" s="81"/>
      <c r="C106" s="81"/>
      <c r="D106" s="81"/>
      <c r="E106" s="170"/>
      <c r="F106" s="171"/>
      <c r="G106" s="170"/>
      <c r="H106" s="172"/>
    </row>
    <row r="107" spans="2:8">
      <c r="B107" s="81"/>
      <c r="C107" s="81"/>
      <c r="D107" s="81"/>
      <c r="E107" s="170"/>
      <c r="F107" s="171"/>
      <c r="G107" s="170"/>
      <c r="H107" s="172"/>
    </row>
    <row r="108" spans="2:8">
      <c r="B108" s="81"/>
      <c r="C108" s="81"/>
      <c r="D108" s="81"/>
      <c r="E108" s="170"/>
      <c r="F108" s="171"/>
      <c r="G108" s="170"/>
      <c r="H108" s="172"/>
    </row>
    <row r="109" spans="2:8">
      <c r="B109" s="81"/>
      <c r="C109" s="81"/>
      <c r="D109" s="81"/>
      <c r="E109" s="170"/>
      <c r="F109" s="171"/>
      <c r="G109" s="170"/>
      <c r="H109" s="172"/>
    </row>
    <row r="110" spans="2:8">
      <c r="B110" s="81"/>
      <c r="C110" s="81"/>
      <c r="D110" s="81"/>
      <c r="E110" s="170"/>
      <c r="F110" s="171"/>
      <c r="G110" s="170"/>
      <c r="H110" s="172"/>
    </row>
    <row r="111" spans="2:8">
      <c r="B111" s="81"/>
      <c r="C111" s="81"/>
      <c r="D111" s="81"/>
      <c r="E111" s="170"/>
      <c r="F111" s="171"/>
      <c r="G111" s="170"/>
      <c r="H111" s="172"/>
    </row>
    <row r="112" spans="2:8">
      <c r="B112" s="81"/>
      <c r="C112" s="81"/>
      <c r="D112" s="81"/>
      <c r="E112" s="170"/>
      <c r="F112" s="171"/>
      <c r="G112" s="170"/>
      <c r="H112" s="172"/>
    </row>
    <row r="113" spans="2:8">
      <c r="B113" s="81"/>
      <c r="C113" s="81"/>
      <c r="D113" s="81"/>
      <c r="E113" s="170"/>
      <c r="F113" s="171"/>
      <c r="G113" s="170"/>
      <c r="H113" s="172"/>
    </row>
    <row r="114" spans="2:8">
      <c r="B114" s="81"/>
      <c r="C114" s="81"/>
      <c r="D114" s="81"/>
      <c r="E114" s="170"/>
      <c r="F114" s="171"/>
      <c r="G114" s="170"/>
      <c r="H114" s="172"/>
    </row>
    <row r="115" spans="2:8">
      <c r="B115" s="81"/>
      <c r="C115" s="81"/>
      <c r="D115" s="81"/>
      <c r="E115" s="170"/>
      <c r="F115" s="171"/>
      <c r="G115" s="170"/>
      <c r="H115" s="172"/>
    </row>
    <row r="116" spans="2:8">
      <c r="B116" s="81"/>
      <c r="C116" s="81"/>
      <c r="D116" s="81"/>
      <c r="E116" s="170"/>
      <c r="F116" s="171"/>
      <c r="G116" s="170"/>
      <c r="H116" s="172"/>
    </row>
    <row r="117" spans="2:8">
      <c r="B117" s="81"/>
      <c r="C117" s="81"/>
      <c r="D117" s="81"/>
      <c r="E117" s="170"/>
      <c r="F117" s="171"/>
      <c r="G117" s="170"/>
      <c r="H117" s="172"/>
    </row>
    <row r="118" spans="2:8">
      <c r="B118" s="81"/>
      <c r="C118" s="81"/>
      <c r="D118" s="81"/>
      <c r="E118" s="170"/>
      <c r="F118" s="171"/>
      <c r="G118" s="170"/>
      <c r="H118" s="172"/>
    </row>
    <row r="119" spans="2:8">
      <c r="B119" s="81"/>
      <c r="C119" s="81"/>
      <c r="D119" s="81"/>
      <c r="E119" s="170"/>
      <c r="F119" s="171"/>
      <c r="G119" s="170"/>
      <c r="H119" s="172"/>
    </row>
    <row r="120" spans="2:8">
      <c r="B120" s="81"/>
      <c r="C120" s="81"/>
      <c r="D120" s="81"/>
      <c r="E120" s="170"/>
      <c r="F120" s="171"/>
      <c r="G120" s="170"/>
      <c r="H120" s="172"/>
    </row>
    <row r="121" spans="2:8">
      <c r="B121" s="81"/>
      <c r="C121" s="81"/>
      <c r="D121" s="81"/>
      <c r="E121" s="170"/>
      <c r="F121" s="171"/>
      <c r="G121" s="170"/>
      <c r="H121" s="172"/>
    </row>
    <row r="122" spans="2:8">
      <c r="B122" s="81"/>
      <c r="C122" s="81"/>
      <c r="D122" s="81"/>
      <c r="E122" s="170"/>
      <c r="F122" s="171"/>
      <c r="G122" s="170"/>
      <c r="H122" s="172"/>
    </row>
    <row r="123" spans="2:8">
      <c r="B123" s="81"/>
      <c r="C123" s="81"/>
      <c r="D123" s="81"/>
      <c r="E123" s="170"/>
      <c r="F123" s="171"/>
      <c r="G123" s="170"/>
      <c r="H123" s="172"/>
    </row>
    <row r="124" spans="2:8">
      <c r="B124" s="81"/>
      <c r="C124" s="81"/>
      <c r="D124" s="81"/>
      <c r="E124" s="170"/>
      <c r="F124" s="171"/>
      <c r="G124" s="170"/>
      <c r="H124" s="172"/>
    </row>
    <row r="125" spans="2:8">
      <c r="B125" s="81"/>
      <c r="C125" s="81"/>
      <c r="D125" s="81"/>
      <c r="E125" s="170"/>
      <c r="F125" s="171"/>
      <c r="G125" s="170"/>
      <c r="H125" s="172"/>
    </row>
    <row r="126" spans="2:8">
      <c r="B126" s="81"/>
      <c r="C126" s="81"/>
      <c r="D126" s="81"/>
      <c r="E126" s="170"/>
      <c r="F126" s="171"/>
      <c r="G126" s="170"/>
      <c r="H126" s="172"/>
    </row>
    <row r="127" spans="2:8">
      <c r="B127" s="81"/>
      <c r="C127" s="81"/>
      <c r="D127" s="81"/>
      <c r="E127" s="170"/>
      <c r="F127" s="171"/>
      <c r="G127" s="170"/>
      <c r="H127" s="172"/>
    </row>
    <row r="128" spans="2:8">
      <c r="B128" s="81"/>
      <c r="C128" s="81"/>
      <c r="D128" s="81"/>
      <c r="E128" s="170"/>
      <c r="F128" s="171"/>
      <c r="G128" s="170"/>
      <c r="H128" s="172"/>
    </row>
    <row r="129" spans="2:8">
      <c r="B129" s="81"/>
      <c r="C129" s="81"/>
      <c r="D129" s="81"/>
      <c r="E129" s="170"/>
      <c r="F129" s="171"/>
      <c r="G129" s="170"/>
      <c r="H129" s="172"/>
    </row>
    <row r="130" spans="2:8">
      <c r="B130" s="81"/>
      <c r="C130" s="81"/>
      <c r="D130" s="81"/>
      <c r="E130" s="170"/>
      <c r="F130" s="171"/>
      <c r="G130" s="170"/>
      <c r="H130" s="172"/>
    </row>
    <row r="131" spans="2:8">
      <c r="B131" s="81"/>
      <c r="C131" s="81"/>
      <c r="D131" s="81"/>
      <c r="E131" s="170"/>
      <c r="F131" s="171"/>
      <c r="G131" s="170"/>
      <c r="H131" s="172"/>
    </row>
    <row r="132" spans="2:8">
      <c r="B132" s="81"/>
      <c r="C132" s="81"/>
      <c r="D132" s="81"/>
      <c r="E132" s="170"/>
      <c r="F132" s="171"/>
      <c r="G132" s="170"/>
      <c r="H132" s="172"/>
    </row>
    <row r="133" spans="2:8">
      <c r="B133" s="81"/>
      <c r="C133" s="81"/>
      <c r="D133" s="81"/>
      <c r="E133" s="170"/>
      <c r="F133" s="171"/>
      <c r="G133" s="170"/>
      <c r="H133" s="172"/>
    </row>
    <row r="134" spans="2:8">
      <c r="B134" s="81"/>
      <c r="C134" s="81"/>
      <c r="D134" s="81"/>
      <c r="E134" s="170"/>
      <c r="F134" s="171"/>
      <c r="G134" s="170"/>
      <c r="H134" s="172"/>
    </row>
    <row r="135" spans="2:8">
      <c r="B135" s="81"/>
      <c r="C135" s="81"/>
      <c r="D135" s="81"/>
      <c r="E135" s="170"/>
      <c r="F135" s="171"/>
      <c r="G135" s="170"/>
      <c r="H135" s="172"/>
    </row>
    <row r="136" spans="2:8">
      <c r="B136" s="81"/>
      <c r="C136" s="81"/>
      <c r="D136" s="81"/>
      <c r="E136" s="170"/>
      <c r="F136" s="171"/>
      <c r="G136" s="170"/>
      <c r="H136" s="172"/>
    </row>
    <row r="137" spans="2:8">
      <c r="B137" s="81"/>
      <c r="C137" s="81"/>
      <c r="D137" s="81"/>
      <c r="E137" s="170"/>
      <c r="F137" s="171"/>
      <c r="G137" s="170"/>
      <c r="H137" s="172"/>
    </row>
    <row r="138" spans="2:8">
      <c r="B138" s="81"/>
      <c r="C138" s="81"/>
      <c r="D138" s="81"/>
      <c r="E138" s="170"/>
      <c r="F138" s="171"/>
      <c r="G138" s="170"/>
      <c r="H138" s="172"/>
    </row>
  </sheetData>
  <sheetProtection formatCells="0" formatColumns="0" formatRows="0" insertColumns="0" insertRows="0" insertHyperlinks="0" deleteColumns="0" deleteRows="0" sort="0" autoFilter="0" pivotTables="0"/>
  <phoneticPr fontId="49" type="noConversion"/>
  <pageMargins left="0.7" right="0.7" top="0.75" bottom="0.75" header="0.3" footer="0.3"/>
  <pageSetup orientation="portrait" horizontalDpi="4294967293" verticalDpi="4294967293"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E9C9-CC6D-4BC3-A38F-3CFC1FF318C7}">
  <sheetPr codeName="Sheet11"/>
  <dimension ref="A1:AH417"/>
  <sheetViews>
    <sheetView showGridLines="0" showRowColHeaders="0" zoomScaleNormal="100" workbookViewId="0">
      <pane ySplit="1" topLeftCell="A2" activePane="bottomLeft" state="frozen"/>
      <selection pane="bottomLeft" activeCell="B5" sqref="B5"/>
    </sheetView>
  </sheetViews>
  <sheetFormatPr defaultColWidth="0" defaultRowHeight="14.25"/>
  <cols>
    <col min="1" max="1" width="1.7109375" style="39" customWidth="1"/>
    <col min="2" max="2" width="10.42578125" style="39" bestFit="1" customWidth="1"/>
    <col min="3" max="4" width="7.28515625" style="39" customWidth="1"/>
    <col min="5" max="5" width="7" style="39" bestFit="1" customWidth="1"/>
    <col min="6" max="6" width="1.7109375" style="39" customWidth="1"/>
    <col min="7" max="34" width="9.140625" style="39" customWidth="1"/>
    <col min="35" max="16384" width="9.140625" style="39" hidden="1"/>
  </cols>
  <sheetData>
    <row r="1" spans="1:34" ht="20.25">
      <c r="A1" s="174"/>
      <c r="B1" s="175" t="s">
        <v>558</v>
      </c>
      <c r="C1" s="175"/>
      <c r="D1" s="175"/>
      <c r="E1" s="175"/>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row>
    <row r="2" spans="1:34" ht="5.0999999999999996" customHeight="1"/>
    <row r="3" spans="1:34" ht="15.75">
      <c r="B3" s="176" t="s">
        <v>17</v>
      </c>
      <c r="C3" s="111"/>
      <c r="D3" s="111"/>
      <c r="E3" s="111"/>
    </row>
    <row r="4" spans="1:34" ht="5.0999999999999996" customHeight="1" thickBot="1">
      <c r="B4" s="111"/>
      <c r="C4" s="111"/>
      <c r="D4" s="111"/>
      <c r="E4" s="111"/>
    </row>
    <row r="5" spans="1:34" ht="16.5" thickBot="1">
      <c r="B5" s="274"/>
      <c r="C5" s="97" t="s">
        <v>63</v>
      </c>
      <c r="D5" s="41"/>
      <c r="E5" s="41"/>
    </row>
    <row r="6" spans="1:34" ht="5.0999999999999996" customHeight="1">
      <c r="A6" s="96"/>
      <c r="B6" s="96"/>
      <c r="C6" s="96"/>
      <c r="D6" s="96"/>
      <c r="E6" s="96"/>
    </row>
    <row r="7" spans="1:34" ht="15.75">
      <c r="A7" s="96"/>
      <c r="B7" s="176" t="s">
        <v>18</v>
      </c>
      <c r="C7" s="96"/>
      <c r="D7" s="96"/>
      <c r="E7" s="96"/>
    </row>
    <row r="8" spans="1:34" ht="5.0999999999999996" customHeight="1" thickBot="1">
      <c r="A8" s="96"/>
      <c r="B8" s="176"/>
      <c r="C8" s="96"/>
      <c r="D8" s="96"/>
      <c r="E8" s="96"/>
    </row>
    <row r="9" spans="1:34" ht="16.5" thickBot="1">
      <c r="A9" s="96"/>
      <c r="B9" s="270"/>
      <c r="C9" s="96"/>
      <c r="D9" s="96"/>
      <c r="E9" s="96"/>
    </row>
    <row r="10" spans="1:34" ht="5.0999999999999996" customHeight="1">
      <c r="A10" s="96"/>
      <c r="C10" s="96"/>
      <c r="D10" s="96"/>
      <c r="E10" s="96"/>
    </row>
    <row r="11" spans="1:34" ht="15.75">
      <c r="B11" s="111" t="s">
        <v>18</v>
      </c>
      <c r="C11" s="111" t="s">
        <v>63</v>
      </c>
      <c r="D11" s="111" t="s">
        <v>425</v>
      </c>
      <c r="E11" s="111" t="s">
        <v>27</v>
      </c>
    </row>
    <row r="12" spans="1:34" ht="15.75">
      <c r="B12" s="177"/>
      <c r="C12" s="178"/>
      <c r="D12" s="178"/>
      <c r="E12" s="91"/>
      <c r="F12" s="179"/>
    </row>
    <row r="13" spans="1:34" ht="15.75">
      <c r="B13" s="177"/>
      <c r="C13" s="178"/>
      <c r="D13" s="178"/>
      <c r="E13" s="178"/>
      <c r="F13" s="179"/>
    </row>
    <row r="14" spans="1:34" ht="15.75">
      <c r="B14" s="177"/>
      <c r="C14" s="178"/>
      <c r="D14" s="178"/>
      <c r="E14" s="178"/>
      <c r="F14" s="179"/>
    </row>
    <row r="15" spans="1:34" ht="15.75">
      <c r="B15" s="177"/>
      <c r="C15" s="178"/>
      <c r="D15" s="178"/>
      <c r="E15" s="178"/>
      <c r="F15" s="179"/>
    </row>
    <row r="16" spans="1:34" ht="15.75">
      <c r="B16" s="177"/>
      <c r="C16" s="178"/>
      <c r="D16" s="178"/>
      <c r="E16" s="178"/>
      <c r="F16" s="179"/>
    </row>
    <row r="17" spans="2:6" ht="15.75">
      <c r="B17" s="177"/>
      <c r="C17" s="178"/>
      <c r="D17" s="178"/>
      <c r="E17" s="178"/>
      <c r="F17" s="179"/>
    </row>
    <row r="18" spans="2:6" ht="15.75">
      <c r="B18" s="177"/>
      <c r="C18" s="178"/>
      <c r="D18" s="178"/>
      <c r="E18" s="178"/>
      <c r="F18" s="179"/>
    </row>
    <row r="19" spans="2:6" ht="15.75">
      <c r="B19" s="177"/>
      <c r="C19" s="178"/>
      <c r="D19" s="178"/>
      <c r="E19" s="178"/>
      <c r="F19" s="179"/>
    </row>
    <row r="20" spans="2:6" ht="15.75">
      <c r="B20" s="177"/>
      <c r="C20" s="178"/>
      <c r="D20" s="178"/>
      <c r="E20" s="178"/>
      <c r="F20" s="179"/>
    </row>
    <row r="21" spans="2:6" ht="15.75">
      <c r="B21" s="177"/>
      <c r="C21" s="178"/>
      <c r="D21" s="178"/>
      <c r="E21" s="178"/>
      <c r="F21" s="179"/>
    </row>
    <row r="22" spans="2:6" ht="15.75">
      <c r="B22" s="177"/>
      <c r="C22" s="178"/>
      <c r="D22" s="178"/>
      <c r="E22" s="178"/>
      <c r="F22" s="179"/>
    </row>
    <row r="23" spans="2:6" ht="15.75">
      <c r="B23" s="177"/>
      <c r="C23" s="178"/>
      <c r="D23" s="178"/>
      <c r="E23" s="178"/>
      <c r="F23" s="179"/>
    </row>
    <row r="24" spans="2:6" ht="15.75">
      <c r="B24" s="177"/>
      <c r="C24" s="178"/>
      <c r="D24" s="178"/>
      <c r="E24" s="178"/>
      <c r="F24" s="179"/>
    </row>
    <row r="25" spans="2:6" ht="15.75">
      <c r="B25" s="177"/>
      <c r="C25" s="178"/>
      <c r="D25" s="178"/>
      <c r="E25" s="178"/>
      <c r="F25" s="179"/>
    </row>
    <row r="26" spans="2:6" ht="15.75">
      <c r="B26" s="177"/>
      <c r="C26" s="178"/>
      <c r="D26" s="178"/>
      <c r="E26" s="178"/>
      <c r="F26" s="179"/>
    </row>
    <row r="27" spans="2:6" ht="15.75">
      <c r="B27" s="177"/>
      <c r="C27" s="178"/>
      <c r="D27" s="178"/>
      <c r="E27" s="178"/>
      <c r="F27" s="179"/>
    </row>
    <row r="28" spans="2:6" ht="15.75">
      <c r="B28" s="177"/>
      <c r="C28" s="178"/>
      <c r="D28" s="178"/>
      <c r="E28" s="178"/>
      <c r="F28" s="179"/>
    </row>
    <row r="29" spans="2:6" ht="15.75">
      <c r="B29" s="177"/>
      <c r="C29" s="178"/>
      <c r="D29" s="178"/>
      <c r="E29" s="178"/>
      <c r="F29" s="179"/>
    </row>
    <row r="30" spans="2:6" ht="15.75">
      <c r="B30" s="177"/>
      <c r="C30" s="178"/>
      <c r="D30" s="178"/>
      <c r="E30" s="178"/>
      <c r="F30" s="179"/>
    </row>
    <row r="31" spans="2:6" ht="15.75">
      <c r="B31" s="177"/>
      <c r="C31" s="178"/>
      <c r="D31" s="178"/>
      <c r="E31" s="178"/>
      <c r="F31" s="179"/>
    </row>
    <row r="32" spans="2:6" ht="15.75">
      <c r="F32" s="179"/>
    </row>
    <row r="33" spans="2:6" ht="15.75">
      <c r="F33" s="179"/>
    </row>
    <row r="34" spans="2:6" ht="15.75">
      <c r="F34" s="179"/>
    </row>
    <row r="35" spans="2:6" ht="15.75">
      <c r="F35" s="179"/>
    </row>
    <row r="36" spans="2:6" ht="15.75">
      <c r="F36" s="179"/>
    </row>
    <row r="37" spans="2:6" ht="15.75">
      <c r="F37" s="179"/>
    </row>
    <row r="38" spans="2:6" ht="15.75">
      <c r="F38" s="179"/>
    </row>
    <row r="39" spans="2:6" ht="15.75">
      <c r="F39" s="179"/>
    </row>
    <row r="40" spans="2:6" ht="15.75">
      <c r="B40" s="266"/>
      <c r="F40" s="179"/>
    </row>
    <row r="41" spans="2:6" ht="15.75">
      <c r="B41" s="266"/>
      <c r="F41" s="179"/>
    </row>
    <row r="42" spans="2:6" ht="15.75">
      <c r="B42" s="266"/>
      <c r="F42" s="179"/>
    </row>
    <row r="43" spans="2:6" ht="15.75">
      <c r="B43" s="266"/>
      <c r="F43" s="179"/>
    </row>
    <row r="44" spans="2:6" ht="15.75">
      <c r="B44" s="266"/>
      <c r="F44" s="179"/>
    </row>
    <row r="45" spans="2:6" ht="15.75">
      <c r="B45" s="266"/>
      <c r="F45" s="179"/>
    </row>
    <row r="46" spans="2:6" ht="15.75">
      <c r="B46" s="266"/>
      <c r="F46" s="179"/>
    </row>
    <row r="47" spans="2:6" ht="15.75">
      <c r="B47" s="266"/>
      <c r="F47" s="179"/>
    </row>
    <row r="48" spans="2:6" ht="15.75">
      <c r="B48" s="266"/>
      <c r="F48" s="179"/>
    </row>
    <row r="49" spans="2:6" ht="15.75">
      <c r="B49" s="266"/>
      <c r="F49" s="179"/>
    </row>
    <row r="50" spans="2:6" ht="15.75">
      <c r="B50" s="266"/>
      <c r="F50" s="179"/>
    </row>
    <row r="51" spans="2:6" ht="15.75">
      <c r="B51" s="266"/>
      <c r="F51" s="179"/>
    </row>
    <row r="52" spans="2:6" ht="15.75">
      <c r="B52" s="266"/>
      <c r="F52" s="179"/>
    </row>
    <row r="53" spans="2:6" ht="15.75">
      <c r="B53" s="266"/>
      <c r="F53" s="179"/>
    </row>
    <row r="54" spans="2:6" ht="15.75">
      <c r="B54" s="266"/>
      <c r="F54" s="179"/>
    </row>
    <row r="55" spans="2:6" ht="15.75">
      <c r="B55" s="266"/>
      <c r="F55" s="179"/>
    </row>
    <row r="56" spans="2:6" ht="15.75">
      <c r="B56" s="266"/>
      <c r="F56" s="179"/>
    </row>
    <row r="57" spans="2:6" ht="15.75">
      <c r="B57" s="266"/>
      <c r="F57" s="179"/>
    </row>
    <row r="58" spans="2:6" ht="15.75">
      <c r="B58" s="266"/>
      <c r="F58" s="179"/>
    </row>
    <row r="59" spans="2:6" ht="15.75">
      <c r="B59" s="266"/>
      <c r="F59" s="179"/>
    </row>
    <row r="60" spans="2:6" ht="15.75">
      <c r="B60" s="266"/>
      <c r="F60" s="179"/>
    </row>
    <row r="61" spans="2:6" ht="15.75">
      <c r="B61" s="266"/>
      <c r="F61" s="179"/>
    </row>
    <row r="62" spans="2:6" ht="15.75">
      <c r="B62" s="266"/>
      <c r="F62" s="179"/>
    </row>
    <row r="63" spans="2:6" ht="15.75">
      <c r="B63" s="266"/>
      <c r="F63" s="179"/>
    </row>
    <row r="64" spans="2:6" ht="15.75">
      <c r="B64" s="266"/>
      <c r="F64" s="179"/>
    </row>
    <row r="65" spans="2:6" ht="15.75">
      <c r="B65" s="266"/>
      <c r="F65" s="179"/>
    </row>
    <row r="66" spans="2:6" ht="15.75">
      <c r="B66" s="266"/>
      <c r="F66" s="179"/>
    </row>
    <row r="67" spans="2:6" ht="15.75">
      <c r="B67" s="266"/>
      <c r="F67" s="179"/>
    </row>
    <row r="68" spans="2:6" ht="15.75">
      <c r="B68" s="266"/>
      <c r="F68" s="179"/>
    </row>
    <row r="69" spans="2:6" ht="15.75">
      <c r="B69" s="266"/>
      <c r="F69" s="179"/>
    </row>
    <row r="70" spans="2:6" ht="15.75">
      <c r="B70" s="266"/>
      <c r="F70" s="179"/>
    </row>
    <row r="71" spans="2:6" ht="15.75">
      <c r="B71" s="266"/>
      <c r="F71" s="179"/>
    </row>
    <row r="72" spans="2:6" ht="15.75">
      <c r="B72" s="266"/>
      <c r="F72" s="179"/>
    </row>
    <row r="73" spans="2:6" ht="15.75">
      <c r="B73" s="266"/>
      <c r="F73" s="179"/>
    </row>
    <row r="74" spans="2:6" ht="15.75">
      <c r="B74" s="266"/>
      <c r="F74" s="179"/>
    </row>
    <row r="75" spans="2:6" ht="15.75">
      <c r="B75" s="266"/>
      <c r="F75" s="179"/>
    </row>
    <row r="76" spans="2:6" ht="15.75">
      <c r="B76" s="266"/>
      <c r="F76" s="179"/>
    </row>
    <row r="77" spans="2:6" ht="15.75">
      <c r="B77" s="266"/>
      <c r="F77" s="179"/>
    </row>
    <row r="78" spans="2:6" ht="15.75">
      <c r="B78" s="266"/>
      <c r="F78" s="179"/>
    </row>
    <row r="79" spans="2:6" ht="15.75">
      <c r="B79" s="266"/>
      <c r="F79" s="179"/>
    </row>
    <row r="80" spans="2:6" ht="15.75">
      <c r="B80" s="266"/>
      <c r="F80" s="179"/>
    </row>
    <row r="81" spans="2:6" ht="15.75">
      <c r="B81" s="266"/>
      <c r="F81" s="179"/>
    </row>
    <row r="82" spans="2:6" ht="15.75">
      <c r="B82" s="266"/>
      <c r="F82" s="179"/>
    </row>
    <row r="83" spans="2:6" ht="15.75">
      <c r="B83" s="266"/>
      <c r="F83" s="179"/>
    </row>
    <row r="84" spans="2:6" ht="15.75">
      <c r="B84" s="266"/>
      <c r="F84" s="179"/>
    </row>
    <row r="85" spans="2:6" ht="15.75">
      <c r="B85" s="266"/>
      <c r="F85" s="179"/>
    </row>
    <row r="86" spans="2:6" ht="15.75">
      <c r="B86" s="266"/>
      <c r="F86" s="179"/>
    </row>
    <row r="87" spans="2:6" ht="15.75">
      <c r="B87" s="266"/>
      <c r="F87" s="179"/>
    </row>
    <row r="88" spans="2:6" ht="15.75">
      <c r="B88" s="266"/>
      <c r="F88" s="179"/>
    </row>
    <row r="89" spans="2:6" ht="15.75">
      <c r="B89" s="266"/>
      <c r="F89" s="179"/>
    </row>
    <row r="90" spans="2:6" ht="15.75">
      <c r="B90" s="266"/>
      <c r="F90" s="179"/>
    </row>
    <row r="91" spans="2:6" ht="15.75">
      <c r="B91" s="266"/>
      <c r="F91" s="179"/>
    </row>
    <row r="92" spans="2:6" ht="15.75">
      <c r="B92" s="266"/>
      <c r="F92" s="179"/>
    </row>
    <row r="93" spans="2:6" ht="15.75">
      <c r="B93" s="266"/>
      <c r="F93" s="179"/>
    </row>
    <row r="94" spans="2:6" ht="15.75">
      <c r="B94" s="266"/>
      <c r="F94" s="179"/>
    </row>
    <row r="95" spans="2:6" ht="15.75">
      <c r="B95" s="266"/>
      <c r="F95" s="179"/>
    </row>
    <row r="96" spans="2:6" ht="15.75">
      <c r="B96" s="266"/>
      <c r="F96" s="179"/>
    </row>
    <row r="97" spans="2:6" ht="15.75">
      <c r="B97" s="266"/>
      <c r="F97" s="179"/>
    </row>
    <row r="98" spans="2:6" ht="15.75">
      <c r="B98" s="266"/>
      <c r="F98" s="179"/>
    </row>
    <row r="99" spans="2:6" ht="15.75">
      <c r="B99" s="266"/>
      <c r="F99" s="179"/>
    </row>
    <row r="100" spans="2:6" ht="15.75">
      <c r="B100" s="266"/>
      <c r="F100" s="179"/>
    </row>
    <row r="101" spans="2:6" ht="15.75">
      <c r="B101" s="266"/>
      <c r="F101" s="179"/>
    </row>
    <row r="102" spans="2:6" ht="15.75">
      <c r="B102" s="266"/>
      <c r="F102" s="179"/>
    </row>
    <row r="103" spans="2:6" ht="15.75">
      <c r="B103" s="266"/>
      <c r="F103" s="179"/>
    </row>
    <row r="104" spans="2:6" ht="15.75">
      <c r="B104" s="266"/>
      <c r="F104" s="179"/>
    </row>
    <row r="105" spans="2:6" ht="15.75">
      <c r="B105" s="266"/>
      <c r="F105" s="179"/>
    </row>
    <row r="106" spans="2:6" ht="15.75">
      <c r="B106" s="266"/>
      <c r="F106" s="179"/>
    </row>
    <row r="107" spans="2:6" ht="15.75">
      <c r="B107" s="266"/>
      <c r="F107" s="179"/>
    </row>
    <row r="108" spans="2:6" ht="15.75">
      <c r="B108" s="266"/>
      <c r="F108" s="179"/>
    </row>
    <row r="109" spans="2:6" ht="15.75">
      <c r="B109" s="266"/>
      <c r="F109" s="179"/>
    </row>
    <row r="110" spans="2:6" ht="15.75">
      <c r="B110" s="266"/>
      <c r="F110" s="179"/>
    </row>
    <row r="111" spans="2:6" ht="15.75">
      <c r="B111" s="266"/>
      <c r="F111" s="179"/>
    </row>
    <row r="112" spans="2:6" ht="15.75">
      <c r="B112" s="266"/>
      <c r="F112" s="179"/>
    </row>
    <row r="113" spans="2:6" ht="15.75">
      <c r="B113" s="266"/>
      <c r="F113" s="179"/>
    </row>
    <row r="114" spans="2:6" ht="15.75">
      <c r="B114" s="266"/>
      <c r="F114" s="179"/>
    </row>
    <row r="115" spans="2:6" ht="15.75">
      <c r="B115" s="266"/>
      <c r="F115" s="179"/>
    </row>
    <row r="116" spans="2:6" ht="15.75">
      <c r="B116" s="266"/>
      <c r="F116" s="179"/>
    </row>
    <row r="117" spans="2:6" ht="15.75">
      <c r="B117" s="266"/>
      <c r="F117" s="179"/>
    </row>
    <row r="118" spans="2:6" ht="15.75">
      <c r="B118" s="266"/>
      <c r="F118" s="179"/>
    </row>
    <row r="119" spans="2:6" ht="15.75">
      <c r="B119" s="266"/>
      <c r="F119" s="179"/>
    </row>
    <row r="120" spans="2:6" ht="15.75">
      <c r="B120" s="266"/>
      <c r="F120" s="179"/>
    </row>
    <row r="121" spans="2:6" ht="15.75">
      <c r="B121" s="266"/>
      <c r="F121" s="179"/>
    </row>
    <row r="122" spans="2:6" ht="15.75">
      <c r="B122" s="266"/>
      <c r="F122" s="179"/>
    </row>
    <row r="123" spans="2:6" ht="15.75">
      <c r="B123" s="266"/>
      <c r="F123" s="179"/>
    </row>
    <row r="124" spans="2:6" ht="15.75">
      <c r="B124" s="266"/>
      <c r="F124" s="179"/>
    </row>
    <row r="125" spans="2:6" ht="15.75">
      <c r="B125" s="266"/>
      <c r="F125" s="179"/>
    </row>
    <row r="126" spans="2:6" ht="15.75">
      <c r="B126" s="266"/>
      <c r="F126" s="179"/>
    </row>
    <row r="127" spans="2:6" ht="15.75">
      <c r="B127" s="266"/>
      <c r="F127" s="179"/>
    </row>
    <row r="128" spans="2:6" ht="15.75">
      <c r="B128" s="266"/>
      <c r="F128" s="179"/>
    </row>
    <row r="129" spans="2:6" ht="15.75">
      <c r="B129" s="266"/>
      <c r="F129" s="179"/>
    </row>
    <row r="130" spans="2:6" ht="15.75">
      <c r="B130" s="266"/>
      <c r="F130" s="179"/>
    </row>
    <row r="131" spans="2:6" ht="15.75">
      <c r="B131" s="266"/>
      <c r="F131" s="179"/>
    </row>
    <row r="132" spans="2:6" ht="15.75">
      <c r="B132" s="266"/>
      <c r="F132" s="179"/>
    </row>
    <row r="133" spans="2:6" ht="15.75">
      <c r="B133" s="266"/>
      <c r="F133" s="179"/>
    </row>
    <row r="134" spans="2:6" ht="15.75">
      <c r="B134" s="266"/>
      <c r="F134" s="179"/>
    </row>
    <row r="135" spans="2:6" ht="15.75">
      <c r="B135" s="266"/>
      <c r="F135" s="179"/>
    </row>
    <row r="136" spans="2:6" ht="15.75">
      <c r="B136" s="266"/>
      <c r="F136" s="179"/>
    </row>
    <row r="137" spans="2:6" ht="15.75">
      <c r="B137" s="266"/>
      <c r="F137" s="179"/>
    </row>
    <row r="138" spans="2:6" ht="15.75">
      <c r="B138" s="266"/>
      <c r="F138" s="179"/>
    </row>
    <row r="139" spans="2:6" ht="15.75">
      <c r="B139" s="266"/>
      <c r="F139" s="179"/>
    </row>
    <row r="140" spans="2:6" ht="15.75">
      <c r="B140" s="266"/>
      <c r="F140" s="179"/>
    </row>
    <row r="141" spans="2:6" ht="15.75">
      <c r="B141" s="266"/>
      <c r="F141" s="179"/>
    </row>
    <row r="142" spans="2:6" ht="15.75">
      <c r="B142" s="266"/>
      <c r="F142" s="179"/>
    </row>
    <row r="143" spans="2:6" ht="15.75">
      <c r="B143" s="266"/>
      <c r="F143" s="179"/>
    </row>
    <row r="144" spans="2:6" ht="15.75">
      <c r="B144" s="266"/>
      <c r="F144" s="179"/>
    </row>
    <row r="145" spans="2:6" ht="15.75">
      <c r="B145" s="266"/>
      <c r="F145" s="179"/>
    </row>
    <row r="146" spans="2:6" ht="15.75">
      <c r="B146" s="266"/>
      <c r="F146" s="179"/>
    </row>
    <row r="147" spans="2:6" ht="15.75">
      <c r="B147" s="266"/>
      <c r="F147" s="179"/>
    </row>
    <row r="148" spans="2:6" ht="15.75">
      <c r="B148" s="266"/>
      <c r="F148" s="179"/>
    </row>
    <row r="149" spans="2:6" ht="15.75">
      <c r="B149" s="266"/>
      <c r="F149" s="179"/>
    </row>
    <row r="150" spans="2:6" ht="15.75">
      <c r="B150" s="266"/>
      <c r="F150" s="179"/>
    </row>
    <row r="151" spans="2:6" ht="15.75">
      <c r="B151" s="266"/>
      <c r="F151" s="179"/>
    </row>
    <row r="152" spans="2:6" ht="15.75">
      <c r="B152" s="266"/>
      <c r="F152" s="179"/>
    </row>
    <row r="153" spans="2:6" ht="15.75">
      <c r="B153" s="266"/>
      <c r="F153" s="179"/>
    </row>
    <row r="154" spans="2:6" ht="15.75">
      <c r="B154" s="266"/>
      <c r="F154" s="179"/>
    </row>
    <row r="155" spans="2:6" ht="15.75">
      <c r="B155" s="266"/>
      <c r="F155" s="179"/>
    </row>
    <row r="156" spans="2:6" ht="15.75">
      <c r="B156" s="266"/>
      <c r="F156" s="179"/>
    </row>
    <row r="157" spans="2:6" ht="15.75">
      <c r="B157" s="266"/>
      <c r="F157" s="179"/>
    </row>
    <row r="158" spans="2:6" ht="15.75">
      <c r="B158" s="266"/>
      <c r="F158" s="179"/>
    </row>
    <row r="159" spans="2:6" ht="15.75">
      <c r="B159" s="266"/>
      <c r="F159" s="179"/>
    </row>
    <row r="160" spans="2:6" ht="15.75">
      <c r="B160" s="266"/>
      <c r="F160" s="179"/>
    </row>
    <row r="161" spans="2:6" ht="15.75">
      <c r="B161" s="266"/>
      <c r="F161" s="179"/>
    </row>
    <row r="162" spans="2:6" ht="15.75">
      <c r="B162" s="266"/>
      <c r="F162" s="179"/>
    </row>
    <row r="163" spans="2:6" ht="15.75">
      <c r="B163" s="266"/>
      <c r="F163" s="179"/>
    </row>
    <row r="164" spans="2:6" ht="15.75">
      <c r="B164" s="266"/>
      <c r="F164" s="179"/>
    </row>
    <row r="165" spans="2:6" ht="15.75">
      <c r="B165" s="266"/>
      <c r="F165" s="179"/>
    </row>
    <row r="166" spans="2:6" ht="15.75">
      <c r="B166" s="266"/>
      <c r="F166" s="179"/>
    </row>
    <row r="167" spans="2:6" ht="15.75">
      <c r="B167" s="266"/>
      <c r="F167" s="179"/>
    </row>
    <row r="168" spans="2:6" ht="15.75">
      <c r="B168" s="266"/>
      <c r="F168" s="179"/>
    </row>
    <row r="169" spans="2:6" ht="15.75">
      <c r="F169" s="179"/>
    </row>
    <row r="170" spans="2:6" ht="15.75">
      <c r="F170" s="179"/>
    </row>
    <row r="171" spans="2:6" ht="15.75">
      <c r="F171" s="179"/>
    </row>
    <row r="172" spans="2:6" ht="15.75">
      <c r="F172" s="179"/>
    </row>
    <row r="173" spans="2:6" ht="15.75">
      <c r="F173" s="179"/>
    </row>
    <row r="174" spans="2:6" ht="15.75">
      <c r="F174" s="179"/>
    </row>
    <row r="175" spans="2:6" ht="15.75">
      <c r="F175" s="179"/>
    </row>
    <row r="176" spans="2:6" ht="15.75">
      <c r="F176" s="179"/>
    </row>
    <row r="177" spans="6:6" ht="15.75">
      <c r="F177" s="179"/>
    </row>
    <row r="178" spans="6:6" ht="15.75">
      <c r="F178" s="179"/>
    </row>
    <row r="179" spans="6:6" ht="15.75">
      <c r="F179" s="179"/>
    </row>
    <row r="180" spans="6:6" ht="15.75">
      <c r="F180" s="179"/>
    </row>
    <row r="181" spans="6:6" ht="15.75">
      <c r="F181" s="179"/>
    </row>
    <row r="182" spans="6:6" ht="15.75">
      <c r="F182" s="179"/>
    </row>
    <row r="183" spans="6:6" ht="15.75">
      <c r="F183" s="179"/>
    </row>
    <row r="184" spans="6:6" ht="15.75">
      <c r="F184" s="179"/>
    </row>
    <row r="185" spans="6:6" ht="15.75">
      <c r="F185" s="179"/>
    </row>
    <row r="186" spans="6:6" ht="15.75">
      <c r="F186" s="179"/>
    </row>
    <row r="187" spans="6:6" ht="15.75">
      <c r="F187" s="179"/>
    </row>
    <row r="188" spans="6:6" ht="15.75">
      <c r="F188" s="179"/>
    </row>
    <row r="189" spans="6:6" ht="15.75">
      <c r="F189" s="179"/>
    </row>
    <row r="190" spans="6:6" ht="15.75">
      <c r="F190" s="179"/>
    </row>
    <row r="191" spans="6:6" ht="15.75">
      <c r="F191" s="179"/>
    </row>
    <row r="192" spans="6:6" ht="15.75">
      <c r="F192" s="179"/>
    </row>
    <row r="193" spans="6:6" ht="15.75">
      <c r="F193" s="179"/>
    </row>
    <row r="194" spans="6:6" ht="15.75">
      <c r="F194" s="179"/>
    </row>
    <row r="195" spans="6:6" ht="15.75">
      <c r="F195" s="179"/>
    </row>
    <row r="196" spans="6:6" ht="15.75">
      <c r="F196" s="179"/>
    </row>
    <row r="197" spans="6:6" ht="15.75">
      <c r="F197" s="179"/>
    </row>
    <row r="198" spans="6:6" ht="15.75">
      <c r="F198" s="179"/>
    </row>
    <row r="199" spans="6:6" ht="15.75">
      <c r="F199" s="179"/>
    </row>
    <row r="200" spans="6:6" ht="15.75">
      <c r="F200" s="179"/>
    </row>
    <row r="201" spans="6:6" ht="15.75">
      <c r="F201" s="179"/>
    </row>
    <row r="202" spans="6:6" ht="15.75">
      <c r="F202" s="179"/>
    </row>
    <row r="203" spans="6:6" ht="15.75">
      <c r="F203" s="179"/>
    </row>
    <row r="204" spans="6:6" ht="15.75">
      <c r="F204" s="179"/>
    </row>
    <row r="205" spans="6:6" ht="15.75">
      <c r="F205" s="179"/>
    </row>
    <row r="206" spans="6:6" ht="15.75">
      <c r="F206" s="179"/>
    </row>
    <row r="207" spans="6:6" ht="15.75">
      <c r="F207" s="179"/>
    </row>
    <row r="208" spans="6:6" ht="15.75">
      <c r="F208" s="179"/>
    </row>
    <row r="209" spans="6:6" ht="15.75">
      <c r="F209" s="179"/>
    </row>
    <row r="210" spans="6:6" ht="15.75">
      <c r="F210" s="179"/>
    </row>
    <row r="211" spans="6:6" ht="15.75">
      <c r="F211" s="179"/>
    </row>
    <row r="212" spans="6:6" ht="15.75">
      <c r="F212" s="179"/>
    </row>
    <row r="213" spans="6:6" ht="15.75">
      <c r="F213" s="179"/>
    </row>
    <row r="214" spans="6:6" ht="15.75">
      <c r="F214" s="179"/>
    </row>
    <row r="215" spans="6:6" ht="15.75">
      <c r="F215" s="179"/>
    </row>
    <row r="216" spans="6:6" ht="15.75">
      <c r="F216" s="179"/>
    </row>
    <row r="217" spans="6:6" ht="15.75">
      <c r="F217" s="179"/>
    </row>
    <row r="218" spans="6:6" ht="15.75">
      <c r="F218" s="179"/>
    </row>
    <row r="219" spans="6:6" ht="15.75">
      <c r="F219" s="179"/>
    </row>
    <row r="220" spans="6:6" ht="15.75">
      <c r="F220" s="179"/>
    </row>
    <row r="221" spans="6:6" ht="15.75">
      <c r="F221" s="179"/>
    </row>
    <row r="222" spans="6:6" ht="15.75">
      <c r="F222" s="179"/>
    </row>
    <row r="223" spans="6:6" ht="15.75">
      <c r="F223" s="179"/>
    </row>
    <row r="224" spans="6:6" ht="15.75">
      <c r="F224" s="179"/>
    </row>
    <row r="225" spans="6:6" ht="15.75">
      <c r="F225" s="179"/>
    </row>
    <row r="226" spans="6:6" ht="15.75">
      <c r="F226" s="179"/>
    </row>
    <row r="227" spans="6:6" ht="15.75">
      <c r="F227" s="179"/>
    </row>
    <row r="228" spans="6:6" ht="15.75">
      <c r="F228" s="179"/>
    </row>
    <row r="229" spans="6:6" ht="15.75">
      <c r="F229" s="179"/>
    </row>
    <row r="230" spans="6:6" ht="15.75">
      <c r="F230" s="179"/>
    </row>
    <row r="231" spans="6:6" ht="15.75">
      <c r="F231" s="179"/>
    </row>
    <row r="232" spans="6:6" ht="15.75">
      <c r="F232" s="179"/>
    </row>
    <row r="233" spans="6:6" ht="15.75">
      <c r="F233" s="179"/>
    </row>
    <row r="234" spans="6:6" ht="15.75">
      <c r="F234" s="179"/>
    </row>
    <row r="235" spans="6:6" ht="15.75">
      <c r="F235" s="179"/>
    </row>
    <row r="236" spans="6:6" ht="15.75">
      <c r="F236" s="179"/>
    </row>
    <row r="237" spans="6:6" ht="15.75">
      <c r="F237" s="179"/>
    </row>
    <row r="238" spans="6:6" ht="15.75">
      <c r="F238" s="179"/>
    </row>
    <row r="239" spans="6:6" ht="15.75">
      <c r="F239" s="179"/>
    </row>
    <row r="240" spans="6:6" ht="15.75">
      <c r="F240" s="179"/>
    </row>
    <row r="241" spans="6:6" ht="15.75">
      <c r="F241" s="179"/>
    </row>
    <row r="242" spans="6:6" ht="15.75">
      <c r="F242" s="179"/>
    </row>
    <row r="243" spans="6:6" ht="15.75">
      <c r="F243" s="179"/>
    </row>
    <row r="244" spans="6:6" ht="15.75">
      <c r="F244" s="179"/>
    </row>
    <row r="245" spans="6:6" ht="15.75">
      <c r="F245" s="179"/>
    </row>
    <row r="246" spans="6:6" ht="15.75">
      <c r="F246" s="179"/>
    </row>
    <row r="247" spans="6:6" ht="15.75">
      <c r="F247" s="179"/>
    </row>
    <row r="248" spans="6:6" ht="15.75">
      <c r="F248" s="179"/>
    </row>
    <row r="249" spans="6:6" ht="15.75">
      <c r="F249" s="179"/>
    </row>
    <row r="250" spans="6:6" ht="15.75">
      <c r="F250" s="179"/>
    </row>
    <row r="251" spans="6:6" ht="15.75">
      <c r="F251" s="179"/>
    </row>
    <row r="252" spans="6:6" ht="15.75">
      <c r="F252" s="179"/>
    </row>
    <row r="253" spans="6:6" ht="15.75">
      <c r="F253" s="179"/>
    </row>
    <row r="254" spans="6:6" ht="15.75">
      <c r="F254" s="179"/>
    </row>
    <row r="255" spans="6:6" ht="15.75">
      <c r="F255" s="179"/>
    </row>
    <row r="256" spans="6:6" ht="15.75">
      <c r="F256" s="179"/>
    </row>
    <row r="257" spans="6:6" ht="15.75">
      <c r="F257" s="179"/>
    </row>
    <row r="258" spans="6:6" ht="15.75">
      <c r="F258" s="179"/>
    </row>
    <row r="259" spans="6:6" ht="15.75">
      <c r="F259" s="179"/>
    </row>
    <row r="260" spans="6:6" ht="15.75">
      <c r="F260" s="179"/>
    </row>
    <row r="261" spans="6:6" ht="15.75">
      <c r="F261" s="179"/>
    </row>
    <row r="262" spans="6:6" ht="15.75">
      <c r="F262" s="179"/>
    </row>
    <row r="263" spans="6:6" ht="15.75">
      <c r="F263" s="179"/>
    </row>
    <row r="264" spans="6:6" ht="15.75">
      <c r="F264" s="179"/>
    </row>
    <row r="265" spans="6:6" ht="15.75">
      <c r="F265" s="179"/>
    </row>
    <row r="266" spans="6:6" ht="15.75">
      <c r="F266" s="179"/>
    </row>
    <row r="267" spans="6:6" ht="15.75">
      <c r="F267" s="179"/>
    </row>
    <row r="268" spans="6:6" ht="15.75">
      <c r="F268" s="179"/>
    </row>
    <row r="269" spans="6:6" ht="15.75">
      <c r="F269" s="179"/>
    </row>
    <row r="270" spans="6:6" ht="15.75">
      <c r="F270" s="179"/>
    </row>
    <row r="271" spans="6:6" ht="15.75">
      <c r="F271" s="179"/>
    </row>
    <row r="272" spans="6:6" ht="15.75">
      <c r="F272" s="179"/>
    </row>
    <row r="273" spans="6:6" ht="15.75">
      <c r="F273" s="179"/>
    </row>
    <row r="274" spans="6:6" ht="15.75">
      <c r="F274" s="179"/>
    </row>
    <row r="275" spans="6:6" ht="15.75">
      <c r="F275" s="179"/>
    </row>
    <row r="276" spans="6:6" ht="15.75">
      <c r="F276" s="179"/>
    </row>
    <row r="277" spans="6:6" ht="15.75">
      <c r="F277" s="179"/>
    </row>
    <row r="278" spans="6:6" ht="15.75">
      <c r="F278" s="179"/>
    </row>
    <row r="279" spans="6:6" ht="15.75">
      <c r="F279" s="179"/>
    </row>
    <row r="280" spans="6:6" ht="15.75">
      <c r="F280" s="179"/>
    </row>
    <row r="281" spans="6:6" ht="15.75">
      <c r="F281" s="179"/>
    </row>
    <row r="282" spans="6:6" ht="15.75">
      <c r="F282" s="179"/>
    </row>
    <row r="283" spans="6:6" ht="15.75">
      <c r="F283" s="179"/>
    </row>
    <row r="284" spans="6:6" ht="15.75">
      <c r="F284" s="179"/>
    </row>
    <row r="285" spans="6:6" ht="15.75">
      <c r="F285" s="179"/>
    </row>
    <row r="286" spans="6:6" ht="15.75">
      <c r="F286" s="179"/>
    </row>
    <row r="287" spans="6:6" ht="15.75">
      <c r="F287" s="179"/>
    </row>
    <row r="288" spans="6:6" ht="15.75">
      <c r="F288" s="179"/>
    </row>
    <row r="289" spans="6:6" ht="15.75">
      <c r="F289" s="179"/>
    </row>
    <row r="290" spans="6:6" ht="15.75">
      <c r="F290" s="179"/>
    </row>
    <row r="291" spans="6:6" ht="15.75">
      <c r="F291" s="179"/>
    </row>
    <row r="292" spans="6:6" ht="15.75">
      <c r="F292" s="179"/>
    </row>
    <row r="293" spans="6:6" ht="15.75">
      <c r="F293" s="179"/>
    </row>
    <row r="294" spans="6:6" ht="15.75">
      <c r="F294" s="179"/>
    </row>
    <row r="295" spans="6:6" ht="15.75">
      <c r="F295" s="179"/>
    </row>
    <row r="296" spans="6:6" ht="15.75">
      <c r="F296" s="179"/>
    </row>
    <row r="297" spans="6:6" ht="15.75">
      <c r="F297" s="179"/>
    </row>
    <row r="298" spans="6:6" ht="15.75">
      <c r="F298" s="179"/>
    </row>
    <row r="299" spans="6:6" ht="15.75">
      <c r="F299" s="179"/>
    </row>
    <row r="300" spans="6:6" ht="15.75">
      <c r="F300" s="179"/>
    </row>
    <row r="301" spans="6:6" ht="15.75">
      <c r="F301" s="179"/>
    </row>
    <row r="302" spans="6:6" ht="15.75">
      <c r="F302" s="179"/>
    </row>
    <row r="303" spans="6:6" ht="15.75">
      <c r="F303" s="179"/>
    </row>
    <row r="304" spans="6:6" ht="15.75">
      <c r="F304" s="179"/>
    </row>
    <row r="305" spans="6:6" ht="15.75">
      <c r="F305" s="179"/>
    </row>
    <row r="306" spans="6:6" ht="15.75">
      <c r="F306" s="179"/>
    </row>
    <row r="307" spans="6:6" ht="15.75">
      <c r="F307" s="179"/>
    </row>
    <row r="308" spans="6:6" ht="15.75">
      <c r="F308" s="179"/>
    </row>
    <row r="309" spans="6:6" ht="15.75">
      <c r="F309" s="179"/>
    </row>
    <row r="310" spans="6:6" ht="15.75">
      <c r="F310" s="179"/>
    </row>
    <row r="311" spans="6:6" ht="15.75">
      <c r="F311" s="179"/>
    </row>
    <row r="312" spans="6:6" ht="15.75">
      <c r="F312" s="179"/>
    </row>
    <row r="313" spans="6:6" ht="15.75">
      <c r="F313" s="179"/>
    </row>
    <row r="314" spans="6:6" ht="15.75">
      <c r="F314" s="179"/>
    </row>
    <row r="315" spans="6:6" ht="15.75">
      <c r="F315" s="179"/>
    </row>
    <row r="316" spans="6:6" ht="15.75">
      <c r="F316" s="179"/>
    </row>
    <row r="317" spans="6:6" ht="15.75">
      <c r="F317" s="179"/>
    </row>
    <row r="318" spans="6:6" ht="15.75">
      <c r="F318" s="179"/>
    </row>
    <row r="319" spans="6:6" ht="15.75">
      <c r="F319" s="179"/>
    </row>
    <row r="320" spans="6:6" ht="15.75">
      <c r="F320" s="179"/>
    </row>
    <row r="321" spans="6:6" ht="15.75">
      <c r="F321" s="179"/>
    </row>
    <row r="322" spans="6:6" ht="15.75">
      <c r="F322" s="179"/>
    </row>
    <row r="323" spans="6:6" ht="15.75">
      <c r="F323" s="179"/>
    </row>
    <row r="324" spans="6:6" ht="15.75">
      <c r="F324" s="179"/>
    </row>
    <row r="325" spans="6:6" ht="15.75">
      <c r="F325" s="179"/>
    </row>
    <row r="326" spans="6:6" ht="15.75">
      <c r="F326" s="179"/>
    </row>
    <row r="327" spans="6:6" ht="15.75">
      <c r="F327" s="179"/>
    </row>
    <row r="328" spans="6:6" ht="15.75">
      <c r="F328" s="179"/>
    </row>
    <row r="329" spans="6:6" ht="15.75">
      <c r="F329" s="179"/>
    </row>
    <row r="330" spans="6:6" ht="15.75">
      <c r="F330" s="179"/>
    </row>
    <row r="331" spans="6:6" ht="15.75">
      <c r="F331" s="179"/>
    </row>
    <row r="332" spans="6:6" ht="15.75">
      <c r="F332" s="179"/>
    </row>
    <row r="333" spans="6:6" ht="15.75">
      <c r="F333" s="179"/>
    </row>
    <row r="334" spans="6:6" ht="15.75">
      <c r="F334" s="179"/>
    </row>
    <row r="335" spans="6:6" ht="15.75">
      <c r="F335" s="179"/>
    </row>
    <row r="336" spans="6:6" ht="15.75">
      <c r="F336" s="179"/>
    </row>
    <row r="337" spans="6:6" ht="15.75">
      <c r="F337" s="179"/>
    </row>
    <row r="338" spans="6:6" ht="15.75">
      <c r="F338" s="179"/>
    </row>
    <row r="339" spans="6:6" ht="15.75">
      <c r="F339" s="179"/>
    </row>
    <row r="340" spans="6:6" ht="15.75">
      <c r="F340" s="179"/>
    </row>
    <row r="341" spans="6:6" ht="15.75">
      <c r="F341" s="179"/>
    </row>
    <row r="342" spans="6:6" ht="15.75">
      <c r="F342" s="179"/>
    </row>
    <row r="343" spans="6:6" ht="15.75">
      <c r="F343" s="179"/>
    </row>
    <row r="344" spans="6:6" ht="15.75">
      <c r="F344" s="179"/>
    </row>
    <row r="345" spans="6:6" ht="15.75">
      <c r="F345" s="179"/>
    </row>
    <row r="346" spans="6:6" ht="15.75">
      <c r="F346" s="179"/>
    </row>
    <row r="347" spans="6:6" ht="15.75">
      <c r="F347" s="179"/>
    </row>
    <row r="348" spans="6:6" ht="15.75">
      <c r="F348" s="179"/>
    </row>
    <row r="349" spans="6:6" ht="15.75">
      <c r="F349" s="179"/>
    </row>
    <row r="350" spans="6:6" ht="15.75">
      <c r="F350" s="179"/>
    </row>
    <row r="351" spans="6:6" ht="15.75">
      <c r="F351" s="179"/>
    </row>
    <row r="352" spans="6:6" ht="15.75">
      <c r="F352" s="179"/>
    </row>
    <row r="353" spans="6:6" ht="15.75">
      <c r="F353" s="179"/>
    </row>
    <row r="354" spans="6:6" ht="15.75">
      <c r="F354" s="179"/>
    </row>
    <row r="355" spans="6:6" ht="15.75">
      <c r="F355" s="179"/>
    </row>
    <row r="356" spans="6:6" ht="15.75">
      <c r="F356" s="179"/>
    </row>
    <row r="357" spans="6:6" ht="15.75">
      <c r="F357" s="179"/>
    </row>
    <row r="358" spans="6:6" ht="15.75">
      <c r="F358" s="179"/>
    </row>
    <row r="359" spans="6:6" ht="15.75">
      <c r="F359" s="179"/>
    </row>
    <row r="360" spans="6:6" ht="15.75">
      <c r="F360" s="179"/>
    </row>
    <row r="361" spans="6:6" ht="15.75">
      <c r="F361" s="179"/>
    </row>
    <row r="362" spans="6:6" ht="15.75">
      <c r="F362" s="179"/>
    </row>
    <row r="363" spans="6:6" ht="15.75">
      <c r="F363" s="179"/>
    </row>
    <row r="364" spans="6:6" ht="15.75">
      <c r="F364" s="179"/>
    </row>
    <row r="365" spans="6:6" ht="15.75">
      <c r="F365" s="179"/>
    </row>
    <row r="366" spans="6:6" ht="15.75">
      <c r="F366" s="179"/>
    </row>
    <row r="367" spans="6:6" ht="15.75">
      <c r="F367" s="179"/>
    </row>
    <row r="368" spans="6:6" ht="15.75">
      <c r="F368" s="179"/>
    </row>
    <row r="369" spans="6:6" ht="15.75">
      <c r="F369" s="179"/>
    </row>
    <row r="370" spans="6:6" ht="15.75">
      <c r="F370" s="179"/>
    </row>
    <row r="371" spans="6:6" ht="15.75">
      <c r="F371" s="179"/>
    </row>
    <row r="372" spans="6:6" ht="15.75">
      <c r="F372" s="179"/>
    </row>
    <row r="373" spans="6:6" ht="15.75">
      <c r="F373" s="179"/>
    </row>
    <row r="374" spans="6:6" ht="15.75">
      <c r="F374" s="179"/>
    </row>
    <row r="375" spans="6:6" ht="15.75">
      <c r="F375" s="179"/>
    </row>
    <row r="376" spans="6:6" ht="15.75">
      <c r="F376" s="179"/>
    </row>
    <row r="377" spans="6:6" ht="15.75">
      <c r="F377" s="179"/>
    </row>
    <row r="378" spans="6:6" ht="15.75">
      <c r="F378" s="179"/>
    </row>
    <row r="379" spans="6:6" ht="15.75">
      <c r="F379" s="179"/>
    </row>
    <row r="380" spans="6:6" ht="15.75">
      <c r="F380" s="179"/>
    </row>
    <row r="381" spans="6:6" ht="15.75">
      <c r="F381" s="179"/>
    </row>
    <row r="382" spans="6:6" ht="15.75">
      <c r="F382" s="179"/>
    </row>
    <row r="383" spans="6:6" ht="15.75">
      <c r="F383" s="179"/>
    </row>
    <row r="384" spans="6:6" ht="15.75">
      <c r="F384" s="179"/>
    </row>
    <row r="385" spans="6:6" ht="15.75">
      <c r="F385" s="179"/>
    </row>
    <row r="386" spans="6:6" ht="15.75">
      <c r="F386" s="179"/>
    </row>
    <row r="387" spans="6:6" ht="15.75">
      <c r="F387" s="179"/>
    </row>
    <row r="388" spans="6:6" ht="15.75">
      <c r="F388" s="179"/>
    </row>
    <row r="389" spans="6:6" ht="15.75">
      <c r="F389" s="179"/>
    </row>
    <row r="390" spans="6:6" ht="15.75">
      <c r="F390" s="179"/>
    </row>
    <row r="391" spans="6:6" ht="15.75">
      <c r="F391" s="179"/>
    </row>
    <row r="392" spans="6:6" ht="15.75">
      <c r="F392" s="179"/>
    </row>
    <row r="393" spans="6:6" ht="15.75">
      <c r="F393" s="179"/>
    </row>
    <row r="394" spans="6:6" ht="15.75">
      <c r="F394" s="179"/>
    </row>
    <row r="395" spans="6:6" ht="15.75">
      <c r="F395" s="179"/>
    </row>
    <row r="396" spans="6:6" ht="15.75">
      <c r="F396" s="179"/>
    </row>
    <row r="397" spans="6:6" ht="15.75">
      <c r="F397" s="179"/>
    </row>
    <row r="398" spans="6:6" ht="15.75">
      <c r="F398" s="179"/>
    </row>
    <row r="399" spans="6:6" ht="15.75">
      <c r="F399" s="179"/>
    </row>
    <row r="400" spans="6:6" ht="15.75">
      <c r="F400" s="179"/>
    </row>
    <row r="401" spans="6:6" ht="15.75">
      <c r="F401" s="179"/>
    </row>
    <row r="402" spans="6:6" ht="15.75">
      <c r="F402" s="179"/>
    </row>
    <row r="403" spans="6:6" ht="15.75">
      <c r="F403" s="179"/>
    </row>
    <row r="404" spans="6:6" ht="15.75">
      <c r="F404" s="179"/>
    </row>
    <row r="405" spans="6:6" ht="15.75">
      <c r="F405" s="179"/>
    </row>
    <row r="406" spans="6:6" ht="15.75">
      <c r="F406" s="179"/>
    </row>
    <row r="407" spans="6:6" ht="15.75">
      <c r="F407" s="179"/>
    </row>
    <row r="408" spans="6:6" ht="15.75">
      <c r="F408" s="179"/>
    </row>
    <row r="409" spans="6:6" ht="15.75">
      <c r="F409" s="179"/>
    </row>
    <row r="410" spans="6:6" ht="15.75">
      <c r="F410" s="179"/>
    </row>
    <row r="411" spans="6:6" ht="15.75">
      <c r="F411" s="179"/>
    </row>
    <row r="412" spans="6:6" ht="15.75">
      <c r="F412" s="179"/>
    </row>
    <row r="413" spans="6:6" ht="15.75">
      <c r="F413" s="179"/>
    </row>
    <row r="414" spans="6:6" ht="15.75">
      <c r="F414" s="179"/>
    </row>
    <row r="415" spans="6:6" ht="15.75">
      <c r="F415" s="179"/>
    </row>
    <row r="416" spans="6:6" ht="15.75">
      <c r="F416" s="179"/>
    </row>
    <row r="417" spans="6:6" ht="15.75">
      <c r="F417" s="179"/>
    </row>
  </sheetData>
  <sheetProtection formatCells="0" formatColumns="0" formatRows="0" insertColumns="0" insertRows="0" insertHyperlinks="0" deleteColumns="0" deleteRows="0" sort="0" autoFilter="0" pivotTables="0"/>
  <sortState xmlns:xlrd2="http://schemas.microsoft.com/office/spreadsheetml/2017/richdata2" ref="B11:E11">
    <sortCondition ref="B12"/>
  </sortState>
  <phoneticPr fontId="49" type="noConversion"/>
  <dataValidations count="3">
    <dataValidation type="list" allowBlank="1" showInputMessage="1" showErrorMessage="1" errorTitle="Invalid  unit!" error="Weight unit must be kg or lb (lower case)." promptTitle="Weight Unit" sqref="C5" xr:uid="{0450B8D8-B5C7-4915-8494-9C0B98934A48}">
      <formula1>"kg,lb"</formula1>
    </dataValidation>
    <dataValidation type="decimal" operator="greaterThan" allowBlank="1" showInputMessage="1" showErrorMessage="1" errorTitle="Invalid number!" error="Weight must be a positive number" promptTitle="Actual Weight" sqref="B5 B6:E6 A6:A10 B7:B8 C7:E10" xr:uid="{DD9BD64F-47CF-459E-B663-974B9540CC1D}">
      <formula1>0</formula1>
    </dataValidation>
    <dataValidation type="date" operator="greaterThanOrEqual" allowBlank="1" showInputMessage="1" showErrorMessage="1" errorTitle="Invalid Date!" error="Date format should be mm/dd/yy and greater than 01/01/1900" promptTitle="Date Format" prompt="mm/dd/yy" sqref="B9" xr:uid="{674400FF-02B1-4AF2-A699-DEE1EACEC454}">
      <formula1>1</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36" r:id="rId4" name="AddWeightButtom">
              <controlPr defaultSize="0" autoFill="0" autoPict="0" macro="[0]!AddWeight" altText="Add Weight">
                <anchor moveWithCells="1">
                  <from>
                    <xdr:col>2</xdr:col>
                    <xdr:colOff>276225</xdr:colOff>
                    <xdr:row>8</xdr:row>
                    <xdr:rowOff>9525</xdr:rowOff>
                  </from>
                  <to>
                    <xdr:col>2</xdr:col>
                    <xdr:colOff>457200</xdr:colOff>
                    <xdr:row>8</xdr:row>
                    <xdr:rowOff>190500</xdr:rowOff>
                  </to>
                </anchor>
              </controlPr>
            </control>
          </mc:Choice>
        </mc:AlternateContent>
      </controls>
    </mc:Choice>
  </mc:AlternateContent>
  <tableParts count="1">
    <tablePart r:id="rId5"/>
  </tableParts>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6F0C-F9FB-4B73-91F6-16874FCBF99E}">
  <sheetPr codeName="Sheet8"/>
  <dimension ref="A1:JX338"/>
  <sheetViews>
    <sheetView showGridLines="0" showRowColHeaders="0" workbookViewId="0">
      <pane ySplit="5" topLeftCell="A6" activePane="bottomLeft" state="frozen"/>
      <selection pane="bottomLeft" activeCell="B6" sqref="B6"/>
    </sheetView>
  </sheetViews>
  <sheetFormatPr defaultColWidth="0" defaultRowHeight="15.75"/>
  <cols>
    <col min="1" max="1" width="1.7109375" style="183" customWidth="1"/>
    <col min="2" max="2" width="10" style="183" customWidth="1"/>
    <col min="3" max="3" width="9.42578125" style="183" customWidth="1"/>
    <col min="4" max="4" width="8.85546875" style="183" customWidth="1"/>
    <col min="5" max="5" width="9.28515625" style="183" bestFit="1" customWidth="1"/>
    <col min="6" max="6" width="8.28515625" style="183" bestFit="1" customWidth="1"/>
    <col min="7" max="7" width="6" style="183" bestFit="1" customWidth="1"/>
    <col min="8" max="8" width="6.42578125" style="183" bestFit="1" customWidth="1"/>
    <col min="9" max="9" width="5.7109375" style="183" bestFit="1" customWidth="1"/>
    <col min="10" max="10" width="8.5703125" style="183" bestFit="1" customWidth="1"/>
    <col min="11" max="11" width="6.42578125" style="183" bestFit="1" customWidth="1"/>
    <col min="12" max="12" width="7.85546875" style="183" bestFit="1" customWidth="1"/>
    <col min="13" max="13" width="8.5703125" style="183" customWidth="1"/>
    <col min="14" max="14" width="11.42578125" style="183" bestFit="1" customWidth="1"/>
    <col min="15" max="15" width="9" style="183" customWidth="1"/>
    <col min="16" max="16" width="7" style="183" customWidth="1"/>
    <col min="17" max="17" width="8.28515625" style="183" bestFit="1" customWidth="1"/>
    <col min="18" max="18" width="9.28515625" style="183" bestFit="1" customWidth="1"/>
    <col min="19" max="19" width="6.42578125" style="183" bestFit="1" customWidth="1"/>
    <col min="20" max="20" width="5.85546875" style="183" customWidth="1"/>
    <col min="21" max="21" width="8.5703125" style="183" bestFit="1" customWidth="1"/>
    <col min="22" max="22" width="6.42578125" style="183" bestFit="1" customWidth="1"/>
    <col min="23" max="23" width="8.140625" style="183" customWidth="1"/>
    <col min="24" max="24" width="9" style="183" customWidth="1"/>
    <col min="25" max="27" width="10.7109375" style="183" customWidth="1"/>
    <col min="28" max="28" width="10.42578125" style="183" customWidth="1"/>
    <col min="29" max="30" width="10.7109375" style="183" customWidth="1"/>
    <col min="31" max="34" width="8.7109375" style="183" customWidth="1"/>
    <col min="35" max="36" width="8.7109375" style="183" hidden="1" customWidth="1"/>
    <col min="37" max="37" width="7.5703125" style="183" hidden="1" customWidth="1"/>
    <col min="38" max="38" width="12.5703125" style="183" hidden="1" customWidth="1"/>
    <col min="39" max="39" width="12.85546875" style="183" hidden="1" customWidth="1"/>
    <col min="40" max="40" width="10.28515625" style="183" hidden="1" customWidth="1"/>
    <col min="41" max="41" width="22.7109375" style="183" hidden="1" customWidth="1"/>
    <col min="42" max="42" width="13.7109375" style="183" hidden="1" customWidth="1"/>
    <col min="43" max="43" width="11.7109375" style="183" hidden="1" customWidth="1"/>
    <col min="44" max="44" width="16.140625" style="183" hidden="1" customWidth="1"/>
    <col min="45" max="45" width="20.140625" style="183" hidden="1" customWidth="1"/>
    <col min="46" max="46" width="18" style="183" hidden="1" customWidth="1"/>
    <col min="47" max="47" width="16.7109375" style="183" hidden="1" customWidth="1"/>
    <col min="48" max="48" width="16.42578125" style="183" hidden="1" customWidth="1"/>
    <col min="49" max="49" width="20.28515625" style="183" hidden="1" customWidth="1"/>
    <col min="50" max="50" width="23" style="183" hidden="1" customWidth="1"/>
    <col min="51" max="51" width="16.42578125" style="183" hidden="1" customWidth="1"/>
    <col min="52" max="52" width="15.140625" style="183" hidden="1" customWidth="1"/>
    <col min="53" max="53" width="11.7109375" style="183" hidden="1" customWidth="1"/>
    <col min="54" max="54" width="14.7109375" style="183" hidden="1" customWidth="1"/>
    <col min="55" max="55" width="15.85546875" style="183" hidden="1" customWidth="1"/>
    <col min="56" max="56" width="12.85546875" style="183" hidden="1" customWidth="1"/>
    <col min="57" max="57" width="16.7109375" style="183" hidden="1" customWidth="1"/>
    <col min="58" max="58" width="15" style="183" hidden="1" customWidth="1"/>
    <col min="59" max="59" width="12.85546875" style="183" hidden="1" customWidth="1"/>
    <col min="60" max="60" width="6.42578125" style="183" hidden="1" customWidth="1"/>
    <col min="61" max="61" width="6.5703125" style="183" hidden="1" customWidth="1"/>
    <col min="62" max="62" width="5.28515625" style="183" hidden="1" customWidth="1"/>
    <col min="63" max="63" width="12.5703125" style="183" hidden="1" customWidth="1"/>
    <col min="64" max="64" width="22.7109375" style="183" hidden="1" customWidth="1"/>
    <col min="65" max="65" width="14" style="183" hidden="1" customWidth="1"/>
    <col min="66" max="66" width="11.5703125" style="183" hidden="1" customWidth="1"/>
    <col min="67" max="67" width="15.85546875" style="183" hidden="1" customWidth="1"/>
    <col min="68" max="68" width="20" style="183" hidden="1" customWidth="1"/>
    <col min="69" max="69" width="17.7109375" style="183" hidden="1" customWidth="1"/>
    <col min="70" max="70" width="16.5703125" style="183" hidden="1" customWidth="1"/>
    <col min="71" max="71" width="16.7109375" style="183" hidden="1" customWidth="1"/>
    <col min="72" max="72" width="20.5703125" style="183" hidden="1" customWidth="1"/>
    <col min="73" max="73" width="23.140625" style="183" hidden="1" customWidth="1"/>
    <col min="74" max="74" width="16.85546875" style="183" hidden="1" customWidth="1"/>
    <col min="75" max="75" width="15.140625" style="183" hidden="1" customWidth="1"/>
    <col min="76" max="76" width="12" style="183" hidden="1" customWidth="1"/>
    <col min="77" max="77" width="14.7109375" style="183" hidden="1" customWidth="1"/>
    <col min="78" max="78" width="16" style="183" hidden="1" customWidth="1"/>
    <col min="79" max="79" width="13.140625" style="183" hidden="1" customWidth="1"/>
    <col min="80" max="80" width="17" style="183" hidden="1" customWidth="1"/>
    <col min="81" max="81" width="15.140625" style="183" hidden="1" customWidth="1"/>
    <col min="82" max="82" width="13.28515625" style="183" hidden="1" customWidth="1"/>
    <col min="83" max="83" width="6.28515625" style="183" hidden="1" customWidth="1"/>
    <col min="84" max="84" width="6.85546875" style="183" hidden="1" customWidth="1"/>
    <col min="85" max="85" width="5.28515625" style="183" hidden="1" customWidth="1"/>
    <col min="86" max="86" width="12.5703125" style="183" hidden="1" customWidth="1"/>
    <col min="87" max="87" width="22.7109375" style="183" hidden="1" customWidth="1"/>
    <col min="88" max="88" width="14" style="183" hidden="1" customWidth="1"/>
    <col min="89" max="89" width="11.5703125" style="183" hidden="1" customWidth="1"/>
    <col min="90" max="90" width="15.85546875" style="183" hidden="1" customWidth="1"/>
    <col min="91" max="91" width="20" style="183" hidden="1" customWidth="1"/>
    <col min="92" max="92" width="17.7109375" style="183" hidden="1" customWidth="1"/>
    <col min="93" max="93" width="16.5703125" style="183" hidden="1" customWidth="1"/>
    <col min="94" max="94" width="16.7109375" style="183" hidden="1" customWidth="1"/>
    <col min="95" max="95" width="20.5703125" style="183" hidden="1" customWidth="1"/>
    <col min="96" max="96" width="23.140625" style="183" hidden="1" customWidth="1"/>
    <col min="97" max="97" width="16.85546875" style="183" hidden="1" customWidth="1"/>
    <col min="98" max="98" width="15.140625" style="183" hidden="1" customWidth="1"/>
    <col min="99" max="99" width="12" style="183" hidden="1" customWidth="1"/>
    <col min="100" max="100" width="14.7109375" style="183" hidden="1" customWidth="1"/>
    <col min="101" max="101" width="16" style="183" hidden="1" customWidth="1"/>
    <col min="102" max="102" width="13.140625" style="183" hidden="1" customWidth="1"/>
    <col min="103" max="103" width="17" style="183" hidden="1" customWidth="1"/>
    <col min="104" max="104" width="15.140625" style="183" hidden="1" customWidth="1"/>
    <col min="105" max="105" width="13.28515625" style="183" hidden="1" customWidth="1"/>
    <col min="106" max="106" width="6.28515625" style="183" hidden="1" customWidth="1"/>
    <col min="107" max="107" width="6.85546875" style="183" hidden="1" customWidth="1"/>
    <col min="108" max="108" width="5.28515625" style="183" hidden="1" customWidth="1"/>
    <col min="109" max="109" width="12.5703125" style="183" hidden="1" customWidth="1"/>
    <col min="110" max="110" width="22.7109375" style="183" hidden="1" customWidth="1"/>
    <col min="111" max="111" width="14" style="183" hidden="1" customWidth="1"/>
    <col min="112" max="112" width="11.5703125" style="183" hidden="1" customWidth="1"/>
    <col min="113" max="113" width="15.85546875" style="183" hidden="1" customWidth="1"/>
    <col min="114" max="114" width="20" style="183" hidden="1" customWidth="1"/>
    <col min="115" max="115" width="17.7109375" style="183" hidden="1" customWidth="1"/>
    <col min="116" max="116" width="16.5703125" style="183" hidden="1" customWidth="1"/>
    <col min="117" max="117" width="16.7109375" style="183" hidden="1" customWidth="1"/>
    <col min="118" max="118" width="20.5703125" style="183" hidden="1" customWidth="1"/>
    <col min="119" max="119" width="23.140625" style="183" hidden="1" customWidth="1"/>
    <col min="120" max="120" width="16.85546875" style="183" hidden="1" customWidth="1"/>
    <col min="121" max="121" width="15.140625" style="183" hidden="1" customWidth="1"/>
    <col min="122" max="122" width="12" style="183" hidden="1" customWidth="1"/>
    <col min="123" max="123" width="14.7109375" style="183" hidden="1" customWidth="1"/>
    <col min="124" max="124" width="16" style="183" hidden="1" customWidth="1"/>
    <col min="125" max="125" width="13.140625" style="183" hidden="1" customWidth="1"/>
    <col min="126" max="126" width="17" style="183" hidden="1" customWidth="1"/>
    <col min="127" max="127" width="15.140625" style="183" hidden="1" customWidth="1"/>
    <col min="128" max="128" width="13.28515625" style="183" hidden="1" customWidth="1"/>
    <col min="129" max="129" width="6.28515625" style="183" hidden="1" customWidth="1"/>
    <col min="130" max="130" width="6.85546875" style="183" hidden="1" customWidth="1"/>
    <col min="131" max="131" width="5.28515625" style="183" hidden="1" customWidth="1"/>
    <col min="132" max="132" width="12.5703125" style="183" hidden="1" customWidth="1"/>
    <col min="133" max="133" width="22.7109375" style="183" hidden="1" customWidth="1"/>
    <col min="134" max="134" width="14" style="183" hidden="1" customWidth="1"/>
    <col min="135" max="135" width="11.5703125" style="183" hidden="1" customWidth="1"/>
    <col min="136" max="136" width="15.85546875" style="183" hidden="1" customWidth="1"/>
    <col min="137" max="137" width="20" style="183" hidden="1" customWidth="1"/>
    <col min="138" max="138" width="17.7109375" style="183" hidden="1" customWidth="1"/>
    <col min="139" max="139" width="16.5703125" style="183" hidden="1" customWidth="1"/>
    <col min="140" max="140" width="16.7109375" style="183" hidden="1" customWidth="1"/>
    <col min="141" max="141" width="20.5703125" style="183" hidden="1" customWidth="1"/>
    <col min="142" max="142" width="23.140625" style="183" hidden="1" customWidth="1"/>
    <col min="143" max="143" width="16.85546875" style="183" hidden="1" customWidth="1"/>
    <col min="144" max="144" width="15.140625" style="183" hidden="1" customWidth="1"/>
    <col min="145" max="145" width="12" style="183" hidden="1" customWidth="1"/>
    <col min="146" max="146" width="14.7109375" style="183" hidden="1" customWidth="1"/>
    <col min="147" max="147" width="16" style="183" hidden="1" customWidth="1"/>
    <col min="148" max="148" width="13.140625" style="183" hidden="1" customWidth="1"/>
    <col min="149" max="149" width="17" style="183" hidden="1" customWidth="1"/>
    <col min="150" max="150" width="15.140625" style="183" hidden="1" customWidth="1"/>
    <col min="151" max="151" width="13.28515625" style="183" hidden="1" customWidth="1"/>
    <col min="152" max="152" width="6.28515625" style="183" hidden="1" customWidth="1"/>
    <col min="153" max="153" width="6.85546875" style="183" hidden="1" customWidth="1"/>
    <col min="154" max="154" width="5.28515625" style="183" hidden="1" customWidth="1"/>
    <col min="155" max="155" width="12.5703125" style="183" hidden="1" customWidth="1"/>
    <col min="156" max="156" width="22.7109375" style="183" hidden="1" customWidth="1"/>
    <col min="157" max="157" width="14" style="183" hidden="1" customWidth="1"/>
    <col min="158" max="158" width="11.5703125" style="183" hidden="1" customWidth="1"/>
    <col min="159" max="159" width="15.85546875" style="183" hidden="1" customWidth="1"/>
    <col min="160" max="160" width="20" style="183" hidden="1" customWidth="1"/>
    <col min="161" max="161" width="17.7109375" style="183" hidden="1" customWidth="1"/>
    <col min="162" max="162" width="16.5703125" style="183" hidden="1" customWidth="1"/>
    <col min="163" max="163" width="16.7109375" style="183" hidden="1" customWidth="1"/>
    <col min="164" max="164" width="20.5703125" style="183" hidden="1" customWidth="1"/>
    <col min="165" max="165" width="23.140625" style="183" hidden="1" customWidth="1"/>
    <col min="166" max="166" width="16.85546875" style="183" hidden="1" customWidth="1"/>
    <col min="167" max="167" width="15.140625" style="183" hidden="1" customWidth="1"/>
    <col min="168" max="168" width="12" style="183" hidden="1" customWidth="1"/>
    <col min="169" max="169" width="14.7109375" style="183" hidden="1" customWidth="1"/>
    <col min="170" max="170" width="16" style="183" hidden="1" customWidth="1"/>
    <col min="171" max="171" width="13.140625" style="183" hidden="1" customWidth="1"/>
    <col min="172" max="172" width="17" style="183" hidden="1" customWidth="1"/>
    <col min="173" max="173" width="15.140625" style="183" hidden="1" customWidth="1"/>
    <col min="174" max="174" width="13.28515625" style="183" hidden="1" customWidth="1"/>
    <col min="175" max="175" width="6.28515625" style="183" hidden="1" customWidth="1"/>
    <col min="176" max="176" width="6.85546875" style="183" hidden="1" customWidth="1"/>
    <col min="177" max="177" width="5.28515625" style="183" hidden="1" customWidth="1"/>
    <col min="178" max="178" width="12.5703125" style="183" hidden="1" customWidth="1"/>
    <col min="179" max="179" width="22.7109375" style="183" hidden="1" customWidth="1"/>
    <col min="180" max="180" width="14" style="183" hidden="1" customWidth="1"/>
    <col min="181" max="181" width="11.5703125" style="183" hidden="1" customWidth="1"/>
    <col min="182" max="182" width="15.85546875" style="183" hidden="1" customWidth="1"/>
    <col min="183" max="183" width="20" style="183" hidden="1" customWidth="1"/>
    <col min="184" max="184" width="17.7109375" style="183" hidden="1" customWidth="1"/>
    <col min="185" max="185" width="16.5703125" style="183" hidden="1" customWidth="1"/>
    <col min="186" max="186" width="16.7109375" style="183" hidden="1" customWidth="1"/>
    <col min="187" max="187" width="20.5703125" style="183" hidden="1" customWidth="1"/>
    <col min="188" max="188" width="23.140625" style="183" hidden="1" customWidth="1"/>
    <col min="189" max="189" width="16.85546875" style="183" hidden="1" customWidth="1"/>
    <col min="190" max="190" width="15.140625" style="183" hidden="1" customWidth="1"/>
    <col min="191" max="191" width="12" style="183" hidden="1" customWidth="1"/>
    <col min="192" max="192" width="14.7109375" style="183" hidden="1" customWidth="1"/>
    <col min="193" max="193" width="16" style="183" hidden="1" customWidth="1"/>
    <col min="194" max="194" width="13.140625" style="183" hidden="1" customWidth="1"/>
    <col min="195" max="195" width="17" style="183" hidden="1" customWidth="1"/>
    <col min="196" max="196" width="15.140625" style="183" hidden="1" customWidth="1"/>
    <col min="197" max="197" width="13.28515625" style="183" hidden="1" customWidth="1"/>
    <col min="198" max="198" width="6.28515625" style="183" hidden="1" customWidth="1"/>
    <col min="199" max="199" width="6.85546875" style="183" hidden="1" customWidth="1"/>
    <col min="200" max="200" width="5.28515625" style="183" hidden="1" customWidth="1"/>
    <col min="201" max="201" width="12.5703125" style="183" hidden="1" customWidth="1"/>
    <col min="202" max="202" width="22.7109375" style="183" hidden="1" customWidth="1"/>
    <col min="203" max="203" width="8.7109375" style="183" hidden="1" customWidth="1"/>
    <col min="204" max="204" width="47.7109375" style="183" hidden="1" customWidth="1"/>
    <col min="205" max="205" width="14" style="183" hidden="1" customWidth="1"/>
    <col min="206" max="206" width="11.5703125" style="183" hidden="1" customWidth="1"/>
    <col min="207" max="207" width="15.85546875" style="183" hidden="1" customWidth="1"/>
    <col min="208" max="208" width="20" style="183" hidden="1" customWidth="1"/>
    <col min="209" max="209" width="17.7109375" style="183" hidden="1" customWidth="1"/>
    <col min="210" max="210" width="16.5703125" style="183" hidden="1" customWidth="1"/>
    <col min="211" max="211" width="16.7109375" style="183" hidden="1" customWidth="1"/>
    <col min="212" max="212" width="20.5703125" style="183" hidden="1" customWidth="1"/>
    <col min="213" max="213" width="23.140625" style="183" hidden="1" customWidth="1"/>
    <col min="214" max="214" width="16.85546875" style="183" hidden="1" customWidth="1"/>
    <col min="215" max="215" width="15.140625" style="183" hidden="1" customWidth="1"/>
    <col min="216" max="216" width="12" style="183" hidden="1" customWidth="1"/>
    <col min="217" max="217" width="14.7109375" style="183" hidden="1" customWidth="1"/>
    <col min="218" max="218" width="16" style="183" hidden="1" customWidth="1"/>
    <col min="219" max="219" width="13.140625" style="183" hidden="1" customWidth="1"/>
    <col min="220" max="220" width="17" style="183" hidden="1" customWidth="1"/>
    <col min="221" max="221" width="15.140625" style="183" hidden="1" customWidth="1"/>
    <col min="222" max="222" width="13.28515625" style="183" hidden="1" customWidth="1"/>
    <col min="223" max="223" width="6.28515625" style="183" hidden="1" customWidth="1"/>
    <col min="224" max="224" width="6.85546875" style="183" hidden="1" customWidth="1"/>
    <col min="225" max="225" width="5.28515625" style="183" hidden="1" customWidth="1"/>
    <col min="226" max="226" width="12.5703125" style="183" hidden="1" customWidth="1"/>
    <col min="227" max="227" width="8.5703125" style="183" hidden="1" customWidth="1"/>
    <col min="228" max="228" width="8.42578125" style="183" hidden="1" customWidth="1"/>
    <col min="229" max="229" width="14" style="183" hidden="1" customWidth="1"/>
    <col min="230" max="230" width="11.5703125" style="183" hidden="1" customWidth="1"/>
    <col min="231" max="231" width="15.85546875" style="183" hidden="1" customWidth="1"/>
    <col min="232" max="232" width="20" style="183" hidden="1" customWidth="1"/>
    <col min="233" max="233" width="17.7109375" style="183" hidden="1" customWidth="1"/>
    <col min="234" max="234" width="16.5703125" style="183" hidden="1" customWidth="1"/>
    <col min="235" max="235" width="16.7109375" style="183" hidden="1" customWidth="1"/>
    <col min="236" max="236" width="20.5703125" style="183" hidden="1" customWidth="1"/>
    <col min="237" max="237" width="23.140625" style="183" hidden="1" customWidth="1"/>
    <col min="238" max="238" width="16.85546875" style="183" hidden="1" customWidth="1"/>
    <col min="239" max="239" width="15.140625" style="183" hidden="1" customWidth="1"/>
    <col min="240" max="240" width="12" style="183" hidden="1" customWidth="1"/>
    <col min="241" max="241" width="14.7109375" style="183" hidden="1" customWidth="1"/>
    <col min="242" max="242" width="16" style="183" hidden="1" customWidth="1"/>
    <col min="243" max="243" width="13.140625" style="183" hidden="1" customWidth="1"/>
    <col min="244" max="244" width="17" style="183" hidden="1" customWidth="1"/>
    <col min="245" max="245" width="15.140625" style="183" hidden="1" customWidth="1"/>
    <col min="246" max="246" width="13.28515625" style="183" hidden="1" customWidth="1"/>
    <col min="247" max="247" width="6.28515625" style="183" hidden="1" customWidth="1"/>
    <col min="248" max="248" width="6.85546875" style="183" hidden="1" customWidth="1"/>
    <col min="249" max="249" width="5.28515625" style="183" hidden="1" customWidth="1"/>
    <col min="250" max="250" width="12.5703125" style="183" hidden="1" customWidth="1"/>
    <col min="251" max="251" width="22.7109375" style="183" hidden="1" customWidth="1"/>
    <col min="252" max="252" width="13.7109375" style="183" hidden="1" customWidth="1"/>
    <col min="253" max="253" width="11.7109375" style="183" hidden="1" customWidth="1"/>
    <col min="254" max="254" width="16.140625" style="183" hidden="1" customWidth="1"/>
    <col min="255" max="255" width="20.140625" style="183" hidden="1" customWidth="1"/>
    <col min="256" max="256" width="18" style="183" hidden="1" customWidth="1"/>
    <col min="257" max="257" width="16.7109375" style="183" hidden="1" customWidth="1"/>
    <col min="258" max="258" width="16.42578125" style="183" hidden="1" customWidth="1"/>
    <col min="259" max="259" width="20.28515625" style="183" hidden="1" customWidth="1"/>
    <col min="260" max="260" width="23" style="183" hidden="1" customWidth="1"/>
    <col min="261" max="261" width="16.42578125" style="183" hidden="1" customWidth="1"/>
    <col min="262" max="262" width="15.140625" style="183" hidden="1" customWidth="1"/>
    <col min="263" max="263" width="11.7109375" style="183" hidden="1" customWidth="1"/>
    <col min="264" max="264" width="14.7109375" style="183" hidden="1" customWidth="1"/>
    <col min="265" max="265" width="15.85546875" style="183" hidden="1" customWidth="1"/>
    <col min="266" max="266" width="12.85546875" style="183" hidden="1" customWidth="1"/>
    <col min="267" max="267" width="16.7109375" style="183" hidden="1" customWidth="1"/>
    <col min="268" max="268" width="15" style="183" hidden="1" customWidth="1"/>
    <col min="269" max="269" width="12.85546875" style="183" hidden="1" customWidth="1"/>
    <col min="270" max="270" width="6.28515625" style="183" hidden="1" customWidth="1"/>
    <col min="271" max="271" width="6.85546875" style="183" hidden="1" customWidth="1"/>
    <col min="272" max="272" width="5.28515625" style="183" hidden="1" customWidth="1"/>
    <col min="273" max="273" width="12.5703125" style="183" hidden="1" customWidth="1"/>
    <col min="274" max="274" width="21.28515625" style="183" hidden="1" customWidth="1"/>
    <col min="275" max="276" width="9.140625" style="183" hidden="1" customWidth="1"/>
    <col min="277" max="277" width="15.5703125" style="183" hidden="1" customWidth="1"/>
    <col min="278" max="281" width="9.140625" style="183" hidden="1" customWidth="1"/>
    <col min="282" max="282" width="15.5703125" style="183" hidden="1" customWidth="1"/>
    <col min="283" max="283" width="9.140625" style="183" hidden="1" customWidth="1"/>
    <col min="284" max="284" width="72.28515625" style="183" hidden="1" customWidth="1"/>
    <col min="285" max="16384" width="9.140625" style="183" hidden="1"/>
  </cols>
  <sheetData>
    <row r="1" spans="1:282" s="182" customFormat="1" ht="21">
      <c r="A1" s="174"/>
      <c r="B1" s="165" t="s">
        <v>559</v>
      </c>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80"/>
      <c r="AQ1" s="174"/>
      <c r="AR1" s="174"/>
      <c r="AS1" s="174"/>
      <c r="AT1" s="174"/>
      <c r="AU1" s="174"/>
      <c r="AV1" s="174"/>
      <c r="AW1" s="174"/>
      <c r="AX1" s="174"/>
      <c r="AY1" s="174"/>
      <c r="AZ1" s="174"/>
      <c r="BA1" s="174"/>
      <c r="BB1" s="174"/>
      <c r="BC1" s="174"/>
      <c r="BD1" s="174"/>
      <c r="BE1" s="174"/>
      <c r="BF1" s="174"/>
      <c r="BG1" s="174"/>
      <c r="BH1" s="174"/>
      <c r="BI1" s="174"/>
      <c r="BJ1" s="174"/>
      <c r="BK1" s="174"/>
      <c r="BL1" s="174"/>
      <c r="BM1" s="174"/>
      <c r="BN1" s="174"/>
      <c r="BO1" s="174"/>
      <c r="BP1" s="174"/>
      <c r="BQ1" s="174"/>
      <c r="BR1" s="174"/>
      <c r="BS1" s="174"/>
      <c r="BT1" s="174"/>
      <c r="BU1" s="174"/>
      <c r="BV1" s="174"/>
      <c r="BW1" s="174"/>
      <c r="BX1" s="174"/>
      <c r="BY1" s="174"/>
      <c r="BZ1" s="174"/>
      <c r="CA1" s="174"/>
      <c r="CB1" s="174"/>
      <c r="CC1" s="174"/>
      <c r="CD1" s="174"/>
      <c r="CE1" s="174"/>
      <c r="CF1" s="174"/>
      <c r="CG1" s="174"/>
      <c r="CH1" s="174"/>
      <c r="CI1" s="174"/>
      <c r="CJ1" s="174"/>
      <c r="CK1" s="174"/>
      <c r="CL1" s="174"/>
      <c r="CM1" s="174"/>
      <c r="CN1" s="174"/>
      <c r="CO1" s="174"/>
      <c r="CP1" s="174"/>
      <c r="CQ1" s="174"/>
      <c r="CR1" s="174"/>
      <c r="CS1" s="174"/>
      <c r="CT1" s="174"/>
      <c r="CU1" s="174"/>
      <c r="CV1" s="174"/>
      <c r="CW1" s="174"/>
      <c r="CX1" s="174"/>
      <c r="CY1" s="174"/>
      <c r="CZ1" s="174"/>
      <c r="DA1" s="174"/>
      <c r="DB1" s="174"/>
      <c r="DC1" s="174"/>
      <c r="DD1" s="174"/>
      <c r="DE1" s="174"/>
      <c r="DF1" s="174"/>
      <c r="DG1" s="174"/>
      <c r="DH1" s="174"/>
      <c r="DI1" s="174"/>
      <c r="DJ1" s="174"/>
      <c r="DK1" s="174"/>
      <c r="DL1" s="174"/>
      <c r="DM1" s="174"/>
      <c r="DN1" s="174"/>
      <c r="DO1" s="174"/>
      <c r="DP1" s="174"/>
      <c r="DQ1" s="174"/>
      <c r="DR1" s="174"/>
      <c r="DS1" s="174"/>
      <c r="DT1" s="174"/>
      <c r="DU1" s="174"/>
      <c r="DV1" s="174"/>
      <c r="DW1" s="174"/>
      <c r="DX1" s="174"/>
      <c r="DY1" s="174"/>
      <c r="DZ1" s="174"/>
      <c r="EA1" s="174"/>
      <c r="EB1" s="174"/>
      <c r="EC1" s="174"/>
      <c r="ED1" s="174"/>
      <c r="EE1" s="174"/>
      <c r="EF1" s="174"/>
      <c r="EG1" s="174"/>
      <c r="EH1" s="174"/>
      <c r="EI1" s="174"/>
      <c r="EJ1" s="174"/>
      <c r="EK1" s="174"/>
      <c r="EL1" s="174"/>
      <c r="EM1" s="174"/>
      <c r="EN1" s="174"/>
      <c r="EO1" s="174"/>
      <c r="EP1" s="174"/>
      <c r="EQ1" s="174"/>
      <c r="ER1" s="174"/>
      <c r="ES1" s="174"/>
      <c r="ET1" s="174"/>
      <c r="EU1" s="174"/>
      <c r="EV1" s="174"/>
      <c r="EW1" s="174"/>
      <c r="EX1" s="174"/>
      <c r="EY1" s="174"/>
      <c r="EZ1" s="174"/>
      <c r="FA1" s="174"/>
      <c r="FB1" s="174"/>
      <c r="FC1" s="174"/>
      <c r="FD1" s="174"/>
      <c r="FE1" s="174"/>
      <c r="FF1" s="174"/>
      <c r="FG1" s="174"/>
      <c r="FH1" s="174"/>
      <c r="FI1" s="174"/>
      <c r="FJ1" s="174"/>
      <c r="FK1" s="174"/>
      <c r="FL1" s="174"/>
      <c r="FM1" s="174"/>
      <c r="FN1" s="174"/>
      <c r="FO1" s="174"/>
      <c r="FP1" s="174"/>
      <c r="FQ1" s="174"/>
      <c r="FR1" s="174"/>
      <c r="FS1" s="174"/>
      <c r="FT1" s="174"/>
      <c r="FU1" s="174"/>
      <c r="FV1" s="174"/>
      <c r="FW1" s="174"/>
      <c r="FX1" s="174"/>
      <c r="FY1" s="174"/>
      <c r="FZ1" s="174"/>
      <c r="GA1" s="174"/>
      <c r="GB1" s="174"/>
      <c r="GC1" s="174"/>
      <c r="GD1" s="174"/>
      <c r="GE1" s="174"/>
      <c r="GF1" s="174"/>
      <c r="GG1" s="174"/>
      <c r="GH1" s="174"/>
      <c r="GI1" s="174"/>
      <c r="GJ1" s="174"/>
      <c r="GK1" s="174"/>
      <c r="GL1" s="174"/>
      <c r="GM1" s="174"/>
      <c r="GN1" s="174"/>
      <c r="GO1" s="174"/>
      <c r="GP1" s="174"/>
      <c r="GQ1" s="174"/>
      <c r="GR1" s="174"/>
      <c r="GS1" s="174"/>
      <c r="GT1" s="174"/>
      <c r="GU1" s="174"/>
      <c r="GV1" s="174"/>
      <c r="GW1" s="174"/>
      <c r="GX1" s="174"/>
      <c r="GY1" s="174"/>
      <c r="GZ1" s="174"/>
      <c r="HA1" s="174"/>
      <c r="HB1" s="174"/>
      <c r="HC1" s="174"/>
      <c r="HD1" s="174"/>
      <c r="HE1" s="174"/>
      <c r="HF1" s="174"/>
      <c r="HG1" s="174"/>
      <c r="HH1" s="174"/>
      <c r="HI1" s="174"/>
      <c r="HJ1" s="174"/>
      <c r="HK1" s="174"/>
      <c r="HL1" s="174"/>
      <c r="HM1" s="174"/>
      <c r="HN1" s="174"/>
      <c r="HO1" s="174"/>
      <c r="HP1" s="174"/>
      <c r="HQ1" s="174"/>
      <c r="HR1" s="174"/>
      <c r="HS1" s="174"/>
      <c r="HT1" s="174"/>
      <c r="HU1" s="174"/>
      <c r="HV1" s="174"/>
      <c r="HW1" s="174"/>
      <c r="HX1" s="174"/>
      <c r="HY1" s="174"/>
      <c r="HZ1" s="174"/>
      <c r="IA1" s="174"/>
      <c r="IB1" s="174"/>
      <c r="IC1" s="174"/>
      <c r="ID1" s="174"/>
      <c r="IE1" s="174"/>
      <c r="IF1" s="174"/>
      <c r="IG1" s="174"/>
      <c r="IH1" s="174"/>
      <c r="II1" s="174"/>
      <c r="IJ1" s="174"/>
      <c r="IK1" s="174"/>
      <c r="IL1" s="174"/>
      <c r="IM1" s="174"/>
      <c r="IN1" s="174"/>
      <c r="IO1" s="174"/>
      <c r="IP1" s="174"/>
      <c r="IQ1" s="174"/>
      <c r="IR1" s="174"/>
      <c r="IS1" s="181"/>
      <c r="IT1" s="181"/>
      <c r="IU1" s="181"/>
      <c r="IV1" s="181"/>
      <c r="IW1" s="181"/>
      <c r="IX1" s="181"/>
      <c r="IY1" s="181"/>
      <c r="IZ1" s="181"/>
      <c r="JA1" s="181"/>
      <c r="JB1" s="181"/>
      <c r="JC1" s="181"/>
      <c r="JD1" s="181"/>
      <c r="JE1" s="181"/>
      <c r="JF1" s="181"/>
      <c r="JG1" s="181"/>
      <c r="JH1" s="181"/>
      <c r="JI1" s="181"/>
      <c r="JJ1" s="181"/>
      <c r="JK1" s="181"/>
      <c r="JL1" s="181"/>
      <c r="JM1" s="181"/>
      <c r="JN1" s="181"/>
      <c r="JO1" s="181"/>
      <c r="JP1" s="181"/>
    </row>
    <row r="2" spans="1:282">
      <c r="E2" s="184"/>
      <c r="L2" s="185"/>
      <c r="M2" s="185"/>
      <c r="P2" s="186"/>
      <c r="Q2" s="186"/>
      <c r="R2" s="186"/>
      <c r="S2" s="186"/>
      <c r="T2" s="186"/>
      <c r="U2" s="186"/>
      <c r="V2" s="186"/>
      <c r="W2" s="186"/>
      <c r="X2" s="186"/>
      <c r="Y2" s="186"/>
      <c r="Z2" s="186"/>
      <c r="AB2" s="186"/>
      <c r="JV2" s="187"/>
    </row>
    <row r="3" spans="1:282">
      <c r="M3" s="191"/>
      <c r="N3" s="191"/>
      <c r="P3" s="186"/>
      <c r="Q3" s="186"/>
      <c r="R3" s="186"/>
      <c r="S3" s="186"/>
      <c r="T3" s="186"/>
      <c r="U3" s="186"/>
      <c r="V3" s="186"/>
      <c r="W3" s="186"/>
      <c r="X3" s="186"/>
      <c r="Y3" s="186"/>
      <c r="Z3" s="186"/>
      <c r="AB3" s="186"/>
      <c r="IR3" s="188"/>
      <c r="IY3" s="189"/>
      <c r="JA3" s="189"/>
      <c r="JV3" s="190"/>
    </row>
    <row r="4" spans="1:282">
      <c r="E4" s="249"/>
      <c r="F4" s="191"/>
    </row>
    <row r="5" spans="1:282" ht="39.950000000000003" customHeight="1">
      <c r="B5" s="254" t="s">
        <v>41</v>
      </c>
      <c r="C5" s="255" t="s">
        <v>40</v>
      </c>
      <c r="D5" s="255" t="s">
        <v>100</v>
      </c>
      <c r="E5" s="256" t="s">
        <v>511</v>
      </c>
      <c r="F5" s="257" t="s">
        <v>79</v>
      </c>
      <c r="G5" s="255" t="s">
        <v>512</v>
      </c>
      <c r="H5" s="255" t="s">
        <v>46</v>
      </c>
      <c r="I5" s="255" t="s">
        <v>513</v>
      </c>
      <c r="J5" s="255" t="s">
        <v>514</v>
      </c>
      <c r="K5" s="255" t="s">
        <v>47</v>
      </c>
      <c r="L5" s="258" t="s">
        <v>101</v>
      </c>
      <c r="M5" s="259" t="s">
        <v>533</v>
      </c>
      <c r="N5" s="260" t="s">
        <v>515</v>
      </c>
      <c r="O5" s="257" t="s">
        <v>80</v>
      </c>
      <c r="P5" s="257" t="s">
        <v>81</v>
      </c>
      <c r="Q5" s="257" t="s">
        <v>82</v>
      </c>
      <c r="R5" s="257" t="s">
        <v>83</v>
      </c>
      <c r="S5" s="257" t="s">
        <v>84</v>
      </c>
      <c r="T5" s="257" t="s">
        <v>85</v>
      </c>
      <c r="U5" s="261" t="s">
        <v>86</v>
      </c>
      <c r="V5" s="261" t="s">
        <v>87</v>
      </c>
      <c r="W5" s="255" t="s">
        <v>430</v>
      </c>
      <c r="X5" s="255" t="s">
        <v>431</v>
      </c>
    </row>
    <row r="6" spans="1:282">
      <c r="B6" s="252"/>
      <c r="C6" s="192"/>
      <c r="D6" s="65"/>
      <c r="E6" s="236"/>
      <c r="F6" s="193"/>
      <c r="G6" s="65"/>
      <c r="H6" s="65"/>
      <c r="I6" s="65"/>
      <c r="J6" s="65"/>
      <c r="K6" s="65"/>
      <c r="L6" s="194"/>
      <c r="M6" s="237"/>
      <c r="N6" s="238"/>
      <c r="O6" s="193"/>
      <c r="P6" s="193"/>
      <c r="Q6" s="193"/>
      <c r="R6" s="193"/>
      <c r="S6" s="193"/>
      <c r="T6" s="193"/>
      <c r="U6" s="239"/>
      <c r="V6" s="239"/>
      <c r="W6" s="65"/>
      <c r="X6" s="65"/>
      <c r="Z6" s="262"/>
    </row>
    <row r="7" spans="1:282">
      <c r="B7" s="252"/>
      <c r="C7" s="192"/>
      <c r="D7" s="65"/>
      <c r="E7" s="236"/>
      <c r="F7" s="193"/>
      <c r="G7" s="65"/>
      <c r="H7" s="65"/>
      <c r="I7" s="65"/>
      <c r="J7" s="65"/>
      <c r="K7" s="65"/>
      <c r="L7" s="194"/>
      <c r="M7" s="237"/>
      <c r="N7" s="238"/>
      <c r="O7" s="193"/>
      <c r="P7" s="193"/>
      <c r="Q7" s="193"/>
      <c r="R7" s="193"/>
      <c r="S7" s="193"/>
      <c r="T7" s="193"/>
      <c r="U7" s="239"/>
      <c r="V7" s="239"/>
      <c r="W7" s="65"/>
      <c r="X7" s="65"/>
      <c r="Z7" s="262"/>
    </row>
    <row r="8" spans="1:282">
      <c r="B8" s="252"/>
      <c r="C8" s="192"/>
      <c r="D8" s="65"/>
      <c r="E8" s="236"/>
      <c r="F8" s="193"/>
      <c r="G8" s="65"/>
      <c r="H8" s="65"/>
      <c r="I8" s="65"/>
      <c r="J8" s="65"/>
      <c r="K8" s="65"/>
      <c r="L8" s="194"/>
      <c r="M8" s="237"/>
      <c r="N8" s="238"/>
      <c r="O8" s="193"/>
      <c r="P8" s="193"/>
      <c r="Q8" s="193"/>
      <c r="R8" s="193"/>
      <c r="S8" s="193"/>
      <c r="T8" s="193"/>
      <c r="U8" s="239"/>
      <c r="V8" s="239"/>
      <c r="W8" s="65"/>
      <c r="X8" s="65"/>
      <c r="Z8" s="262"/>
    </row>
    <row r="9" spans="1:282">
      <c r="B9" s="252"/>
      <c r="C9" s="192"/>
      <c r="D9" s="65"/>
      <c r="E9" s="236"/>
      <c r="F9" s="193"/>
      <c r="G9" s="65"/>
      <c r="H9" s="65"/>
      <c r="I9" s="65"/>
      <c r="J9" s="65"/>
      <c r="K9" s="65"/>
      <c r="L9" s="194"/>
      <c r="M9" s="237"/>
      <c r="N9" s="238"/>
      <c r="O9" s="193"/>
      <c r="P9" s="193"/>
      <c r="Q9" s="193"/>
      <c r="R9" s="193"/>
      <c r="S9" s="193"/>
      <c r="T9" s="193"/>
      <c r="U9" s="239"/>
      <c r="V9" s="239"/>
      <c r="W9" s="65"/>
      <c r="X9" s="65"/>
      <c r="Z9" s="262"/>
    </row>
    <row r="10" spans="1:282">
      <c r="A10" s="195"/>
      <c r="B10" s="252"/>
      <c r="C10" s="192"/>
      <c r="D10" s="65"/>
      <c r="E10" s="236"/>
      <c r="F10" s="193"/>
      <c r="G10" s="65"/>
      <c r="H10" s="65"/>
      <c r="I10" s="65"/>
      <c r="J10" s="65"/>
      <c r="K10" s="65"/>
      <c r="L10" s="194"/>
      <c r="M10" s="237"/>
      <c r="N10" s="238"/>
      <c r="O10" s="193"/>
      <c r="P10" s="193"/>
      <c r="Q10" s="193"/>
      <c r="R10" s="193"/>
      <c r="S10" s="193"/>
      <c r="T10" s="193"/>
      <c r="U10" s="239"/>
      <c r="V10" s="239"/>
      <c r="W10" s="65"/>
      <c r="X10" s="65"/>
      <c r="Z10" s="262"/>
    </row>
    <row r="11" spans="1:282">
      <c r="A11" s="195"/>
      <c r="B11" s="252"/>
      <c r="C11" s="192"/>
      <c r="D11" s="65"/>
      <c r="E11" s="236"/>
      <c r="F11" s="193"/>
      <c r="G11" s="65"/>
      <c r="H11" s="65"/>
      <c r="I11" s="65"/>
      <c r="J11" s="65"/>
      <c r="K11" s="65"/>
      <c r="L11" s="194"/>
      <c r="M11" s="237"/>
      <c r="N11" s="238"/>
      <c r="O11" s="193"/>
      <c r="P11" s="193"/>
      <c r="Q11" s="193"/>
      <c r="R11" s="193"/>
      <c r="S11" s="193"/>
      <c r="T11" s="193"/>
      <c r="U11" s="239"/>
      <c r="V11" s="239"/>
      <c r="W11" s="65"/>
      <c r="X11" s="65"/>
      <c r="Z11" s="262"/>
    </row>
    <row r="12" spans="1:282">
      <c r="B12" s="252"/>
      <c r="C12" s="192"/>
      <c r="D12" s="65"/>
      <c r="E12" s="236"/>
      <c r="F12" s="193"/>
      <c r="G12" s="65"/>
      <c r="H12" s="65"/>
      <c r="I12" s="65"/>
      <c r="J12" s="65"/>
      <c r="K12" s="65"/>
      <c r="L12" s="194"/>
      <c r="M12" s="237"/>
      <c r="N12" s="238"/>
      <c r="O12" s="193"/>
      <c r="P12" s="193"/>
      <c r="Q12" s="193"/>
      <c r="R12" s="193"/>
      <c r="S12" s="193"/>
      <c r="T12" s="193"/>
      <c r="U12" s="239"/>
      <c r="V12" s="239"/>
      <c r="W12" s="65"/>
      <c r="X12" s="65"/>
      <c r="Z12" s="262"/>
    </row>
    <row r="13" spans="1:282">
      <c r="B13" s="252"/>
      <c r="C13" s="192"/>
      <c r="D13" s="65"/>
      <c r="E13" s="236"/>
      <c r="F13" s="193"/>
      <c r="G13" s="65"/>
      <c r="H13" s="65"/>
      <c r="I13" s="65"/>
      <c r="J13" s="65"/>
      <c r="K13" s="65"/>
      <c r="L13" s="194"/>
      <c r="M13" s="237"/>
      <c r="N13" s="238"/>
      <c r="O13" s="193"/>
      <c r="P13" s="193"/>
      <c r="Q13" s="193"/>
      <c r="R13" s="193"/>
      <c r="S13" s="193"/>
      <c r="T13" s="193"/>
      <c r="U13" s="239"/>
      <c r="V13" s="239"/>
      <c r="W13" s="65"/>
      <c r="X13" s="65"/>
      <c r="Z13" s="262"/>
    </row>
    <row r="14" spans="1:282">
      <c r="B14" s="252"/>
      <c r="C14" s="192"/>
      <c r="D14" s="65"/>
      <c r="E14" s="236"/>
      <c r="F14" s="193"/>
      <c r="G14" s="65"/>
      <c r="H14" s="65"/>
      <c r="I14" s="65"/>
      <c r="J14" s="65"/>
      <c r="K14" s="65"/>
      <c r="L14" s="194"/>
      <c r="M14" s="237"/>
      <c r="N14" s="238"/>
      <c r="O14" s="193"/>
      <c r="P14" s="193"/>
      <c r="Q14" s="193"/>
      <c r="R14" s="193"/>
      <c r="S14" s="193"/>
      <c r="T14" s="193"/>
      <c r="U14" s="239"/>
      <c r="V14" s="239"/>
      <c r="W14" s="65"/>
      <c r="X14" s="65"/>
      <c r="Z14" s="262"/>
    </row>
    <row r="15" spans="1:282">
      <c r="A15" s="195"/>
      <c r="B15" s="252"/>
      <c r="C15" s="192"/>
      <c r="D15" s="65"/>
      <c r="E15" s="236"/>
      <c r="F15" s="193"/>
      <c r="G15" s="65"/>
      <c r="H15" s="65"/>
      <c r="I15" s="65"/>
      <c r="J15" s="65"/>
      <c r="K15" s="65"/>
      <c r="L15" s="194"/>
      <c r="M15" s="237"/>
      <c r="N15" s="238"/>
      <c r="O15" s="193"/>
      <c r="P15" s="193"/>
      <c r="Q15" s="193"/>
      <c r="R15" s="193"/>
      <c r="S15" s="193"/>
      <c r="T15" s="193"/>
      <c r="U15" s="239"/>
      <c r="V15" s="239"/>
      <c r="W15" s="65"/>
      <c r="X15" s="65"/>
      <c r="Z15" s="262"/>
    </row>
    <row r="16" spans="1:282">
      <c r="B16" s="252"/>
      <c r="C16" s="192"/>
      <c r="D16" s="65"/>
      <c r="E16" s="236"/>
      <c r="F16" s="193"/>
      <c r="G16" s="65"/>
      <c r="H16" s="65"/>
      <c r="I16" s="65"/>
      <c r="J16" s="65"/>
      <c r="K16" s="65"/>
      <c r="L16" s="194"/>
      <c r="M16" s="237"/>
      <c r="N16" s="238"/>
      <c r="O16" s="193"/>
      <c r="P16" s="193"/>
      <c r="Q16" s="193"/>
      <c r="R16" s="193"/>
      <c r="S16" s="193"/>
      <c r="T16" s="193"/>
      <c r="U16" s="239"/>
      <c r="V16" s="239"/>
      <c r="W16" s="65"/>
      <c r="X16" s="65"/>
      <c r="Z16" s="262"/>
    </row>
    <row r="17" spans="1:26">
      <c r="B17" s="252"/>
      <c r="C17" s="192"/>
      <c r="D17" s="65"/>
      <c r="E17" s="236"/>
      <c r="F17" s="193"/>
      <c r="G17" s="65"/>
      <c r="H17" s="65"/>
      <c r="I17" s="65"/>
      <c r="J17" s="65"/>
      <c r="K17" s="65"/>
      <c r="L17" s="194"/>
      <c r="M17" s="237"/>
      <c r="N17" s="238"/>
      <c r="O17" s="193"/>
      <c r="P17" s="193"/>
      <c r="Q17" s="193"/>
      <c r="R17" s="193"/>
      <c r="S17" s="193"/>
      <c r="T17" s="193"/>
      <c r="U17" s="239"/>
      <c r="V17" s="239"/>
      <c r="W17" s="65"/>
      <c r="X17" s="65"/>
      <c r="Z17" s="262"/>
    </row>
    <row r="18" spans="1:26">
      <c r="B18" s="252"/>
      <c r="C18" s="192"/>
      <c r="D18" s="65"/>
      <c r="E18" s="236"/>
      <c r="F18" s="193"/>
      <c r="G18" s="65"/>
      <c r="H18" s="65"/>
      <c r="I18" s="65"/>
      <c r="J18" s="65"/>
      <c r="K18" s="65"/>
      <c r="L18" s="194"/>
      <c r="M18" s="237"/>
      <c r="N18" s="238"/>
      <c r="O18" s="193"/>
      <c r="P18" s="193"/>
      <c r="Q18" s="193"/>
      <c r="R18" s="193"/>
      <c r="S18" s="193"/>
      <c r="T18" s="193"/>
      <c r="U18" s="239"/>
      <c r="V18" s="239"/>
      <c r="W18" s="65"/>
      <c r="X18" s="65"/>
      <c r="Z18" s="262"/>
    </row>
    <row r="19" spans="1:26">
      <c r="A19" s="195"/>
      <c r="B19" s="252"/>
      <c r="C19" s="192"/>
      <c r="D19" s="65"/>
      <c r="E19" s="236"/>
      <c r="F19" s="193"/>
      <c r="G19" s="65"/>
      <c r="H19" s="65"/>
      <c r="I19" s="65"/>
      <c r="J19" s="65"/>
      <c r="K19" s="65"/>
      <c r="L19" s="194"/>
      <c r="M19" s="237"/>
      <c r="N19" s="238"/>
      <c r="O19" s="193"/>
      <c r="P19" s="193"/>
      <c r="Q19" s="193"/>
      <c r="R19" s="193"/>
      <c r="S19" s="193"/>
      <c r="T19" s="193"/>
      <c r="U19" s="239"/>
      <c r="V19" s="239"/>
      <c r="W19" s="65"/>
      <c r="X19" s="65"/>
      <c r="Z19" s="262"/>
    </row>
    <row r="20" spans="1:26">
      <c r="B20" s="252"/>
      <c r="C20" s="192"/>
      <c r="D20" s="65"/>
      <c r="E20" s="236"/>
      <c r="F20" s="193"/>
      <c r="G20" s="65"/>
      <c r="H20" s="65"/>
      <c r="I20" s="65"/>
      <c r="J20" s="65"/>
      <c r="K20" s="65"/>
      <c r="L20" s="194"/>
      <c r="M20" s="237"/>
      <c r="N20" s="238"/>
      <c r="O20" s="193"/>
      <c r="P20" s="193"/>
      <c r="Q20" s="193"/>
      <c r="R20" s="193"/>
      <c r="S20" s="193"/>
      <c r="T20" s="193"/>
      <c r="U20" s="239"/>
      <c r="V20" s="239"/>
      <c r="W20" s="65"/>
      <c r="X20" s="65"/>
      <c r="Z20" s="262"/>
    </row>
    <row r="21" spans="1:26">
      <c r="B21" s="252"/>
      <c r="C21" s="192"/>
      <c r="D21" s="65"/>
      <c r="E21" s="236"/>
      <c r="F21" s="193"/>
      <c r="G21" s="65"/>
      <c r="H21" s="65"/>
      <c r="I21" s="65"/>
      <c r="J21" s="65"/>
      <c r="K21" s="65"/>
      <c r="L21" s="194"/>
      <c r="M21" s="237"/>
      <c r="N21" s="238"/>
      <c r="O21" s="193"/>
      <c r="P21" s="193"/>
      <c r="Q21" s="193"/>
      <c r="R21" s="193"/>
      <c r="S21" s="193"/>
      <c r="T21" s="193"/>
      <c r="U21" s="239"/>
      <c r="V21" s="239"/>
      <c r="W21" s="65"/>
      <c r="X21" s="65"/>
      <c r="Z21" s="262"/>
    </row>
    <row r="22" spans="1:26">
      <c r="B22" s="252"/>
      <c r="C22" s="192"/>
      <c r="D22" s="65"/>
      <c r="E22" s="236"/>
      <c r="F22" s="193"/>
      <c r="G22" s="65"/>
      <c r="H22" s="65"/>
      <c r="I22" s="65"/>
      <c r="J22" s="65"/>
      <c r="K22" s="65"/>
      <c r="L22" s="194"/>
      <c r="M22" s="237"/>
      <c r="N22" s="238"/>
      <c r="O22" s="193"/>
      <c r="P22" s="193"/>
      <c r="Q22" s="193"/>
      <c r="R22" s="193"/>
      <c r="S22" s="193"/>
      <c r="T22" s="193"/>
      <c r="U22" s="239"/>
      <c r="V22" s="239"/>
      <c r="W22" s="65"/>
      <c r="X22" s="65"/>
      <c r="Z22" s="262"/>
    </row>
    <row r="23" spans="1:26">
      <c r="B23" s="252"/>
      <c r="C23" s="192"/>
      <c r="D23" s="65"/>
      <c r="E23" s="236"/>
      <c r="F23" s="193"/>
      <c r="G23" s="65"/>
      <c r="H23" s="65"/>
      <c r="I23" s="65"/>
      <c r="J23" s="65"/>
      <c r="K23" s="65"/>
      <c r="L23" s="194"/>
      <c r="M23" s="237"/>
      <c r="N23" s="238"/>
      <c r="O23" s="193"/>
      <c r="P23" s="193"/>
      <c r="Q23" s="193"/>
      <c r="R23" s="193"/>
      <c r="S23" s="193"/>
      <c r="T23" s="193"/>
      <c r="U23" s="239"/>
      <c r="V23" s="239"/>
      <c r="W23" s="65"/>
      <c r="X23" s="65"/>
      <c r="Z23" s="262"/>
    </row>
    <row r="24" spans="1:26">
      <c r="B24" s="252"/>
      <c r="C24" s="192"/>
      <c r="D24" s="65"/>
      <c r="E24" s="236"/>
      <c r="F24" s="193"/>
      <c r="G24" s="65"/>
      <c r="H24" s="65"/>
      <c r="I24" s="65"/>
      <c r="J24" s="65"/>
      <c r="K24" s="65"/>
      <c r="L24" s="194"/>
      <c r="M24" s="237"/>
      <c r="N24" s="238"/>
      <c r="O24" s="193"/>
      <c r="P24" s="193"/>
      <c r="Q24" s="193"/>
      <c r="R24" s="193"/>
      <c r="S24" s="193"/>
      <c r="T24" s="193"/>
      <c r="U24" s="239"/>
      <c r="V24" s="239"/>
      <c r="W24" s="65"/>
      <c r="X24" s="65"/>
      <c r="Z24" s="262"/>
    </row>
    <row r="25" spans="1:26">
      <c r="B25" s="252"/>
      <c r="C25" s="192"/>
      <c r="D25" s="65"/>
      <c r="E25" s="236"/>
      <c r="F25" s="193"/>
      <c r="G25" s="65"/>
      <c r="H25" s="65"/>
      <c r="I25" s="65"/>
      <c r="J25" s="65"/>
      <c r="K25" s="65"/>
      <c r="L25" s="194"/>
      <c r="M25" s="237"/>
      <c r="N25" s="238"/>
      <c r="O25" s="193"/>
      <c r="P25" s="193"/>
      <c r="Q25" s="193"/>
      <c r="R25" s="193"/>
      <c r="S25" s="193"/>
      <c r="T25" s="193"/>
      <c r="U25" s="239"/>
      <c r="V25" s="239"/>
      <c r="W25" s="65"/>
      <c r="X25" s="65"/>
      <c r="Z25" s="262"/>
    </row>
    <row r="26" spans="1:26">
      <c r="B26" s="252"/>
      <c r="C26" s="192"/>
      <c r="D26" s="65"/>
      <c r="E26" s="236"/>
      <c r="F26" s="193"/>
      <c r="G26" s="65"/>
      <c r="H26" s="65"/>
      <c r="I26" s="65"/>
      <c r="J26" s="65"/>
      <c r="K26" s="65"/>
      <c r="L26" s="194"/>
      <c r="M26" s="237"/>
      <c r="N26" s="238"/>
      <c r="O26" s="193"/>
      <c r="P26" s="193"/>
      <c r="Q26" s="193"/>
      <c r="R26" s="193"/>
      <c r="S26" s="193"/>
      <c r="T26" s="193"/>
      <c r="U26" s="239"/>
      <c r="V26" s="239"/>
      <c r="W26" s="65"/>
      <c r="X26" s="65"/>
      <c r="Z26" s="262"/>
    </row>
    <row r="27" spans="1:26">
      <c r="B27" s="252"/>
      <c r="C27" s="192"/>
      <c r="D27" s="65"/>
      <c r="E27" s="236"/>
      <c r="F27" s="193"/>
      <c r="G27" s="65"/>
      <c r="H27" s="65"/>
      <c r="I27" s="65"/>
      <c r="J27" s="65"/>
      <c r="K27" s="65"/>
      <c r="L27" s="194"/>
      <c r="M27" s="237"/>
      <c r="N27" s="238"/>
      <c r="O27" s="193"/>
      <c r="P27" s="193"/>
      <c r="Q27" s="193"/>
      <c r="R27" s="193"/>
      <c r="S27" s="193"/>
      <c r="T27" s="193"/>
      <c r="U27" s="239"/>
      <c r="V27" s="239"/>
      <c r="W27" s="65"/>
      <c r="X27" s="65"/>
      <c r="Z27" s="262"/>
    </row>
    <row r="28" spans="1:26">
      <c r="B28" s="252"/>
      <c r="C28" s="192"/>
      <c r="D28" s="65"/>
      <c r="E28" s="236"/>
      <c r="F28" s="193"/>
      <c r="G28" s="65"/>
      <c r="H28" s="65"/>
      <c r="I28" s="65"/>
      <c r="J28" s="65"/>
      <c r="K28" s="65"/>
      <c r="L28" s="194"/>
      <c r="M28" s="237"/>
      <c r="N28" s="238"/>
      <c r="O28" s="193"/>
      <c r="P28" s="193"/>
      <c r="Q28" s="193"/>
      <c r="R28" s="193"/>
      <c r="S28" s="193"/>
      <c r="T28" s="193"/>
      <c r="U28" s="239"/>
      <c r="V28" s="239"/>
      <c r="W28" s="65"/>
      <c r="X28" s="65"/>
      <c r="Z28" s="262"/>
    </row>
    <row r="29" spans="1:26">
      <c r="B29" s="252"/>
      <c r="C29" s="192"/>
      <c r="D29" s="65"/>
      <c r="E29" s="236"/>
      <c r="F29" s="193"/>
      <c r="G29" s="65"/>
      <c r="H29" s="65"/>
      <c r="I29" s="65"/>
      <c r="J29" s="65"/>
      <c r="K29" s="65"/>
      <c r="L29" s="194"/>
      <c r="M29" s="237"/>
      <c r="N29" s="238"/>
      <c r="O29" s="193"/>
      <c r="P29" s="193"/>
      <c r="Q29" s="193"/>
      <c r="R29" s="193"/>
      <c r="S29" s="193"/>
      <c r="T29" s="193"/>
      <c r="U29" s="239"/>
      <c r="V29" s="239"/>
      <c r="W29" s="65"/>
      <c r="X29" s="65"/>
      <c r="Z29" s="262"/>
    </row>
    <row r="30" spans="1:26">
      <c r="B30" s="252"/>
      <c r="C30" s="192"/>
      <c r="D30" s="65"/>
      <c r="E30" s="236"/>
      <c r="F30" s="193"/>
      <c r="G30" s="65"/>
      <c r="H30" s="65"/>
      <c r="I30" s="65"/>
      <c r="J30" s="65"/>
      <c r="K30" s="65"/>
      <c r="L30" s="194"/>
      <c r="M30" s="237"/>
      <c r="N30" s="238"/>
      <c r="O30" s="193"/>
      <c r="P30" s="193"/>
      <c r="Q30" s="193"/>
      <c r="R30" s="193"/>
      <c r="S30" s="193"/>
      <c r="T30" s="193"/>
      <c r="U30" s="239"/>
      <c r="V30" s="239"/>
      <c r="W30" s="65"/>
      <c r="X30" s="65"/>
      <c r="Z30" s="262"/>
    </row>
    <row r="31" spans="1:26">
      <c r="B31" s="252"/>
      <c r="C31" s="192"/>
      <c r="D31" s="65"/>
      <c r="E31" s="236"/>
      <c r="F31" s="193"/>
      <c r="G31" s="65"/>
      <c r="H31" s="65"/>
      <c r="I31" s="65"/>
      <c r="J31" s="65"/>
      <c r="K31" s="65"/>
      <c r="L31" s="194"/>
      <c r="M31" s="237"/>
      <c r="N31" s="238"/>
      <c r="O31" s="193"/>
      <c r="P31" s="193"/>
      <c r="Q31" s="193"/>
      <c r="R31" s="193"/>
      <c r="S31" s="193"/>
      <c r="T31" s="193"/>
      <c r="U31" s="239"/>
      <c r="V31" s="239"/>
      <c r="W31" s="65"/>
      <c r="X31" s="65"/>
      <c r="Z31" s="262"/>
    </row>
    <row r="32" spans="1:26">
      <c r="B32" s="252"/>
      <c r="C32" s="192"/>
      <c r="D32" s="65"/>
      <c r="E32" s="236"/>
      <c r="F32" s="193"/>
      <c r="G32" s="65"/>
      <c r="H32" s="65"/>
      <c r="I32" s="65"/>
      <c r="J32" s="65"/>
      <c r="K32" s="65"/>
      <c r="L32" s="194"/>
      <c r="M32" s="237"/>
      <c r="N32" s="238"/>
      <c r="O32" s="193"/>
      <c r="P32" s="193"/>
      <c r="Q32" s="193"/>
      <c r="R32" s="193"/>
      <c r="S32" s="193"/>
      <c r="T32" s="193"/>
      <c r="U32" s="239"/>
      <c r="V32" s="239"/>
      <c r="W32" s="65"/>
      <c r="X32" s="65"/>
      <c r="Z32" s="262"/>
    </row>
    <row r="33" spans="2:26">
      <c r="B33" s="252"/>
      <c r="C33" s="192"/>
      <c r="D33" s="65"/>
      <c r="E33" s="236"/>
      <c r="F33" s="193"/>
      <c r="G33" s="65"/>
      <c r="H33" s="65"/>
      <c r="I33" s="65"/>
      <c r="J33" s="65"/>
      <c r="K33" s="65"/>
      <c r="L33" s="194"/>
      <c r="M33" s="237"/>
      <c r="N33" s="238"/>
      <c r="O33" s="193"/>
      <c r="P33" s="193"/>
      <c r="Q33" s="193"/>
      <c r="R33" s="193"/>
      <c r="S33" s="193"/>
      <c r="T33" s="193"/>
      <c r="U33" s="239"/>
      <c r="V33" s="239"/>
      <c r="W33" s="65"/>
      <c r="X33" s="65"/>
      <c r="Z33" s="262"/>
    </row>
    <row r="34" spans="2:26">
      <c r="B34" s="252"/>
      <c r="C34" s="192"/>
      <c r="D34" s="65"/>
      <c r="E34" s="236"/>
      <c r="F34" s="193"/>
      <c r="G34" s="65"/>
      <c r="H34" s="65"/>
      <c r="I34" s="65"/>
      <c r="J34" s="65"/>
      <c r="K34" s="65"/>
      <c r="L34" s="194"/>
      <c r="M34" s="237"/>
      <c r="N34" s="238"/>
      <c r="O34" s="193"/>
      <c r="P34" s="193"/>
      <c r="Q34" s="193"/>
      <c r="R34" s="193"/>
      <c r="S34" s="193"/>
      <c r="T34" s="193"/>
      <c r="U34" s="239"/>
      <c r="V34" s="239"/>
      <c r="W34" s="65"/>
      <c r="X34" s="65"/>
      <c r="Z34" s="262"/>
    </row>
    <row r="35" spans="2:26">
      <c r="B35" s="252"/>
      <c r="C35" s="192"/>
      <c r="D35" s="65"/>
      <c r="E35" s="236"/>
      <c r="F35" s="193"/>
      <c r="G35" s="65"/>
      <c r="H35" s="65"/>
      <c r="I35" s="65"/>
      <c r="J35" s="65"/>
      <c r="K35" s="65"/>
      <c r="L35" s="194"/>
      <c r="M35" s="237"/>
      <c r="N35" s="238"/>
      <c r="O35" s="193"/>
      <c r="P35" s="193"/>
      <c r="Q35" s="193"/>
      <c r="R35" s="193"/>
      <c r="S35" s="193"/>
      <c r="T35" s="193"/>
      <c r="U35" s="239"/>
      <c r="V35" s="239"/>
      <c r="W35" s="65"/>
      <c r="X35" s="65"/>
      <c r="Z35" s="262"/>
    </row>
    <row r="36" spans="2:26">
      <c r="B36" s="252"/>
      <c r="C36" s="192"/>
      <c r="D36" s="65"/>
      <c r="E36" s="236"/>
      <c r="F36" s="193"/>
      <c r="G36" s="65"/>
      <c r="H36" s="65"/>
      <c r="I36" s="65"/>
      <c r="J36" s="65"/>
      <c r="K36" s="65"/>
      <c r="L36" s="194"/>
      <c r="M36" s="237"/>
      <c r="N36" s="238"/>
      <c r="O36" s="193"/>
      <c r="P36" s="193"/>
      <c r="Q36" s="193"/>
      <c r="R36" s="193"/>
      <c r="S36" s="193"/>
      <c r="T36" s="193"/>
      <c r="U36" s="239"/>
      <c r="V36" s="239"/>
      <c r="W36" s="65"/>
      <c r="X36" s="65"/>
      <c r="Z36" s="262"/>
    </row>
    <row r="37" spans="2:26">
      <c r="B37" s="252"/>
      <c r="C37" s="192"/>
      <c r="D37" s="65"/>
      <c r="E37" s="236"/>
      <c r="F37" s="193"/>
      <c r="G37" s="65"/>
      <c r="H37" s="65"/>
      <c r="I37" s="65"/>
      <c r="J37" s="65"/>
      <c r="K37" s="65"/>
      <c r="L37" s="194"/>
      <c r="M37" s="237"/>
      <c r="N37" s="238"/>
      <c r="O37" s="193"/>
      <c r="P37" s="193"/>
      <c r="Q37" s="193"/>
      <c r="R37" s="193"/>
      <c r="S37" s="193"/>
      <c r="T37" s="193"/>
      <c r="U37" s="239"/>
      <c r="V37" s="239"/>
      <c r="W37" s="65"/>
      <c r="X37" s="65"/>
      <c r="Z37" s="262"/>
    </row>
    <row r="38" spans="2:26">
      <c r="B38" s="252"/>
      <c r="C38" s="192"/>
      <c r="D38" s="65"/>
      <c r="E38" s="236"/>
      <c r="F38" s="193"/>
      <c r="G38" s="65"/>
      <c r="H38" s="65"/>
      <c r="I38" s="65"/>
      <c r="J38" s="65"/>
      <c r="K38" s="65"/>
      <c r="L38" s="194"/>
      <c r="M38" s="237"/>
      <c r="N38" s="238"/>
      <c r="O38" s="193"/>
      <c r="P38" s="193"/>
      <c r="Q38" s="193"/>
      <c r="R38" s="193"/>
      <c r="S38" s="193"/>
      <c r="T38" s="193"/>
      <c r="U38" s="239"/>
      <c r="V38" s="239"/>
      <c r="W38" s="65"/>
      <c r="X38" s="65"/>
      <c r="Z38" s="262"/>
    </row>
    <row r="39" spans="2:26">
      <c r="B39" s="252"/>
      <c r="C39" s="192"/>
      <c r="D39" s="65"/>
      <c r="E39" s="236"/>
      <c r="F39" s="193"/>
      <c r="G39" s="65"/>
      <c r="H39" s="65"/>
      <c r="I39" s="65"/>
      <c r="J39" s="65"/>
      <c r="K39" s="65"/>
      <c r="L39" s="194"/>
      <c r="M39" s="237"/>
      <c r="N39" s="238"/>
      <c r="O39" s="193"/>
      <c r="P39" s="193"/>
      <c r="Q39" s="193"/>
      <c r="R39" s="193"/>
      <c r="S39" s="193"/>
      <c r="T39" s="193"/>
      <c r="U39" s="239"/>
      <c r="V39" s="239"/>
      <c r="W39" s="65"/>
      <c r="X39" s="65"/>
      <c r="Z39" s="262"/>
    </row>
    <row r="40" spans="2:26">
      <c r="B40" s="252"/>
      <c r="C40" s="192"/>
      <c r="D40" s="65"/>
      <c r="E40" s="236"/>
      <c r="F40" s="193"/>
      <c r="G40" s="65"/>
      <c r="H40" s="65"/>
      <c r="I40" s="65"/>
      <c r="J40" s="65"/>
      <c r="K40" s="65"/>
      <c r="L40" s="194"/>
      <c r="M40" s="237"/>
      <c r="N40" s="238"/>
      <c r="O40" s="193"/>
      <c r="P40" s="193"/>
      <c r="Q40" s="193"/>
      <c r="R40" s="193"/>
      <c r="S40" s="193"/>
      <c r="T40" s="193"/>
      <c r="U40" s="239"/>
      <c r="V40" s="239"/>
      <c r="W40" s="65"/>
      <c r="X40" s="65"/>
      <c r="Z40" s="262"/>
    </row>
    <row r="41" spans="2:26">
      <c r="B41" s="252"/>
      <c r="C41" s="192"/>
      <c r="D41" s="65"/>
      <c r="E41" s="236"/>
      <c r="F41" s="193"/>
      <c r="G41" s="65"/>
      <c r="H41" s="65"/>
      <c r="I41" s="65"/>
      <c r="J41" s="65"/>
      <c r="K41" s="65"/>
      <c r="L41" s="194"/>
      <c r="M41" s="237"/>
      <c r="N41" s="238"/>
      <c r="O41" s="193"/>
      <c r="P41" s="193"/>
      <c r="Q41" s="193"/>
      <c r="R41" s="193"/>
      <c r="S41" s="193"/>
      <c r="T41" s="193"/>
      <c r="U41" s="239"/>
      <c r="V41" s="239"/>
      <c r="W41" s="65"/>
      <c r="X41" s="65"/>
      <c r="Z41" s="262"/>
    </row>
    <row r="42" spans="2:26">
      <c r="B42" s="252"/>
      <c r="C42" s="192"/>
      <c r="D42" s="65"/>
      <c r="E42" s="236"/>
      <c r="F42" s="193"/>
      <c r="G42" s="65"/>
      <c r="H42" s="65"/>
      <c r="I42" s="65"/>
      <c r="J42" s="65"/>
      <c r="K42" s="65"/>
      <c r="L42" s="194"/>
      <c r="M42" s="237"/>
      <c r="N42" s="238"/>
      <c r="O42" s="193"/>
      <c r="P42" s="193"/>
      <c r="Q42" s="193"/>
      <c r="R42" s="193"/>
      <c r="S42" s="193"/>
      <c r="T42" s="193"/>
      <c r="U42" s="239"/>
      <c r="V42" s="239"/>
      <c r="W42" s="65"/>
      <c r="X42" s="65"/>
      <c r="Z42" s="262"/>
    </row>
    <row r="43" spans="2:26">
      <c r="B43" s="252"/>
      <c r="C43" s="192"/>
      <c r="D43" s="65"/>
      <c r="E43" s="236"/>
      <c r="F43" s="193"/>
      <c r="G43" s="65"/>
      <c r="H43" s="65"/>
      <c r="I43" s="65"/>
      <c r="J43" s="65"/>
      <c r="K43" s="65"/>
      <c r="L43" s="194"/>
      <c r="M43" s="237"/>
      <c r="N43" s="238"/>
      <c r="O43" s="193"/>
      <c r="P43" s="193"/>
      <c r="Q43" s="193"/>
      <c r="R43" s="193"/>
      <c r="S43" s="193"/>
      <c r="T43" s="193"/>
      <c r="U43" s="239"/>
      <c r="V43" s="239"/>
      <c r="W43" s="65"/>
      <c r="X43" s="65"/>
      <c r="Z43" s="262"/>
    </row>
    <row r="44" spans="2:26">
      <c r="B44" s="252"/>
      <c r="C44" s="192"/>
      <c r="D44" s="65"/>
      <c r="E44" s="236"/>
      <c r="F44" s="193"/>
      <c r="G44" s="65"/>
      <c r="H44" s="65"/>
      <c r="I44" s="65"/>
      <c r="J44" s="65"/>
      <c r="K44" s="65"/>
      <c r="L44" s="194"/>
      <c r="M44" s="237"/>
      <c r="N44" s="238"/>
      <c r="O44" s="193"/>
      <c r="P44" s="193"/>
      <c r="Q44" s="193"/>
      <c r="R44" s="193"/>
      <c r="S44" s="193"/>
      <c r="T44" s="193"/>
      <c r="U44" s="239"/>
      <c r="V44" s="239"/>
      <c r="W44" s="65"/>
      <c r="X44" s="65"/>
      <c r="Z44" s="262"/>
    </row>
    <row r="45" spans="2:26">
      <c r="B45" s="252"/>
      <c r="C45" s="192"/>
      <c r="D45" s="65"/>
      <c r="E45" s="236"/>
      <c r="F45" s="193"/>
      <c r="G45" s="65"/>
      <c r="H45" s="65"/>
      <c r="I45" s="65"/>
      <c r="J45" s="65"/>
      <c r="K45" s="65"/>
      <c r="L45" s="194"/>
      <c r="M45" s="237"/>
      <c r="N45" s="238"/>
      <c r="O45" s="193"/>
      <c r="P45" s="193"/>
      <c r="Q45" s="193"/>
      <c r="R45" s="193"/>
      <c r="S45" s="193"/>
      <c r="T45" s="193"/>
      <c r="U45" s="239"/>
      <c r="V45" s="239"/>
      <c r="W45" s="65"/>
      <c r="X45" s="65"/>
      <c r="Z45" s="262"/>
    </row>
    <row r="46" spans="2:26">
      <c r="B46" s="252"/>
      <c r="C46" s="192"/>
      <c r="D46" s="65"/>
      <c r="E46" s="236"/>
      <c r="F46" s="193"/>
      <c r="G46" s="65"/>
      <c r="H46" s="65"/>
      <c r="I46" s="65"/>
      <c r="J46" s="65"/>
      <c r="K46" s="65"/>
      <c r="L46" s="194"/>
      <c r="M46" s="237"/>
      <c r="N46" s="238"/>
      <c r="O46" s="193"/>
      <c r="P46" s="193"/>
      <c r="Q46" s="193"/>
      <c r="R46" s="193"/>
      <c r="S46" s="193"/>
      <c r="T46" s="193"/>
      <c r="U46" s="239"/>
      <c r="V46" s="239"/>
      <c r="W46" s="65"/>
      <c r="X46" s="65"/>
      <c r="Z46" s="262"/>
    </row>
    <row r="47" spans="2:26">
      <c r="B47" s="252"/>
      <c r="C47" s="192"/>
      <c r="D47" s="65"/>
      <c r="E47" s="236"/>
      <c r="F47" s="193"/>
      <c r="G47" s="65"/>
      <c r="H47" s="65"/>
      <c r="I47" s="65"/>
      <c r="J47" s="65"/>
      <c r="K47" s="65"/>
      <c r="L47" s="194"/>
      <c r="M47" s="237"/>
      <c r="N47" s="238"/>
      <c r="O47" s="193"/>
      <c r="P47" s="193"/>
      <c r="Q47" s="193"/>
      <c r="R47" s="193"/>
      <c r="S47" s="193"/>
      <c r="T47" s="193"/>
      <c r="U47" s="239"/>
      <c r="V47" s="239"/>
      <c r="W47" s="65"/>
      <c r="X47" s="65"/>
      <c r="Z47" s="262"/>
    </row>
    <row r="48" spans="2:26">
      <c r="B48" s="252"/>
      <c r="C48" s="192"/>
      <c r="D48" s="65"/>
      <c r="E48" s="236"/>
      <c r="F48" s="193"/>
      <c r="G48" s="65"/>
      <c r="H48" s="65"/>
      <c r="I48" s="65"/>
      <c r="J48" s="65"/>
      <c r="K48" s="65"/>
      <c r="L48" s="194"/>
      <c r="M48" s="237"/>
      <c r="N48" s="238"/>
      <c r="O48" s="193"/>
      <c r="P48" s="193"/>
      <c r="Q48" s="193"/>
      <c r="R48" s="193"/>
      <c r="S48" s="193"/>
      <c r="T48" s="193"/>
      <c r="U48" s="239"/>
      <c r="V48" s="239"/>
      <c r="W48" s="65"/>
      <c r="X48" s="65"/>
      <c r="Z48" s="262"/>
    </row>
    <row r="49" spans="2:26">
      <c r="B49" s="252"/>
      <c r="C49" s="192"/>
      <c r="D49" s="65"/>
      <c r="E49" s="236"/>
      <c r="F49" s="193"/>
      <c r="G49" s="65"/>
      <c r="H49" s="65"/>
      <c r="I49" s="65"/>
      <c r="J49" s="65"/>
      <c r="K49" s="65"/>
      <c r="L49" s="194"/>
      <c r="M49" s="237"/>
      <c r="N49" s="238"/>
      <c r="O49" s="193"/>
      <c r="P49" s="193"/>
      <c r="Q49" s="193"/>
      <c r="R49" s="193"/>
      <c r="S49" s="193"/>
      <c r="T49" s="193"/>
      <c r="U49" s="239"/>
      <c r="V49" s="239"/>
      <c r="W49" s="65"/>
      <c r="X49" s="65"/>
      <c r="Z49" s="262"/>
    </row>
    <row r="50" spans="2:26">
      <c r="B50" s="252"/>
      <c r="C50" s="192"/>
      <c r="D50" s="65"/>
      <c r="E50" s="236"/>
      <c r="F50" s="193"/>
      <c r="G50" s="65"/>
      <c r="H50" s="65"/>
      <c r="I50" s="65"/>
      <c r="J50" s="65"/>
      <c r="K50" s="65"/>
      <c r="L50" s="194"/>
      <c r="M50" s="237"/>
      <c r="N50" s="238"/>
      <c r="O50" s="193"/>
      <c r="P50" s="193"/>
      <c r="Q50" s="193"/>
      <c r="R50" s="193"/>
      <c r="S50" s="193"/>
      <c r="T50" s="193"/>
      <c r="U50" s="239"/>
      <c r="V50" s="239"/>
      <c r="W50" s="65"/>
      <c r="X50" s="65"/>
      <c r="Z50" s="262"/>
    </row>
    <row r="51" spans="2:26">
      <c r="B51" s="252"/>
      <c r="C51" s="192"/>
      <c r="D51" s="65"/>
      <c r="E51" s="236"/>
      <c r="F51" s="193"/>
      <c r="G51" s="65"/>
      <c r="H51" s="65"/>
      <c r="I51" s="65"/>
      <c r="J51" s="65"/>
      <c r="K51" s="65"/>
      <c r="L51" s="194"/>
      <c r="M51" s="237"/>
      <c r="N51" s="238"/>
      <c r="O51" s="193"/>
      <c r="P51" s="193"/>
      <c r="Q51" s="193"/>
      <c r="R51" s="193"/>
      <c r="S51" s="193"/>
      <c r="T51" s="193"/>
      <c r="U51" s="239"/>
      <c r="V51" s="239"/>
      <c r="W51" s="65"/>
      <c r="X51" s="65"/>
    </row>
    <row r="52" spans="2:26">
      <c r="B52" s="252"/>
      <c r="C52" s="192"/>
      <c r="D52" s="65"/>
      <c r="E52" s="236"/>
      <c r="F52" s="193"/>
      <c r="G52" s="65"/>
      <c r="H52" s="65"/>
      <c r="I52" s="65"/>
      <c r="J52" s="65"/>
      <c r="K52" s="65"/>
      <c r="L52" s="194"/>
      <c r="M52" s="237"/>
      <c r="N52" s="238"/>
      <c r="O52" s="193"/>
      <c r="P52" s="193"/>
      <c r="Q52" s="193"/>
      <c r="R52" s="193"/>
      <c r="S52" s="193"/>
      <c r="T52" s="193"/>
      <c r="U52" s="239"/>
      <c r="V52" s="239"/>
      <c r="W52" s="65"/>
      <c r="X52" s="65"/>
    </row>
    <row r="53" spans="2:26">
      <c r="B53" s="252"/>
      <c r="C53" s="192"/>
      <c r="D53" s="65"/>
      <c r="E53" s="236"/>
      <c r="F53" s="193"/>
      <c r="G53" s="65"/>
      <c r="H53" s="65"/>
      <c r="I53" s="65"/>
      <c r="J53" s="65"/>
      <c r="K53" s="65"/>
      <c r="L53" s="194"/>
      <c r="M53" s="237"/>
      <c r="N53" s="238"/>
      <c r="O53" s="193"/>
      <c r="P53" s="193"/>
      <c r="Q53" s="193"/>
      <c r="R53" s="193"/>
      <c r="S53" s="193"/>
      <c r="T53" s="193"/>
      <c r="U53" s="239"/>
      <c r="V53" s="239"/>
      <c r="W53" s="65"/>
      <c r="X53" s="65"/>
    </row>
    <row r="54" spans="2:26">
      <c r="B54" s="252"/>
      <c r="C54" s="192"/>
      <c r="D54" s="65"/>
      <c r="E54" s="236"/>
      <c r="F54" s="193"/>
      <c r="G54" s="65"/>
      <c r="H54" s="65"/>
      <c r="I54" s="65"/>
      <c r="J54" s="65"/>
      <c r="K54" s="65"/>
      <c r="L54" s="194"/>
      <c r="M54" s="237"/>
      <c r="N54" s="238"/>
      <c r="O54" s="193"/>
      <c r="P54" s="193"/>
      <c r="Q54" s="193"/>
      <c r="R54" s="193"/>
      <c r="S54" s="193"/>
      <c r="T54" s="193"/>
      <c r="U54" s="239"/>
      <c r="V54" s="239"/>
      <c r="W54" s="65"/>
      <c r="X54" s="65"/>
    </row>
    <row r="55" spans="2:26">
      <c r="B55" s="252"/>
      <c r="C55" s="192"/>
      <c r="D55" s="65"/>
      <c r="E55" s="236"/>
      <c r="F55" s="193"/>
      <c r="G55" s="65"/>
      <c r="H55" s="65"/>
      <c r="I55" s="65"/>
      <c r="J55" s="65"/>
      <c r="K55" s="65"/>
      <c r="L55" s="194"/>
      <c r="M55" s="237"/>
      <c r="N55" s="238"/>
      <c r="O55" s="193"/>
      <c r="P55" s="193"/>
      <c r="Q55" s="193"/>
      <c r="R55" s="193"/>
      <c r="S55" s="193"/>
      <c r="T55" s="193"/>
      <c r="U55" s="239"/>
      <c r="V55" s="239"/>
      <c r="W55" s="65"/>
      <c r="X55" s="65"/>
    </row>
    <row r="56" spans="2:26">
      <c r="B56" s="252"/>
      <c r="C56" s="192"/>
      <c r="D56" s="65"/>
      <c r="E56" s="236"/>
      <c r="F56" s="193"/>
      <c r="G56" s="65"/>
      <c r="H56" s="65"/>
      <c r="I56" s="65"/>
      <c r="J56" s="65"/>
      <c r="K56" s="65"/>
      <c r="L56" s="194"/>
      <c r="M56" s="237"/>
      <c r="N56" s="238"/>
      <c r="O56" s="193"/>
      <c r="P56" s="193"/>
      <c r="Q56" s="193"/>
      <c r="R56" s="193"/>
      <c r="S56" s="193"/>
      <c r="T56" s="193"/>
      <c r="U56" s="239"/>
      <c r="V56" s="239"/>
      <c r="W56" s="65"/>
      <c r="X56" s="65"/>
    </row>
    <row r="57" spans="2:26">
      <c r="B57" s="252"/>
      <c r="C57" s="192"/>
      <c r="D57" s="65"/>
      <c r="E57" s="236"/>
      <c r="F57" s="193"/>
      <c r="G57" s="65"/>
      <c r="H57" s="65"/>
      <c r="I57" s="65"/>
      <c r="J57" s="65"/>
      <c r="K57" s="65"/>
      <c r="L57" s="194"/>
      <c r="M57" s="237"/>
      <c r="N57" s="238"/>
      <c r="O57" s="193"/>
      <c r="P57" s="193"/>
      <c r="Q57" s="193"/>
      <c r="R57" s="193"/>
      <c r="S57" s="193"/>
      <c r="T57" s="193"/>
      <c r="U57" s="239"/>
      <c r="V57" s="239"/>
      <c r="W57" s="65"/>
      <c r="X57" s="65"/>
    </row>
    <row r="58" spans="2:26">
      <c r="B58" s="252"/>
      <c r="C58" s="192"/>
      <c r="D58" s="65"/>
      <c r="E58" s="236"/>
      <c r="F58" s="193"/>
      <c r="G58" s="65"/>
      <c r="H58" s="65"/>
      <c r="I58" s="65"/>
      <c r="J58" s="65"/>
      <c r="K58" s="65"/>
      <c r="L58" s="194"/>
      <c r="M58" s="237"/>
      <c r="N58" s="238"/>
      <c r="O58" s="193"/>
      <c r="P58" s="193"/>
      <c r="Q58" s="193"/>
      <c r="R58" s="193"/>
      <c r="S58" s="193"/>
      <c r="T58" s="193"/>
      <c r="U58" s="239"/>
      <c r="V58" s="239"/>
      <c r="W58" s="65"/>
      <c r="X58" s="65"/>
    </row>
    <row r="59" spans="2:26">
      <c r="B59" s="252"/>
      <c r="C59" s="192"/>
      <c r="D59" s="65"/>
      <c r="E59" s="236"/>
      <c r="F59" s="193"/>
      <c r="G59" s="65"/>
      <c r="H59" s="65"/>
      <c r="I59" s="65"/>
      <c r="J59" s="65"/>
      <c r="K59" s="65"/>
      <c r="L59" s="194"/>
      <c r="M59" s="237"/>
      <c r="N59" s="238"/>
      <c r="O59" s="193"/>
      <c r="P59" s="193"/>
      <c r="Q59" s="193"/>
      <c r="R59" s="193"/>
      <c r="S59" s="193"/>
      <c r="T59" s="193"/>
      <c r="U59" s="239"/>
      <c r="V59" s="239"/>
      <c r="W59" s="65"/>
      <c r="X59" s="65"/>
    </row>
    <row r="60" spans="2:26">
      <c r="B60" s="252"/>
      <c r="C60" s="192"/>
      <c r="D60" s="65"/>
      <c r="E60" s="236"/>
      <c r="F60" s="193"/>
      <c r="G60" s="65"/>
      <c r="H60" s="65"/>
      <c r="I60" s="65"/>
      <c r="J60" s="65"/>
      <c r="K60" s="65"/>
      <c r="L60" s="194"/>
      <c r="M60" s="237"/>
      <c r="N60" s="238"/>
      <c r="O60" s="193"/>
      <c r="P60" s="193"/>
      <c r="Q60" s="193"/>
      <c r="R60" s="193"/>
      <c r="S60" s="193"/>
      <c r="T60" s="193"/>
      <c r="U60" s="239"/>
      <c r="V60" s="239"/>
      <c r="W60" s="65"/>
      <c r="X60" s="65"/>
    </row>
    <row r="61" spans="2:26">
      <c r="B61" s="252"/>
      <c r="C61" s="192"/>
      <c r="D61" s="65"/>
      <c r="E61" s="236"/>
      <c r="F61" s="193"/>
      <c r="G61" s="65"/>
      <c r="H61" s="65"/>
      <c r="I61" s="65"/>
      <c r="J61" s="65"/>
      <c r="K61" s="65"/>
      <c r="L61" s="194"/>
      <c r="M61" s="237"/>
      <c r="N61" s="238"/>
      <c r="O61" s="193"/>
      <c r="P61" s="193"/>
      <c r="Q61" s="193"/>
      <c r="R61" s="193"/>
      <c r="S61" s="193"/>
      <c r="T61" s="193"/>
      <c r="U61" s="239"/>
      <c r="V61" s="239"/>
      <c r="W61" s="65"/>
      <c r="X61" s="65"/>
    </row>
    <row r="62" spans="2:26">
      <c r="B62" s="252"/>
      <c r="C62" s="192"/>
      <c r="D62" s="65"/>
      <c r="E62" s="236"/>
      <c r="F62" s="193"/>
      <c r="G62" s="65"/>
      <c r="H62" s="65"/>
      <c r="I62" s="65"/>
      <c r="J62" s="65"/>
      <c r="K62" s="65"/>
      <c r="L62" s="194"/>
      <c r="M62" s="237"/>
      <c r="N62" s="238"/>
      <c r="O62" s="193"/>
      <c r="P62" s="193"/>
      <c r="Q62" s="193"/>
      <c r="R62" s="193"/>
      <c r="S62" s="193"/>
      <c r="T62" s="193"/>
      <c r="U62" s="239"/>
      <c r="V62" s="239"/>
      <c r="W62" s="65"/>
      <c r="X62" s="65"/>
    </row>
    <row r="63" spans="2:26">
      <c r="B63" s="252"/>
      <c r="C63" s="192"/>
      <c r="D63" s="65"/>
      <c r="E63" s="236"/>
      <c r="F63" s="193"/>
      <c r="G63" s="65"/>
      <c r="H63" s="65"/>
      <c r="I63" s="65"/>
      <c r="J63" s="65"/>
      <c r="K63" s="65"/>
      <c r="L63" s="194"/>
      <c r="M63" s="237"/>
      <c r="N63" s="238"/>
      <c r="O63" s="193"/>
      <c r="P63" s="193"/>
      <c r="Q63" s="193"/>
      <c r="R63" s="193"/>
      <c r="S63" s="193"/>
      <c r="T63" s="193"/>
      <c r="U63" s="239"/>
      <c r="V63" s="239"/>
      <c r="W63" s="65"/>
      <c r="X63" s="65"/>
    </row>
    <row r="64" spans="2:26">
      <c r="B64" s="252"/>
      <c r="C64" s="192"/>
      <c r="D64" s="65"/>
      <c r="E64" s="236"/>
      <c r="F64" s="193"/>
      <c r="G64" s="65"/>
      <c r="H64" s="65"/>
      <c r="I64" s="65"/>
      <c r="J64" s="65"/>
      <c r="K64" s="65"/>
      <c r="L64" s="194"/>
      <c r="M64" s="237"/>
      <c r="N64" s="238"/>
      <c r="O64" s="193"/>
      <c r="P64" s="193"/>
      <c r="Q64" s="193"/>
      <c r="R64" s="193"/>
      <c r="S64" s="193"/>
      <c r="T64" s="193"/>
      <c r="U64" s="239"/>
      <c r="V64" s="239"/>
      <c r="W64" s="65"/>
      <c r="X64" s="65"/>
    </row>
    <row r="65" spans="2:24">
      <c r="B65" s="252"/>
      <c r="C65" s="192"/>
      <c r="D65" s="65"/>
      <c r="E65" s="236"/>
      <c r="F65" s="193"/>
      <c r="G65" s="65"/>
      <c r="H65" s="65"/>
      <c r="I65" s="65"/>
      <c r="J65" s="65"/>
      <c r="K65" s="65"/>
      <c r="L65" s="194"/>
      <c r="M65" s="237"/>
      <c r="N65" s="238"/>
      <c r="O65" s="193"/>
      <c r="P65" s="193"/>
      <c r="Q65" s="193"/>
      <c r="R65" s="193"/>
      <c r="S65" s="193"/>
      <c r="T65" s="193"/>
      <c r="U65" s="239"/>
      <c r="V65" s="239"/>
      <c r="W65" s="65"/>
      <c r="X65" s="65"/>
    </row>
    <row r="66" spans="2:24">
      <c r="B66" s="252"/>
      <c r="C66" s="192"/>
      <c r="D66" s="65"/>
      <c r="E66" s="236"/>
      <c r="F66" s="193"/>
      <c r="G66" s="65"/>
      <c r="H66" s="65"/>
      <c r="I66" s="65"/>
      <c r="J66" s="65"/>
      <c r="K66" s="65"/>
      <c r="L66" s="194"/>
      <c r="M66" s="237"/>
      <c r="N66" s="238"/>
      <c r="O66" s="193"/>
      <c r="P66" s="193"/>
      <c r="Q66" s="193"/>
      <c r="R66" s="193"/>
      <c r="S66" s="193"/>
      <c r="T66" s="193"/>
      <c r="U66" s="239"/>
      <c r="V66" s="239"/>
      <c r="W66" s="65"/>
      <c r="X66" s="65"/>
    </row>
    <row r="67" spans="2:24">
      <c r="B67" s="252"/>
      <c r="C67" s="192"/>
      <c r="D67" s="65"/>
      <c r="E67" s="236"/>
      <c r="F67" s="193"/>
      <c r="G67" s="65"/>
      <c r="H67" s="65"/>
      <c r="I67" s="65"/>
      <c r="J67" s="65"/>
      <c r="K67" s="65"/>
      <c r="L67" s="194"/>
      <c r="M67" s="237"/>
      <c r="N67" s="238"/>
      <c r="O67" s="193"/>
      <c r="P67" s="193"/>
      <c r="Q67" s="193"/>
      <c r="R67" s="193"/>
      <c r="S67" s="193"/>
      <c r="T67" s="193"/>
      <c r="U67" s="239"/>
      <c r="V67" s="239"/>
      <c r="W67" s="65"/>
      <c r="X67" s="65"/>
    </row>
    <row r="68" spans="2:24">
      <c r="B68" s="252"/>
      <c r="C68" s="192"/>
      <c r="D68" s="65"/>
      <c r="E68" s="236"/>
      <c r="F68" s="193"/>
      <c r="G68" s="65"/>
      <c r="H68" s="65"/>
      <c r="I68" s="65"/>
      <c r="J68" s="65"/>
      <c r="K68" s="65"/>
      <c r="L68" s="194"/>
      <c r="M68" s="237"/>
      <c r="N68" s="238"/>
      <c r="O68" s="193"/>
      <c r="P68" s="193"/>
      <c r="Q68" s="193"/>
      <c r="R68" s="193"/>
      <c r="S68" s="193"/>
      <c r="T68" s="193"/>
      <c r="U68" s="239"/>
      <c r="V68" s="239"/>
      <c r="W68" s="65"/>
      <c r="X68" s="65"/>
    </row>
    <row r="69" spans="2:24">
      <c r="B69" s="252"/>
      <c r="C69" s="192"/>
      <c r="D69" s="65"/>
      <c r="E69" s="236"/>
      <c r="F69" s="193"/>
      <c r="G69" s="65"/>
      <c r="H69" s="65"/>
      <c r="I69" s="65"/>
      <c r="J69" s="65"/>
      <c r="K69" s="65"/>
      <c r="L69" s="194"/>
      <c r="M69" s="237"/>
      <c r="N69" s="238"/>
      <c r="O69" s="193"/>
      <c r="P69" s="193"/>
      <c r="Q69" s="193"/>
      <c r="R69" s="193"/>
      <c r="S69" s="193"/>
      <c r="T69" s="193"/>
      <c r="U69" s="239"/>
      <c r="V69" s="239"/>
      <c r="W69" s="65"/>
      <c r="X69" s="65"/>
    </row>
    <row r="70" spans="2:24">
      <c r="B70" s="252"/>
      <c r="C70" s="192"/>
      <c r="D70" s="65"/>
      <c r="E70" s="236"/>
      <c r="F70" s="193"/>
      <c r="G70" s="65"/>
      <c r="H70" s="65"/>
      <c r="I70" s="65"/>
      <c r="J70" s="65"/>
      <c r="K70" s="65"/>
      <c r="L70" s="194"/>
      <c r="M70" s="237"/>
      <c r="N70" s="238"/>
      <c r="O70" s="193"/>
      <c r="P70" s="193"/>
      <c r="Q70" s="193"/>
      <c r="R70" s="193"/>
      <c r="S70" s="193"/>
      <c r="T70" s="193"/>
      <c r="U70" s="239"/>
      <c r="V70" s="239"/>
      <c r="W70" s="65"/>
      <c r="X70" s="65"/>
    </row>
    <row r="71" spans="2:24">
      <c r="B71" s="252"/>
      <c r="C71" s="192"/>
      <c r="D71" s="65"/>
      <c r="E71" s="236"/>
      <c r="F71" s="193"/>
      <c r="G71" s="65"/>
      <c r="H71" s="65"/>
      <c r="I71" s="65"/>
      <c r="J71" s="65"/>
      <c r="K71" s="65"/>
      <c r="L71" s="194"/>
      <c r="M71" s="237"/>
      <c r="N71" s="238"/>
      <c r="O71" s="193"/>
      <c r="P71" s="193"/>
      <c r="Q71" s="193"/>
      <c r="R71" s="193"/>
      <c r="S71" s="193"/>
      <c r="T71" s="193"/>
      <c r="U71" s="239"/>
      <c r="V71" s="239"/>
      <c r="W71" s="65"/>
      <c r="X71" s="65"/>
    </row>
    <row r="72" spans="2:24">
      <c r="B72" s="252"/>
      <c r="C72" s="192"/>
      <c r="D72" s="65"/>
      <c r="E72" s="236"/>
      <c r="F72" s="193"/>
      <c r="G72" s="65"/>
      <c r="H72" s="65"/>
      <c r="I72" s="65"/>
      <c r="J72" s="65"/>
      <c r="K72" s="65"/>
      <c r="L72" s="194"/>
      <c r="M72" s="237"/>
      <c r="N72" s="238"/>
      <c r="O72" s="193"/>
      <c r="P72" s="193"/>
      <c r="Q72" s="193"/>
      <c r="R72" s="193"/>
      <c r="S72" s="193"/>
      <c r="T72" s="193"/>
      <c r="U72" s="239"/>
      <c r="V72" s="239"/>
      <c r="W72" s="65"/>
      <c r="X72" s="65"/>
    </row>
    <row r="73" spans="2:24">
      <c r="B73" s="252"/>
      <c r="C73" s="192"/>
      <c r="D73" s="65"/>
      <c r="E73" s="236"/>
      <c r="F73" s="193"/>
      <c r="G73" s="65"/>
      <c r="H73" s="65"/>
      <c r="I73" s="65"/>
      <c r="J73" s="65"/>
      <c r="K73" s="65"/>
      <c r="L73" s="194"/>
      <c r="M73" s="237"/>
      <c r="N73" s="238"/>
      <c r="O73" s="193"/>
      <c r="P73" s="193"/>
      <c r="Q73" s="193"/>
      <c r="R73" s="193"/>
      <c r="S73" s="193"/>
      <c r="T73" s="193"/>
      <c r="U73" s="239"/>
      <c r="V73" s="239"/>
      <c r="W73" s="65"/>
      <c r="X73" s="65"/>
    </row>
    <row r="74" spans="2:24">
      <c r="B74" s="252"/>
      <c r="C74" s="192"/>
      <c r="D74" s="65"/>
      <c r="E74" s="236"/>
      <c r="F74" s="193"/>
      <c r="G74" s="65"/>
      <c r="H74" s="65"/>
      <c r="I74" s="65"/>
      <c r="J74" s="65"/>
      <c r="K74" s="65"/>
      <c r="L74" s="194"/>
      <c r="M74" s="237"/>
      <c r="N74" s="238"/>
      <c r="O74" s="193"/>
      <c r="P74" s="193"/>
      <c r="Q74" s="193"/>
      <c r="R74" s="193"/>
      <c r="S74" s="193"/>
      <c r="T74" s="193"/>
      <c r="U74" s="239"/>
      <c r="V74" s="239"/>
      <c r="W74" s="65"/>
      <c r="X74" s="65"/>
    </row>
    <row r="75" spans="2:24">
      <c r="B75" s="252"/>
      <c r="C75" s="192"/>
      <c r="D75" s="65"/>
      <c r="E75" s="236"/>
      <c r="F75" s="193"/>
      <c r="G75" s="65"/>
      <c r="H75" s="65"/>
      <c r="I75" s="65"/>
      <c r="J75" s="65"/>
      <c r="K75" s="65"/>
      <c r="L75" s="194"/>
      <c r="M75" s="237"/>
      <c r="N75" s="238"/>
      <c r="O75" s="193"/>
      <c r="P75" s="193"/>
      <c r="Q75" s="193"/>
      <c r="R75" s="193"/>
      <c r="S75" s="193"/>
      <c r="T75" s="193"/>
      <c r="U75" s="239"/>
      <c r="V75" s="239"/>
      <c r="W75" s="65"/>
      <c r="X75" s="65"/>
    </row>
    <row r="76" spans="2:24">
      <c r="B76" s="252"/>
      <c r="C76" s="192"/>
      <c r="D76" s="65"/>
      <c r="E76" s="236"/>
      <c r="F76" s="193"/>
      <c r="G76" s="65"/>
      <c r="H76" s="65"/>
      <c r="I76" s="65"/>
      <c r="J76" s="65"/>
      <c r="K76" s="65"/>
      <c r="L76" s="194"/>
      <c r="M76" s="237"/>
      <c r="N76" s="238"/>
      <c r="O76" s="193"/>
      <c r="P76" s="193"/>
      <c r="Q76" s="193"/>
      <c r="R76" s="193"/>
      <c r="S76" s="193"/>
      <c r="T76" s="193"/>
      <c r="U76" s="239"/>
      <c r="V76" s="239"/>
      <c r="W76" s="65"/>
      <c r="X76" s="65"/>
    </row>
    <row r="77" spans="2:24">
      <c r="B77" s="252"/>
      <c r="C77" s="192"/>
      <c r="D77" s="65"/>
      <c r="E77" s="236"/>
      <c r="F77" s="193"/>
      <c r="G77" s="65"/>
      <c r="H77" s="65"/>
      <c r="I77" s="65"/>
      <c r="J77" s="65"/>
      <c r="K77" s="65"/>
      <c r="L77" s="194"/>
      <c r="M77" s="237"/>
      <c r="N77" s="238"/>
      <c r="O77" s="193"/>
      <c r="P77" s="193"/>
      <c r="Q77" s="193"/>
      <c r="R77" s="193"/>
      <c r="S77" s="193"/>
      <c r="T77" s="193"/>
      <c r="U77" s="239"/>
      <c r="V77" s="239"/>
      <c r="W77" s="65"/>
      <c r="X77" s="65"/>
    </row>
    <row r="78" spans="2:24">
      <c r="B78" s="252"/>
      <c r="C78" s="192"/>
      <c r="D78" s="65"/>
      <c r="E78" s="236"/>
      <c r="F78" s="193"/>
      <c r="G78" s="65"/>
      <c r="H78" s="65"/>
      <c r="I78" s="65"/>
      <c r="J78" s="65"/>
      <c r="K78" s="65"/>
      <c r="L78" s="194"/>
      <c r="M78" s="237"/>
      <c r="N78" s="238"/>
      <c r="O78" s="193"/>
      <c r="P78" s="193"/>
      <c r="Q78" s="193"/>
      <c r="R78" s="193"/>
      <c r="S78" s="193"/>
      <c r="T78" s="193"/>
      <c r="U78" s="239"/>
      <c r="V78" s="239"/>
      <c r="W78" s="65"/>
      <c r="X78" s="65"/>
    </row>
    <row r="79" spans="2:24">
      <c r="B79" s="252"/>
      <c r="C79" s="192"/>
      <c r="D79" s="65"/>
      <c r="E79" s="236"/>
      <c r="F79" s="193"/>
      <c r="G79" s="65"/>
      <c r="H79" s="65"/>
      <c r="I79" s="65"/>
      <c r="J79" s="65"/>
      <c r="K79" s="65"/>
      <c r="L79" s="194"/>
      <c r="M79" s="237"/>
      <c r="N79" s="238"/>
      <c r="O79" s="193"/>
      <c r="P79" s="193"/>
      <c r="Q79" s="193"/>
      <c r="R79" s="193"/>
      <c r="S79" s="193"/>
      <c r="T79" s="193"/>
      <c r="U79" s="239"/>
      <c r="V79" s="239"/>
      <c r="W79" s="65"/>
      <c r="X79" s="65"/>
    </row>
    <row r="80" spans="2:24">
      <c r="B80" s="252"/>
      <c r="C80" s="192"/>
      <c r="D80" s="65"/>
      <c r="E80" s="236"/>
      <c r="F80" s="193"/>
      <c r="G80" s="65"/>
      <c r="H80" s="65"/>
      <c r="I80" s="65"/>
      <c r="J80" s="65"/>
      <c r="K80" s="65"/>
      <c r="L80" s="194"/>
      <c r="M80" s="237"/>
      <c r="N80" s="238"/>
      <c r="O80" s="193"/>
      <c r="P80" s="193"/>
      <c r="Q80" s="193"/>
      <c r="R80" s="193"/>
      <c r="S80" s="193"/>
      <c r="T80" s="193"/>
      <c r="U80" s="239"/>
      <c r="V80" s="239"/>
      <c r="W80" s="65"/>
      <c r="X80" s="65"/>
    </row>
    <row r="81" spans="2:24">
      <c r="B81" s="252"/>
      <c r="C81" s="192"/>
      <c r="D81" s="65"/>
      <c r="E81" s="236"/>
      <c r="F81" s="193"/>
      <c r="G81" s="65"/>
      <c r="H81" s="65"/>
      <c r="I81" s="65"/>
      <c r="J81" s="65"/>
      <c r="K81" s="65"/>
      <c r="L81" s="194"/>
      <c r="M81" s="237"/>
      <c r="N81" s="238"/>
      <c r="O81" s="193"/>
      <c r="P81" s="193"/>
      <c r="Q81" s="193"/>
      <c r="R81" s="193"/>
      <c r="S81" s="193"/>
      <c r="T81" s="193"/>
      <c r="U81" s="239"/>
      <c r="V81" s="239"/>
      <c r="W81" s="65"/>
      <c r="X81" s="65"/>
    </row>
    <row r="82" spans="2:24">
      <c r="B82" s="252"/>
      <c r="C82" s="192"/>
      <c r="D82" s="65"/>
      <c r="E82" s="236"/>
      <c r="F82" s="193"/>
      <c r="G82" s="65"/>
      <c r="H82" s="65"/>
      <c r="I82" s="65"/>
      <c r="J82" s="65"/>
      <c r="K82" s="65"/>
      <c r="L82" s="194"/>
      <c r="M82" s="237"/>
      <c r="N82" s="238"/>
      <c r="O82" s="193"/>
      <c r="P82" s="193"/>
      <c r="Q82" s="193"/>
      <c r="R82" s="193"/>
      <c r="S82" s="193"/>
      <c r="T82" s="193"/>
      <c r="U82" s="239"/>
      <c r="V82" s="239"/>
      <c r="W82" s="65"/>
      <c r="X82" s="65"/>
    </row>
    <row r="83" spans="2:24">
      <c r="B83" s="252"/>
      <c r="C83" s="192"/>
      <c r="D83" s="65"/>
      <c r="E83" s="236"/>
      <c r="F83" s="193"/>
      <c r="G83" s="65"/>
      <c r="H83" s="65"/>
      <c r="I83" s="65"/>
      <c r="J83" s="65"/>
      <c r="K83" s="65"/>
      <c r="L83" s="194"/>
      <c r="M83" s="237"/>
      <c r="N83" s="238"/>
      <c r="O83" s="193"/>
      <c r="P83" s="193"/>
      <c r="Q83" s="193"/>
      <c r="R83" s="193"/>
      <c r="S83" s="193"/>
      <c r="T83" s="193"/>
      <c r="U83" s="239"/>
      <c r="V83" s="239"/>
      <c r="W83" s="65"/>
      <c r="X83" s="65"/>
    </row>
    <row r="84" spans="2:24">
      <c r="B84" s="252"/>
      <c r="C84" s="192"/>
      <c r="D84" s="65"/>
      <c r="E84" s="236"/>
      <c r="F84" s="193"/>
      <c r="G84" s="65"/>
      <c r="H84" s="65"/>
      <c r="I84" s="65"/>
      <c r="J84" s="65"/>
      <c r="K84" s="65"/>
      <c r="L84" s="194"/>
      <c r="M84" s="237"/>
      <c r="N84" s="238"/>
      <c r="O84" s="193"/>
      <c r="P84" s="193"/>
      <c r="Q84" s="193"/>
      <c r="R84" s="193"/>
      <c r="S84" s="193"/>
      <c r="T84" s="193"/>
      <c r="U84" s="239"/>
      <c r="V84" s="239"/>
      <c r="W84" s="65"/>
      <c r="X84" s="65"/>
    </row>
    <row r="85" spans="2:24">
      <c r="B85" s="252"/>
      <c r="C85" s="192"/>
      <c r="D85" s="65"/>
      <c r="E85" s="236"/>
      <c r="F85" s="193"/>
      <c r="G85" s="65"/>
      <c r="H85" s="65"/>
      <c r="I85" s="65"/>
      <c r="J85" s="65"/>
      <c r="K85" s="65"/>
      <c r="L85" s="194"/>
      <c r="M85" s="237"/>
      <c r="N85" s="238"/>
      <c r="O85" s="193"/>
      <c r="P85" s="193"/>
      <c r="Q85" s="193"/>
      <c r="R85" s="193"/>
      <c r="S85" s="193"/>
      <c r="T85" s="193"/>
      <c r="U85" s="239"/>
      <c r="V85" s="239"/>
      <c r="W85" s="65"/>
      <c r="X85" s="65"/>
    </row>
    <row r="86" spans="2:24">
      <c r="B86" s="252"/>
      <c r="C86" s="192"/>
      <c r="D86" s="65"/>
      <c r="E86" s="236"/>
      <c r="F86" s="193"/>
      <c r="G86" s="65"/>
      <c r="H86" s="65"/>
      <c r="I86" s="65"/>
      <c r="J86" s="65"/>
      <c r="K86" s="65"/>
      <c r="L86" s="194"/>
      <c r="M86" s="237"/>
      <c r="N86" s="238"/>
      <c r="O86" s="193"/>
      <c r="P86" s="193"/>
      <c r="Q86" s="193"/>
      <c r="R86" s="193"/>
      <c r="S86" s="193"/>
      <c r="T86" s="193"/>
      <c r="U86" s="239"/>
      <c r="V86" s="239"/>
      <c r="W86" s="65"/>
      <c r="X86" s="65"/>
    </row>
    <row r="87" spans="2:24">
      <c r="B87" s="252"/>
      <c r="C87" s="192"/>
      <c r="D87" s="65"/>
      <c r="E87" s="236"/>
      <c r="F87" s="193"/>
      <c r="G87" s="65"/>
      <c r="H87" s="65"/>
      <c r="I87" s="65"/>
      <c r="J87" s="65"/>
      <c r="K87" s="65"/>
      <c r="L87" s="194"/>
      <c r="M87" s="237"/>
      <c r="N87" s="238"/>
      <c r="O87" s="193"/>
      <c r="P87" s="193"/>
      <c r="Q87" s="193"/>
      <c r="R87" s="193"/>
      <c r="S87" s="193"/>
      <c r="T87" s="193"/>
      <c r="U87" s="239"/>
      <c r="V87" s="239"/>
      <c r="W87" s="65"/>
      <c r="X87" s="65"/>
    </row>
    <row r="88" spans="2:24">
      <c r="B88" s="252"/>
      <c r="C88" s="192"/>
      <c r="D88" s="65"/>
      <c r="E88" s="236"/>
      <c r="F88" s="193"/>
      <c r="G88" s="65"/>
      <c r="H88" s="65"/>
      <c r="I88" s="65"/>
      <c r="J88" s="65"/>
      <c r="K88" s="65"/>
      <c r="L88" s="194"/>
      <c r="M88" s="237"/>
      <c r="N88" s="238"/>
      <c r="O88" s="193"/>
      <c r="P88" s="193"/>
      <c r="Q88" s="193"/>
      <c r="R88" s="193"/>
      <c r="S88" s="193"/>
      <c r="T88" s="193"/>
      <c r="U88" s="239"/>
      <c r="V88" s="239"/>
      <c r="W88" s="65"/>
      <c r="X88" s="65"/>
    </row>
    <row r="89" spans="2:24">
      <c r="B89" s="252"/>
      <c r="C89" s="192"/>
      <c r="D89" s="65"/>
      <c r="E89" s="236"/>
      <c r="F89" s="193"/>
      <c r="G89" s="65"/>
      <c r="H89" s="65"/>
      <c r="I89" s="65"/>
      <c r="J89" s="65"/>
      <c r="K89" s="65"/>
      <c r="L89" s="194"/>
      <c r="M89" s="237"/>
      <c r="N89" s="238"/>
      <c r="O89" s="193"/>
      <c r="P89" s="193"/>
      <c r="Q89" s="193"/>
      <c r="R89" s="193"/>
      <c r="S89" s="193"/>
      <c r="T89" s="193"/>
      <c r="U89" s="239"/>
      <c r="V89" s="239"/>
      <c r="W89" s="65"/>
      <c r="X89" s="65"/>
    </row>
    <row r="90" spans="2:24">
      <c r="B90" s="252"/>
      <c r="C90" s="192"/>
      <c r="D90" s="65"/>
      <c r="E90" s="236"/>
      <c r="F90" s="193"/>
      <c r="G90" s="65"/>
      <c r="H90" s="65"/>
      <c r="I90" s="65"/>
      <c r="J90" s="65"/>
      <c r="K90" s="65"/>
      <c r="L90" s="194"/>
      <c r="M90" s="237"/>
      <c r="N90" s="238"/>
      <c r="O90" s="193"/>
      <c r="P90" s="193"/>
      <c r="Q90" s="193"/>
      <c r="R90" s="193"/>
      <c r="S90" s="193"/>
      <c r="T90" s="193"/>
      <c r="U90" s="239"/>
      <c r="V90" s="239"/>
      <c r="W90" s="65"/>
      <c r="X90" s="65"/>
    </row>
    <row r="91" spans="2:24">
      <c r="B91" s="252"/>
      <c r="C91" s="192"/>
      <c r="D91" s="65"/>
      <c r="E91" s="236"/>
      <c r="F91" s="193"/>
      <c r="G91" s="65"/>
      <c r="H91" s="65"/>
      <c r="I91" s="65"/>
      <c r="J91" s="65"/>
      <c r="K91" s="65"/>
      <c r="L91" s="194"/>
      <c r="M91" s="237"/>
      <c r="N91" s="238"/>
      <c r="O91" s="193"/>
      <c r="P91" s="193"/>
      <c r="Q91" s="193"/>
      <c r="R91" s="193"/>
      <c r="S91" s="193"/>
      <c r="T91" s="193"/>
      <c r="U91" s="239"/>
      <c r="V91" s="239"/>
      <c r="W91" s="65"/>
      <c r="X91" s="65"/>
    </row>
    <row r="92" spans="2:24">
      <c r="B92" s="252"/>
      <c r="C92" s="192"/>
      <c r="D92" s="65"/>
      <c r="E92" s="236"/>
      <c r="F92" s="193"/>
      <c r="G92" s="65"/>
      <c r="H92" s="65"/>
      <c r="I92" s="65"/>
      <c r="J92" s="65"/>
      <c r="K92" s="65"/>
      <c r="L92" s="194"/>
      <c r="M92" s="237"/>
      <c r="N92" s="238"/>
      <c r="O92" s="193"/>
      <c r="P92" s="193"/>
      <c r="Q92" s="193"/>
      <c r="R92" s="193"/>
      <c r="S92" s="193"/>
      <c r="T92" s="193"/>
      <c r="U92" s="239"/>
      <c r="V92" s="239"/>
      <c r="W92" s="65"/>
      <c r="X92" s="65"/>
    </row>
    <row r="93" spans="2:24">
      <c r="B93" s="252"/>
      <c r="C93" s="192"/>
      <c r="D93" s="65"/>
      <c r="E93" s="236"/>
      <c r="F93" s="193"/>
      <c r="G93" s="65"/>
      <c r="H93" s="65"/>
      <c r="I93" s="65"/>
      <c r="J93" s="65"/>
      <c r="K93" s="65"/>
      <c r="L93" s="194"/>
      <c r="M93" s="237"/>
      <c r="N93" s="238"/>
      <c r="O93" s="193"/>
      <c r="P93" s="193"/>
      <c r="Q93" s="193"/>
      <c r="R93" s="193"/>
      <c r="S93" s="193"/>
      <c r="T93" s="193"/>
      <c r="U93" s="239"/>
      <c r="V93" s="239"/>
      <c r="W93" s="65"/>
      <c r="X93" s="65"/>
    </row>
    <row r="94" spans="2:24">
      <c r="B94" s="252"/>
      <c r="C94" s="192"/>
      <c r="D94" s="65"/>
      <c r="E94" s="236"/>
      <c r="F94" s="193"/>
      <c r="G94" s="65"/>
      <c r="H94" s="65"/>
      <c r="I94" s="65"/>
      <c r="J94" s="65"/>
      <c r="K94" s="65"/>
      <c r="L94" s="194"/>
      <c r="M94" s="237"/>
      <c r="N94" s="238"/>
      <c r="O94" s="193"/>
      <c r="P94" s="193"/>
      <c r="Q94" s="193"/>
      <c r="R94" s="193"/>
      <c r="S94" s="193"/>
      <c r="T94" s="193"/>
      <c r="U94" s="239"/>
      <c r="V94" s="239"/>
      <c r="W94" s="65"/>
      <c r="X94" s="65"/>
    </row>
    <row r="95" spans="2:24">
      <c r="B95" s="252"/>
      <c r="C95" s="192"/>
      <c r="D95" s="65"/>
      <c r="E95" s="236"/>
      <c r="F95" s="193"/>
      <c r="G95" s="65"/>
      <c r="H95" s="65"/>
      <c r="I95" s="65"/>
      <c r="J95" s="65"/>
      <c r="K95" s="65"/>
      <c r="L95" s="194"/>
      <c r="M95" s="237"/>
      <c r="N95" s="238"/>
      <c r="O95" s="193"/>
      <c r="P95" s="193"/>
      <c r="Q95" s="193"/>
      <c r="R95" s="193"/>
      <c r="S95" s="193"/>
      <c r="T95" s="193"/>
      <c r="U95" s="239"/>
      <c r="V95" s="239"/>
      <c r="W95" s="65"/>
      <c r="X95" s="65"/>
    </row>
    <row r="96" spans="2:24">
      <c r="B96" s="252"/>
      <c r="C96" s="192"/>
      <c r="D96" s="65"/>
      <c r="E96" s="236"/>
      <c r="F96" s="193"/>
      <c r="G96" s="65"/>
      <c r="H96" s="65"/>
      <c r="I96" s="65"/>
      <c r="J96" s="65"/>
      <c r="K96" s="65"/>
      <c r="L96" s="194"/>
      <c r="M96" s="237"/>
      <c r="N96" s="238"/>
      <c r="O96" s="193"/>
      <c r="P96" s="193"/>
      <c r="Q96" s="193"/>
      <c r="R96" s="193"/>
      <c r="S96" s="193"/>
      <c r="T96" s="193"/>
      <c r="U96" s="239"/>
      <c r="V96" s="239"/>
      <c r="W96" s="65"/>
      <c r="X96" s="65"/>
    </row>
    <row r="97" spans="2:24">
      <c r="B97" s="252"/>
      <c r="C97" s="192"/>
      <c r="D97" s="65"/>
      <c r="E97" s="236"/>
      <c r="F97" s="193"/>
      <c r="G97" s="65"/>
      <c r="H97" s="65"/>
      <c r="I97" s="65"/>
      <c r="J97" s="65"/>
      <c r="K97" s="65"/>
      <c r="L97" s="194"/>
      <c r="M97" s="237"/>
      <c r="N97" s="238"/>
      <c r="O97" s="193"/>
      <c r="P97" s="193"/>
      <c r="Q97" s="193"/>
      <c r="R97" s="193"/>
      <c r="S97" s="193"/>
      <c r="T97" s="193"/>
      <c r="U97" s="239"/>
      <c r="V97" s="239"/>
      <c r="W97" s="65"/>
      <c r="X97" s="65"/>
    </row>
    <row r="98" spans="2:24">
      <c r="B98" s="252"/>
      <c r="C98" s="192"/>
      <c r="D98" s="65"/>
      <c r="E98" s="236"/>
      <c r="F98" s="193"/>
      <c r="G98" s="65"/>
      <c r="H98" s="65"/>
      <c r="I98" s="65"/>
      <c r="J98" s="65"/>
      <c r="K98" s="65"/>
      <c r="L98" s="194"/>
      <c r="M98" s="237"/>
      <c r="N98" s="238"/>
      <c r="O98" s="193"/>
      <c r="P98" s="193"/>
      <c r="Q98" s="193"/>
      <c r="R98" s="193"/>
      <c r="S98" s="193"/>
      <c r="T98" s="193"/>
      <c r="U98" s="239"/>
      <c r="V98" s="239"/>
      <c r="W98" s="65"/>
      <c r="X98" s="65"/>
    </row>
    <row r="99" spans="2:24">
      <c r="B99" s="252"/>
      <c r="C99" s="192"/>
      <c r="D99" s="65"/>
      <c r="E99" s="236"/>
      <c r="F99" s="193"/>
      <c r="G99" s="65"/>
      <c r="H99" s="65"/>
      <c r="I99" s="65"/>
      <c r="J99" s="65"/>
      <c r="K99" s="65"/>
      <c r="L99" s="194"/>
      <c r="M99" s="237"/>
      <c r="N99" s="238"/>
      <c r="O99" s="193"/>
      <c r="P99" s="193"/>
      <c r="Q99" s="193"/>
      <c r="R99" s="193"/>
      <c r="S99" s="193"/>
      <c r="T99" s="193"/>
      <c r="U99" s="239"/>
      <c r="V99" s="239"/>
      <c r="W99" s="65"/>
      <c r="X99" s="65"/>
    </row>
    <row r="100" spans="2:24">
      <c r="B100" s="252"/>
      <c r="C100" s="192"/>
      <c r="D100" s="65"/>
      <c r="E100" s="236"/>
      <c r="F100" s="193"/>
      <c r="G100" s="65"/>
      <c r="H100" s="65"/>
      <c r="I100" s="65"/>
      <c r="J100" s="65"/>
      <c r="K100" s="65"/>
      <c r="L100" s="194"/>
      <c r="M100" s="237"/>
      <c r="N100" s="238"/>
      <c r="O100" s="193"/>
      <c r="P100" s="193"/>
      <c r="Q100" s="193"/>
      <c r="R100" s="193"/>
      <c r="S100" s="193"/>
      <c r="T100" s="193"/>
      <c r="U100" s="239"/>
      <c r="V100" s="239"/>
      <c r="W100" s="65"/>
      <c r="X100" s="65"/>
    </row>
    <row r="101" spans="2:24">
      <c r="B101" s="252"/>
      <c r="C101" s="192"/>
      <c r="D101" s="65"/>
      <c r="E101" s="236"/>
      <c r="F101" s="193"/>
      <c r="G101" s="65"/>
      <c r="H101" s="65"/>
      <c r="I101" s="65"/>
      <c r="J101" s="65"/>
      <c r="K101" s="65"/>
      <c r="L101" s="194"/>
      <c r="M101" s="237"/>
      <c r="N101" s="238"/>
      <c r="O101" s="193"/>
      <c r="P101" s="193"/>
      <c r="Q101" s="193"/>
      <c r="R101" s="193"/>
      <c r="S101" s="193"/>
      <c r="T101" s="193"/>
      <c r="U101" s="239"/>
      <c r="V101" s="239"/>
      <c r="W101" s="65"/>
      <c r="X101" s="65"/>
    </row>
    <row r="102" spans="2:24">
      <c r="B102" s="252"/>
      <c r="C102" s="192"/>
      <c r="D102" s="65"/>
      <c r="E102" s="236"/>
      <c r="F102" s="193"/>
      <c r="G102" s="65"/>
      <c r="H102" s="65"/>
      <c r="I102" s="65"/>
      <c r="J102" s="65"/>
      <c r="K102" s="65"/>
      <c r="L102" s="194"/>
      <c r="M102" s="237"/>
      <c r="N102" s="238"/>
      <c r="O102" s="193"/>
      <c r="P102" s="193"/>
      <c r="Q102" s="193"/>
      <c r="R102" s="193"/>
      <c r="S102" s="193"/>
      <c r="T102" s="193"/>
      <c r="U102" s="239"/>
      <c r="V102" s="239"/>
      <c r="W102" s="65"/>
      <c r="X102" s="65"/>
    </row>
    <row r="103" spans="2:24">
      <c r="B103" s="252"/>
      <c r="C103" s="192"/>
      <c r="D103" s="65"/>
      <c r="E103" s="236"/>
      <c r="F103" s="193"/>
      <c r="G103" s="65"/>
      <c r="H103" s="65"/>
      <c r="I103" s="65"/>
      <c r="J103" s="65"/>
      <c r="K103" s="65"/>
      <c r="L103" s="194"/>
      <c r="M103" s="237"/>
      <c r="N103" s="238"/>
      <c r="O103" s="193"/>
      <c r="P103" s="193"/>
      <c r="Q103" s="193"/>
      <c r="R103" s="193"/>
      <c r="S103" s="193"/>
      <c r="T103" s="193"/>
      <c r="U103" s="239"/>
      <c r="V103" s="239"/>
      <c r="W103" s="65"/>
      <c r="X103" s="65"/>
    </row>
    <row r="104" spans="2:24">
      <c r="B104" s="252"/>
      <c r="C104" s="192"/>
      <c r="D104" s="65"/>
      <c r="E104" s="236"/>
      <c r="F104" s="193"/>
      <c r="G104" s="65"/>
      <c r="H104" s="65"/>
      <c r="I104" s="65"/>
      <c r="J104" s="65"/>
      <c r="K104" s="65"/>
      <c r="L104" s="194"/>
      <c r="M104" s="237"/>
      <c r="N104" s="238"/>
      <c r="O104" s="193"/>
      <c r="P104" s="193"/>
      <c r="Q104" s="193"/>
      <c r="R104" s="193"/>
      <c r="S104" s="193"/>
      <c r="T104" s="193"/>
      <c r="U104" s="239"/>
      <c r="V104" s="239"/>
      <c r="W104" s="65"/>
      <c r="X104" s="65"/>
    </row>
    <row r="105" spans="2:24">
      <c r="B105" s="252"/>
      <c r="C105" s="192"/>
      <c r="D105" s="65"/>
      <c r="E105" s="236"/>
      <c r="F105" s="193"/>
      <c r="G105" s="65"/>
      <c r="H105" s="65"/>
      <c r="I105" s="65"/>
      <c r="J105" s="65"/>
      <c r="K105" s="65"/>
      <c r="L105" s="194"/>
      <c r="M105" s="237"/>
      <c r="N105" s="238"/>
      <c r="O105" s="193"/>
      <c r="P105" s="193"/>
      <c r="Q105" s="193"/>
      <c r="R105" s="193"/>
      <c r="S105" s="193"/>
      <c r="T105" s="193"/>
      <c r="U105" s="239"/>
      <c r="V105" s="239"/>
      <c r="W105" s="65"/>
      <c r="X105" s="65"/>
    </row>
    <row r="106" spans="2:24">
      <c r="B106" s="252"/>
      <c r="C106" s="192"/>
      <c r="D106" s="65"/>
      <c r="E106" s="236"/>
      <c r="F106" s="193"/>
      <c r="G106" s="65"/>
      <c r="H106" s="65"/>
      <c r="I106" s="65"/>
      <c r="J106" s="65"/>
      <c r="K106" s="65"/>
      <c r="L106" s="194"/>
      <c r="M106" s="237"/>
      <c r="N106" s="238"/>
      <c r="O106" s="193"/>
      <c r="P106" s="193"/>
      <c r="Q106" s="193"/>
      <c r="R106" s="193"/>
      <c r="S106" s="193"/>
      <c r="T106" s="193"/>
      <c r="U106" s="239"/>
      <c r="V106" s="239"/>
      <c r="W106" s="65"/>
      <c r="X106" s="65"/>
    </row>
    <row r="107" spans="2:24">
      <c r="B107" s="252"/>
      <c r="C107" s="192"/>
      <c r="D107" s="65"/>
      <c r="E107" s="236"/>
      <c r="F107" s="193"/>
      <c r="G107" s="65"/>
      <c r="H107" s="65"/>
      <c r="I107" s="65"/>
      <c r="J107" s="65"/>
      <c r="K107" s="65"/>
      <c r="L107" s="194"/>
      <c r="M107" s="237"/>
      <c r="N107" s="238"/>
      <c r="O107" s="193"/>
      <c r="P107" s="193"/>
      <c r="Q107" s="193"/>
      <c r="R107" s="193"/>
      <c r="S107" s="193"/>
      <c r="T107" s="193"/>
      <c r="U107" s="239"/>
      <c r="V107" s="239"/>
      <c r="W107" s="65"/>
      <c r="X107" s="65"/>
    </row>
    <row r="108" spans="2:24">
      <c r="B108" s="252"/>
      <c r="C108" s="192"/>
      <c r="D108" s="65"/>
      <c r="E108" s="236"/>
      <c r="F108" s="193"/>
      <c r="G108" s="65"/>
      <c r="H108" s="65"/>
      <c r="I108" s="65"/>
      <c r="J108" s="65"/>
      <c r="K108" s="65"/>
      <c r="L108" s="194"/>
      <c r="M108" s="237"/>
      <c r="N108" s="238"/>
      <c r="O108" s="193"/>
      <c r="P108" s="193"/>
      <c r="Q108" s="193"/>
      <c r="R108" s="193"/>
      <c r="S108" s="193"/>
      <c r="T108" s="193"/>
      <c r="U108" s="239"/>
      <c r="V108" s="239"/>
      <c r="W108" s="65"/>
      <c r="X108" s="65"/>
    </row>
    <row r="109" spans="2:24">
      <c r="B109" s="252"/>
      <c r="C109" s="192"/>
      <c r="D109" s="65"/>
      <c r="E109" s="236"/>
      <c r="F109" s="193"/>
      <c r="G109" s="65"/>
      <c r="H109" s="65"/>
      <c r="I109" s="65"/>
      <c r="J109" s="65"/>
      <c r="K109" s="65"/>
      <c r="L109" s="194"/>
      <c r="M109" s="237"/>
      <c r="N109" s="238"/>
      <c r="O109" s="193"/>
      <c r="P109" s="193"/>
      <c r="Q109" s="193"/>
      <c r="R109" s="193"/>
      <c r="S109" s="193"/>
      <c r="T109" s="193"/>
      <c r="U109" s="239"/>
      <c r="V109" s="239"/>
      <c r="W109" s="65"/>
      <c r="X109" s="65"/>
    </row>
    <row r="110" spans="2:24">
      <c r="B110" s="252"/>
      <c r="C110" s="192"/>
      <c r="D110" s="65"/>
      <c r="E110" s="236"/>
      <c r="F110" s="193"/>
      <c r="G110" s="65"/>
      <c r="H110" s="65"/>
      <c r="I110" s="65"/>
      <c r="J110" s="65"/>
      <c r="K110" s="65"/>
      <c r="L110" s="194"/>
      <c r="M110" s="237"/>
      <c r="N110" s="238"/>
      <c r="O110" s="193"/>
      <c r="P110" s="193"/>
      <c r="Q110" s="193"/>
      <c r="R110" s="193"/>
      <c r="S110" s="193"/>
      <c r="T110" s="193"/>
      <c r="U110" s="239"/>
      <c r="V110" s="239"/>
      <c r="W110" s="65"/>
      <c r="X110" s="65"/>
    </row>
    <row r="111" spans="2:24">
      <c r="B111" s="252"/>
      <c r="C111" s="192"/>
      <c r="D111" s="65"/>
      <c r="E111" s="236"/>
      <c r="F111" s="193"/>
      <c r="G111" s="65"/>
      <c r="H111" s="65"/>
      <c r="I111" s="65"/>
      <c r="J111" s="65"/>
      <c r="K111" s="65"/>
      <c r="L111" s="194"/>
      <c r="M111" s="237"/>
      <c r="N111" s="238"/>
      <c r="O111" s="193"/>
      <c r="P111" s="193"/>
      <c r="Q111" s="193"/>
      <c r="R111" s="193"/>
      <c r="S111" s="193"/>
      <c r="T111" s="193"/>
      <c r="U111" s="239"/>
      <c r="V111" s="239"/>
      <c r="W111" s="65"/>
      <c r="X111" s="65"/>
    </row>
    <row r="112" spans="2:24">
      <c r="B112" s="252"/>
      <c r="C112" s="192"/>
      <c r="D112" s="65"/>
      <c r="E112" s="236"/>
      <c r="F112" s="193"/>
      <c r="G112" s="65"/>
      <c r="H112" s="65"/>
      <c r="I112" s="65"/>
      <c r="J112" s="65"/>
      <c r="K112" s="65"/>
      <c r="L112" s="194"/>
      <c r="M112" s="237"/>
      <c r="N112" s="238"/>
      <c r="O112" s="193"/>
      <c r="P112" s="193"/>
      <c r="Q112" s="193"/>
      <c r="R112" s="193"/>
      <c r="S112" s="193"/>
      <c r="T112" s="193"/>
      <c r="U112" s="239"/>
      <c r="V112" s="239"/>
      <c r="W112" s="65"/>
      <c r="X112" s="65"/>
    </row>
    <row r="113" spans="2:24">
      <c r="B113" s="252"/>
      <c r="C113" s="192"/>
      <c r="D113" s="65"/>
      <c r="E113" s="236"/>
      <c r="F113" s="193"/>
      <c r="G113" s="65"/>
      <c r="H113" s="65"/>
      <c r="I113" s="65"/>
      <c r="J113" s="65"/>
      <c r="K113" s="65"/>
      <c r="L113" s="194"/>
      <c r="M113" s="237"/>
      <c r="N113" s="238"/>
      <c r="O113" s="193"/>
      <c r="P113" s="193"/>
      <c r="Q113" s="193"/>
      <c r="R113" s="193"/>
      <c r="S113" s="193"/>
      <c r="T113" s="193"/>
      <c r="U113" s="239"/>
      <c r="V113" s="239"/>
      <c r="W113" s="65"/>
      <c r="X113" s="65"/>
    </row>
    <row r="114" spans="2:24">
      <c r="B114" s="252"/>
      <c r="C114" s="192"/>
      <c r="D114" s="65"/>
      <c r="E114" s="236"/>
      <c r="F114" s="193"/>
      <c r="G114" s="65"/>
      <c r="H114" s="65"/>
      <c r="I114" s="65"/>
      <c r="J114" s="65"/>
      <c r="K114" s="65"/>
      <c r="L114" s="194"/>
      <c r="M114" s="237"/>
      <c r="N114" s="238"/>
      <c r="O114" s="193"/>
      <c r="P114" s="193"/>
      <c r="Q114" s="193"/>
      <c r="R114" s="193"/>
      <c r="S114" s="193"/>
      <c r="T114" s="193"/>
      <c r="U114" s="239"/>
      <c r="V114" s="239"/>
      <c r="W114" s="65"/>
      <c r="X114" s="65"/>
    </row>
    <row r="115" spans="2:24">
      <c r="B115" s="252"/>
      <c r="C115" s="192"/>
      <c r="D115" s="65"/>
      <c r="E115" s="236"/>
      <c r="F115" s="193"/>
      <c r="G115" s="65"/>
      <c r="H115" s="65"/>
      <c r="I115" s="65"/>
      <c r="J115" s="65"/>
      <c r="K115" s="65"/>
      <c r="L115" s="194"/>
      <c r="M115" s="237"/>
      <c r="N115" s="238"/>
      <c r="O115" s="193"/>
      <c r="P115" s="193"/>
      <c r="Q115" s="193"/>
      <c r="R115" s="193"/>
      <c r="S115" s="193"/>
      <c r="T115" s="193"/>
      <c r="U115" s="239"/>
      <c r="V115" s="239"/>
      <c r="W115" s="65"/>
      <c r="X115" s="65"/>
    </row>
    <row r="116" spans="2:24">
      <c r="B116" s="252"/>
      <c r="C116" s="192"/>
      <c r="D116" s="65"/>
      <c r="E116" s="236"/>
      <c r="F116" s="193"/>
      <c r="G116" s="65"/>
      <c r="H116" s="65"/>
      <c r="I116" s="65"/>
      <c r="J116" s="65"/>
      <c r="K116" s="65"/>
      <c r="L116" s="194"/>
      <c r="M116" s="237"/>
      <c r="N116" s="238"/>
      <c r="O116" s="193"/>
      <c r="P116" s="193"/>
      <c r="Q116" s="193"/>
      <c r="R116" s="193"/>
      <c r="S116" s="193"/>
      <c r="T116" s="193"/>
      <c r="U116" s="239"/>
      <c r="V116" s="239"/>
      <c r="W116" s="65"/>
      <c r="X116" s="65"/>
    </row>
    <row r="117" spans="2:24">
      <c r="B117" s="252"/>
      <c r="C117" s="192"/>
      <c r="D117" s="65"/>
      <c r="E117" s="236"/>
      <c r="F117" s="193"/>
      <c r="G117" s="65"/>
      <c r="H117" s="65"/>
      <c r="I117" s="65"/>
      <c r="J117" s="65"/>
      <c r="K117" s="65"/>
      <c r="L117" s="194"/>
      <c r="M117" s="237"/>
      <c r="N117" s="238"/>
      <c r="O117" s="193"/>
      <c r="P117" s="193"/>
      <c r="Q117" s="193"/>
      <c r="R117" s="193"/>
      <c r="S117" s="193"/>
      <c r="T117" s="193"/>
      <c r="U117" s="239"/>
      <c r="V117" s="239"/>
      <c r="W117" s="65"/>
      <c r="X117" s="65"/>
    </row>
    <row r="118" spans="2:24">
      <c r="B118" s="252"/>
      <c r="C118" s="192"/>
      <c r="D118" s="65"/>
      <c r="E118" s="236"/>
      <c r="F118" s="193"/>
      <c r="G118" s="65"/>
      <c r="H118" s="65"/>
      <c r="I118" s="65"/>
      <c r="J118" s="65"/>
      <c r="K118" s="65"/>
      <c r="L118" s="194"/>
      <c r="M118" s="237"/>
      <c r="N118" s="238"/>
      <c r="O118" s="193"/>
      <c r="P118" s="193"/>
      <c r="Q118" s="193"/>
      <c r="R118" s="193"/>
      <c r="S118" s="193"/>
      <c r="T118" s="193"/>
      <c r="U118" s="239"/>
      <c r="V118" s="239"/>
      <c r="W118" s="65"/>
      <c r="X118" s="65"/>
    </row>
    <row r="119" spans="2:24">
      <c r="B119" s="252"/>
      <c r="C119" s="192"/>
      <c r="D119" s="65"/>
      <c r="E119" s="236"/>
      <c r="F119" s="193"/>
      <c r="G119" s="65"/>
      <c r="H119" s="65"/>
      <c r="I119" s="65"/>
      <c r="J119" s="65"/>
      <c r="K119" s="65"/>
      <c r="L119" s="194"/>
      <c r="M119" s="237"/>
      <c r="N119" s="238"/>
      <c r="O119" s="193"/>
      <c r="P119" s="193"/>
      <c r="Q119" s="193"/>
      <c r="R119" s="193"/>
      <c r="S119" s="193"/>
      <c r="T119" s="193"/>
      <c r="U119" s="239"/>
      <c r="V119" s="239"/>
      <c r="W119" s="65"/>
      <c r="X119" s="65"/>
    </row>
    <row r="120" spans="2:24">
      <c r="B120" s="252"/>
      <c r="C120" s="192"/>
      <c r="D120" s="65"/>
      <c r="E120" s="236"/>
      <c r="F120" s="193"/>
      <c r="G120" s="65"/>
      <c r="H120" s="65"/>
      <c r="I120" s="65"/>
      <c r="J120" s="65"/>
      <c r="K120" s="65"/>
      <c r="L120" s="194"/>
      <c r="M120" s="237"/>
      <c r="N120" s="238"/>
      <c r="O120" s="193"/>
      <c r="P120" s="193"/>
      <c r="Q120" s="193"/>
      <c r="R120" s="193"/>
      <c r="S120" s="193"/>
      <c r="T120" s="193"/>
      <c r="U120" s="239"/>
      <c r="V120" s="239"/>
      <c r="W120" s="65"/>
      <c r="X120" s="65"/>
    </row>
    <row r="121" spans="2:24">
      <c r="B121" s="252"/>
      <c r="C121" s="192"/>
      <c r="D121" s="65"/>
      <c r="E121" s="236"/>
      <c r="F121" s="193"/>
      <c r="G121" s="65"/>
      <c r="H121" s="65"/>
      <c r="I121" s="65"/>
      <c r="J121" s="65"/>
      <c r="K121" s="65"/>
      <c r="L121" s="194"/>
      <c r="M121" s="237"/>
      <c r="N121" s="238"/>
      <c r="O121" s="193"/>
      <c r="P121" s="193"/>
      <c r="Q121" s="193"/>
      <c r="R121" s="193"/>
      <c r="S121" s="193"/>
      <c r="T121" s="193"/>
      <c r="U121" s="239"/>
      <c r="V121" s="239"/>
      <c r="W121" s="65"/>
      <c r="X121" s="65"/>
    </row>
    <row r="122" spans="2:24">
      <c r="B122" s="252"/>
      <c r="C122" s="192"/>
      <c r="D122" s="65"/>
      <c r="E122" s="236"/>
      <c r="F122" s="193"/>
      <c r="G122" s="65"/>
      <c r="H122" s="65"/>
      <c r="I122" s="65"/>
      <c r="J122" s="65"/>
      <c r="K122" s="65"/>
      <c r="L122" s="194"/>
      <c r="M122" s="237"/>
      <c r="N122" s="238"/>
      <c r="O122" s="193"/>
      <c r="P122" s="193"/>
      <c r="Q122" s="193"/>
      <c r="R122" s="193"/>
      <c r="S122" s="193"/>
      <c r="T122" s="193"/>
      <c r="U122" s="239"/>
      <c r="V122" s="239"/>
      <c r="W122" s="65"/>
      <c r="X122" s="65"/>
    </row>
    <row r="123" spans="2:24">
      <c r="B123" s="252"/>
      <c r="C123" s="192"/>
      <c r="D123" s="65"/>
      <c r="E123" s="236"/>
      <c r="F123" s="193"/>
      <c r="G123" s="65"/>
      <c r="H123" s="65"/>
      <c r="I123" s="65"/>
      <c r="J123" s="65"/>
      <c r="K123" s="65"/>
      <c r="L123" s="194"/>
      <c r="M123" s="237"/>
      <c r="N123" s="238"/>
      <c r="O123" s="193"/>
      <c r="P123" s="193"/>
      <c r="Q123" s="193"/>
      <c r="R123" s="193"/>
      <c r="S123" s="193"/>
      <c r="T123" s="193"/>
      <c r="U123" s="239"/>
      <c r="V123" s="239"/>
      <c r="W123" s="65"/>
      <c r="X123" s="65"/>
    </row>
    <row r="124" spans="2:24">
      <c r="B124" s="252"/>
      <c r="C124" s="192"/>
      <c r="D124" s="65"/>
      <c r="E124" s="236"/>
      <c r="F124" s="193"/>
      <c r="G124" s="65"/>
      <c r="H124" s="65"/>
      <c r="I124" s="65"/>
      <c r="J124" s="65"/>
      <c r="K124" s="65"/>
      <c r="L124" s="194"/>
      <c r="M124" s="237"/>
      <c r="N124" s="238"/>
      <c r="O124" s="193"/>
      <c r="P124" s="193"/>
      <c r="Q124" s="193"/>
      <c r="R124" s="193"/>
      <c r="S124" s="193"/>
      <c r="T124" s="193"/>
      <c r="U124" s="239"/>
      <c r="V124" s="239"/>
      <c r="W124" s="65"/>
      <c r="X124" s="65"/>
    </row>
    <row r="125" spans="2:24">
      <c r="B125" s="252"/>
      <c r="C125" s="192"/>
      <c r="D125" s="65"/>
      <c r="E125" s="236"/>
      <c r="F125" s="193"/>
      <c r="G125" s="65"/>
      <c r="H125" s="65"/>
      <c r="I125" s="65"/>
      <c r="J125" s="65"/>
      <c r="K125" s="65"/>
      <c r="L125" s="194"/>
      <c r="M125" s="237"/>
      <c r="N125" s="238"/>
      <c r="O125" s="193"/>
      <c r="P125" s="193"/>
      <c r="Q125" s="193"/>
      <c r="R125" s="193"/>
      <c r="S125" s="193"/>
      <c r="T125" s="193"/>
      <c r="U125" s="239"/>
      <c r="V125" s="239"/>
      <c r="W125" s="65"/>
      <c r="X125" s="65"/>
    </row>
    <row r="126" spans="2:24">
      <c r="B126" s="252"/>
      <c r="C126" s="192"/>
      <c r="D126" s="65"/>
      <c r="E126" s="236"/>
      <c r="F126" s="193"/>
      <c r="G126" s="65"/>
      <c r="H126" s="65"/>
      <c r="I126" s="65"/>
      <c r="J126" s="65"/>
      <c r="K126" s="65"/>
      <c r="L126" s="194"/>
      <c r="M126" s="237"/>
      <c r="N126" s="238"/>
      <c r="O126" s="193"/>
      <c r="P126" s="193"/>
      <c r="Q126" s="193"/>
      <c r="R126" s="193"/>
      <c r="S126" s="193"/>
      <c r="T126" s="193"/>
      <c r="U126" s="239"/>
      <c r="V126" s="239"/>
      <c r="W126" s="65"/>
      <c r="X126" s="65"/>
    </row>
    <row r="127" spans="2:24">
      <c r="B127" s="252"/>
      <c r="C127" s="192"/>
      <c r="D127" s="65"/>
      <c r="E127" s="236"/>
      <c r="F127" s="193"/>
      <c r="G127" s="65"/>
      <c r="H127" s="65"/>
      <c r="I127" s="65"/>
      <c r="J127" s="65"/>
      <c r="K127" s="65"/>
      <c r="L127" s="194"/>
      <c r="M127" s="237"/>
      <c r="N127" s="238"/>
      <c r="O127" s="193"/>
      <c r="P127" s="193"/>
      <c r="Q127" s="193"/>
      <c r="R127" s="193"/>
      <c r="S127" s="193"/>
      <c r="T127" s="193"/>
      <c r="U127" s="239"/>
      <c r="V127" s="239"/>
      <c r="W127" s="65"/>
      <c r="X127" s="65"/>
    </row>
    <row r="128" spans="2:24">
      <c r="B128" s="252"/>
      <c r="C128" s="192"/>
      <c r="D128" s="65"/>
      <c r="E128" s="236"/>
      <c r="F128" s="193"/>
      <c r="G128" s="65"/>
      <c r="H128" s="65"/>
      <c r="I128" s="65"/>
      <c r="J128" s="65"/>
      <c r="K128" s="65"/>
      <c r="L128" s="194"/>
      <c r="M128" s="237"/>
      <c r="N128" s="238"/>
      <c r="O128" s="193"/>
      <c r="P128" s="193"/>
      <c r="Q128" s="193"/>
      <c r="R128" s="193"/>
      <c r="S128" s="193"/>
      <c r="T128" s="193"/>
      <c r="U128" s="239"/>
      <c r="V128" s="239"/>
      <c r="W128" s="65"/>
      <c r="X128" s="65"/>
    </row>
    <row r="129" spans="2:24">
      <c r="B129" s="252"/>
      <c r="C129" s="192"/>
      <c r="D129" s="65"/>
      <c r="E129" s="236"/>
      <c r="F129" s="193"/>
      <c r="G129" s="65"/>
      <c r="H129" s="65"/>
      <c r="I129" s="65"/>
      <c r="J129" s="65"/>
      <c r="K129" s="65"/>
      <c r="L129" s="194"/>
      <c r="M129" s="237"/>
      <c r="N129" s="238"/>
      <c r="O129" s="193"/>
      <c r="P129" s="193"/>
      <c r="Q129" s="193"/>
      <c r="R129" s="193"/>
      <c r="S129" s="193"/>
      <c r="T129" s="193"/>
      <c r="U129" s="239"/>
      <c r="V129" s="239"/>
      <c r="W129" s="65"/>
      <c r="X129" s="65"/>
    </row>
    <row r="130" spans="2:24">
      <c r="B130" s="252"/>
      <c r="C130" s="192"/>
      <c r="D130" s="65"/>
      <c r="E130" s="236"/>
      <c r="F130" s="193"/>
      <c r="G130" s="65"/>
      <c r="H130" s="65"/>
      <c r="I130" s="65"/>
      <c r="J130" s="65"/>
      <c r="K130" s="65"/>
      <c r="L130" s="194"/>
      <c r="M130" s="237"/>
      <c r="N130" s="238"/>
      <c r="O130" s="193"/>
      <c r="P130" s="193"/>
      <c r="Q130" s="193"/>
      <c r="R130" s="193"/>
      <c r="S130" s="193"/>
      <c r="T130" s="193"/>
      <c r="U130" s="239"/>
      <c r="V130" s="239"/>
      <c r="W130" s="65"/>
      <c r="X130" s="65"/>
    </row>
    <row r="131" spans="2:24">
      <c r="B131" s="252"/>
      <c r="C131" s="192"/>
      <c r="D131" s="65"/>
      <c r="E131" s="236"/>
      <c r="F131" s="193"/>
      <c r="G131" s="65"/>
      <c r="H131" s="65"/>
      <c r="I131" s="65"/>
      <c r="J131" s="65"/>
      <c r="K131" s="65"/>
      <c r="L131" s="194"/>
      <c r="M131" s="237"/>
      <c r="N131" s="238"/>
      <c r="O131" s="193"/>
      <c r="P131" s="193"/>
      <c r="Q131" s="193"/>
      <c r="R131" s="193"/>
      <c r="S131" s="193"/>
      <c r="T131" s="193"/>
      <c r="U131" s="239"/>
      <c r="V131" s="239"/>
      <c r="W131" s="65"/>
      <c r="X131" s="65"/>
    </row>
    <row r="132" spans="2:24">
      <c r="B132" s="252"/>
      <c r="C132" s="192"/>
      <c r="D132" s="65"/>
      <c r="E132" s="236"/>
      <c r="F132" s="193"/>
      <c r="G132" s="65"/>
      <c r="H132" s="65"/>
      <c r="I132" s="65"/>
      <c r="J132" s="65"/>
      <c r="K132" s="65"/>
      <c r="L132" s="194"/>
      <c r="M132" s="237"/>
      <c r="N132" s="238"/>
      <c r="O132" s="193"/>
      <c r="P132" s="193"/>
      <c r="Q132" s="193"/>
      <c r="R132" s="193"/>
      <c r="S132" s="193"/>
      <c r="T132" s="193"/>
      <c r="U132" s="239"/>
      <c r="V132" s="239"/>
      <c r="W132" s="65"/>
      <c r="X132" s="65"/>
    </row>
    <row r="133" spans="2:24">
      <c r="B133" s="252"/>
      <c r="C133" s="192"/>
      <c r="D133" s="65"/>
      <c r="E133" s="236"/>
      <c r="F133" s="193"/>
      <c r="G133" s="65"/>
      <c r="H133" s="65"/>
      <c r="I133" s="65"/>
      <c r="J133" s="65"/>
      <c r="K133" s="65"/>
      <c r="L133" s="194"/>
      <c r="M133" s="237"/>
      <c r="N133" s="238"/>
      <c r="O133" s="193"/>
      <c r="P133" s="193"/>
      <c r="Q133" s="193"/>
      <c r="R133" s="193"/>
      <c r="S133" s="193"/>
      <c r="T133" s="193"/>
      <c r="U133" s="239"/>
      <c r="V133" s="239"/>
      <c r="W133" s="65"/>
      <c r="X133" s="65"/>
    </row>
    <row r="134" spans="2:24">
      <c r="B134" s="252"/>
      <c r="C134" s="192"/>
      <c r="D134" s="65"/>
      <c r="E134" s="236"/>
      <c r="F134" s="193"/>
      <c r="G134" s="65"/>
      <c r="H134" s="65"/>
      <c r="I134" s="65"/>
      <c r="J134" s="65"/>
      <c r="K134" s="65"/>
      <c r="L134" s="194"/>
      <c r="M134" s="237"/>
      <c r="N134" s="238"/>
      <c r="O134" s="193"/>
      <c r="P134" s="193"/>
      <c r="Q134" s="193"/>
      <c r="R134" s="193"/>
      <c r="S134" s="193"/>
      <c r="T134" s="193"/>
      <c r="U134" s="239"/>
      <c r="V134" s="239"/>
      <c r="W134" s="65"/>
      <c r="X134" s="65"/>
    </row>
    <row r="135" spans="2:24">
      <c r="B135" s="252"/>
      <c r="C135" s="192"/>
      <c r="D135" s="65"/>
      <c r="E135" s="236"/>
      <c r="F135" s="193"/>
      <c r="G135" s="65"/>
      <c r="H135" s="65"/>
      <c r="I135" s="65"/>
      <c r="J135" s="65"/>
      <c r="K135" s="65"/>
      <c r="L135" s="194"/>
      <c r="M135" s="237"/>
      <c r="N135" s="238"/>
      <c r="O135" s="193"/>
      <c r="P135" s="193"/>
      <c r="Q135" s="193"/>
      <c r="R135" s="193"/>
      <c r="S135" s="193"/>
      <c r="T135" s="193"/>
      <c r="U135" s="239"/>
      <c r="V135" s="239"/>
      <c r="W135" s="65"/>
      <c r="X135" s="65"/>
    </row>
    <row r="136" spans="2:24">
      <c r="B136" s="252"/>
      <c r="C136" s="192"/>
      <c r="D136" s="65"/>
      <c r="E136" s="236"/>
      <c r="F136" s="193"/>
      <c r="G136" s="65"/>
      <c r="H136" s="65"/>
      <c r="I136" s="65"/>
      <c r="J136" s="65"/>
      <c r="K136" s="65"/>
      <c r="L136" s="194"/>
      <c r="M136" s="237"/>
      <c r="N136" s="238"/>
      <c r="O136" s="193"/>
      <c r="P136" s="193"/>
      <c r="Q136" s="193"/>
      <c r="R136" s="193"/>
      <c r="S136" s="193"/>
      <c r="T136" s="193"/>
      <c r="U136" s="239"/>
      <c r="V136" s="239"/>
      <c r="W136" s="65"/>
      <c r="X136" s="65"/>
    </row>
    <row r="137" spans="2:24">
      <c r="B137" s="252"/>
      <c r="C137" s="192"/>
      <c r="D137" s="65"/>
      <c r="E137" s="236"/>
      <c r="F137" s="193"/>
      <c r="G137" s="65"/>
      <c r="H137" s="65"/>
      <c r="I137" s="65"/>
      <c r="J137" s="65"/>
      <c r="K137" s="65"/>
      <c r="L137" s="194"/>
      <c r="M137" s="237"/>
      <c r="N137" s="238"/>
      <c r="O137" s="193"/>
      <c r="P137" s="193"/>
      <c r="Q137" s="193"/>
      <c r="R137" s="193"/>
      <c r="S137" s="193"/>
      <c r="T137" s="193"/>
      <c r="U137" s="239"/>
      <c r="V137" s="239"/>
      <c r="W137" s="65"/>
      <c r="X137" s="65"/>
    </row>
    <row r="138" spans="2:24">
      <c r="B138" s="252"/>
      <c r="C138" s="192"/>
      <c r="D138" s="65"/>
      <c r="E138" s="236"/>
      <c r="F138" s="193"/>
      <c r="G138" s="65"/>
      <c r="H138" s="65"/>
      <c r="I138" s="65"/>
      <c r="J138" s="65"/>
      <c r="K138" s="65"/>
      <c r="L138" s="194"/>
      <c r="M138" s="237"/>
      <c r="N138" s="238"/>
      <c r="O138" s="193"/>
      <c r="P138" s="193"/>
      <c r="Q138" s="193"/>
      <c r="R138" s="193"/>
      <c r="S138" s="193"/>
      <c r="T138" s="193"/>
      <c r="U138" s="239"/>
      <c r="V138" s="239"/>
      <c r="W138" s="65"/>
      <c r="X138" s="65"/>
    </row>
    <row r="139" spans="2:24">
      <c r="B139" s="252"/>
      <c r="C139" s="192"/>
      <c r="D139" s="65"/>
      <c r="E139" s="236"/>
      <c r="F139" s="193"/>
      <c r="G139" s="65"/>
      <c r="H139" s="65"/>
      <c r="I139" s="65"/>
      <c r="J139" s="65"/>
      <c r="K139" s="65"/>
      <c r="L139" s="194"/>
      <c r="M139" s="237"/>
      <c r="N139" s="238"/>
      <c r="O139" s="193"/>
      <c r="P139" s="193"/>
      <c r="Q139" s="193"/>
      <c r="R139" s="193"/>
      <c r="S139" s="193"/>
      <c r="T139" s="193"/>
      <c r="U139" s="239"/>
      <c r="V139" s="239"/>
      <c r="W139" s="65"/>
      <c r="X139" s="65"/>
    </row>
    <row r="140" spans="2:24">
      <c r="B140" s="252"/>
      <c r="C140" s="192"/>
      <c r="D140" s="65"/>
      <c r="E140" s="236"/>
      <c r="F140" s="193"/>
      <c r="G140" s="65"/>
      <c r="H140" s="65"/>
      <c r="I140" s="65"/>
      <c r="J140" s="65"/>
      <c r="K140" s="65"/>
      <c r="L140" s="194"/>
      <c r="M140" s="237"/>
      <c r="N140" s="238"/>
      <c r="O140" s="193"/>
      <c r="P140" s="193"/>
      <c r="Q140" s="193"/>
      <c r="R140" s="193"/>
      <c r="S140" s="193"/>
      <c r="T140" s="193"/>
      <c r="U140" s="239"/>
      <c r="V140" s="239"/>
      <c r="W140" s="65"/>
      <c r="X140" s="65"/>
    </row>
    <row r="141" spans="2:24">
      <c r="B141" s="252"/>
      <c r="C141" s="192"/>
      <c r="D141" s="65"/>
      <c r="E141" s="236"/>
      <c r="F141" s="193"/>
      <c r="G141" s="65"/>
      <c r="H141" s="65"/>
      <c r="I141" s="65"/>
      <c r="J141" s="65"/>
      <c r="K141" s="65"/>
      <c r="L141" s="194"/>
      <c r="M141" s="237"/>
      <c r="N141" s="238"/>
      <c r="O141" s="193"/>
      <c r="P141" s="193"/>
      <c r="Q141" s="193"/>
      <c r="R141" s="193"/>
      <c r="S141" s="193"/>
      <c r="T141" s="193"/>
      <c r="U141" s="239"/>
      <c r="V141" s="239"/>
      <c r="W141" s="65"/>
      <c r="X141" s="65"/>
    </row>
    <row r="142" spans="2:24">
      <c r="B142" s="252"/>
      <c r="C142" s="192"/>
      <c r="D142" s="65"/>
      <c r="E142" s="236"/>
      <c r="F142" s="193"/>
      <c r="G142" s="65"/>
      <c r="H142" s="65"/>
      <c r="I142" s="65"/>
      <c r="J142" s="65"/>
      <c r="K142" s="65"/>
      <c r="L142" s="194"/>
      <c r="M142" s="237"/>
      <c r="N142" s="238"/>
      <c r="O142" s="193"/>
      <c r="P142" s="193"/>
      <c r="Q142" s="193"/>
      <c r="R142" s="193"/>
      <c r="S142" s="193"/>
      <c r="T142" s="193"/>
      <c r="U142" s="239"/>
      <c r="V142" s="239"/>
      <c r="W142" s="65"/>
      <c r="X142" s="65"/>
    </row>
    <row r="143" spans="2:24">
      <c r="B143" s="252"/>
      <c r="C143" s="192"/>
      <c r="D143" s="65"/>
      <c r="E143" s="236"/>
      <c r="F143" s="193"/>
      <c r="G143" s="65"/>
      <c r="H143" s="65"/>
      <c r="I143" s="65"/>
      <c r="J143" s="65"/>
      <c r="K143" s="65"/>
      <c r="L143" s="194"/>
      <c r="M143" s="237"/>
      <c r="N143" s="238"/>
      <c r="O143" s="193"/>
      <c r="P143" s="193"/>
      <c r="Q143" s="193"/>
      <c r="R143" s="193"/>
      <c r="S143" s="193"/>
      <c r="T143" s="193"/>
      <c r="U143" s="239"/>
      <c r="V143" s="239"/>
      <c r="W143" s="65"/>
      <c r="X143" s="65"/>
    </row>
    <row r="144" spans="2:24">
      <c r="B144" s="252"/>
      <c r="C144" s="192"/>
      <c r="D144" s="65"/>
      <c r="E144" s="236"/>
      <c r="F144" s="193"/>
      <c r="G144" s="65"/>
      <c r="H144" s="65"/>
      <c r="I144" s="65"/>
      <c r="J144" s="65"/>
      <c r="K144" s="65"/>
      <c r="L144" s="194"/>
      <c r="M144" s="237"/>
      <c r="N144" s="238"/>
      <c r="O144" s="193"/>
      <c r="P144" s="193"/>
      <c r="Q144" s="193"/>
      <c r="R144" s="193"/>
      <c r="S144" s="193"/>
      <c r="T144" s="193"/>
      <c r="U144" s="239"/>
      <c r="V144" s="239"/>
      <c r="W144" s="65"/>
      <c r="X144" s="65"/>
    </row>
    <row r="145" spans="2:24">
      <c r="B145" s="252"/>
      <c r="C145" s="192"/>
      <c r="D145" s="65"/>
      <c r="E145" s="236"/>
      <c r="F145" s="193"/>
      <c r="G145" s="65"/>
      <c r="H145" s="65"/>
      <c r="I145" s="65"/>
      <c r="J145" s="65"/>
      <c r="K145" s="65"/>
      <c r="L145" s="194"/>
      <c r="M145" s="237"/>
      <c r="N145" s="238"/>
      <c r="O145" s="193"/>
      <c r="P145" s="193"/>
      <c r="Q145" s="193"/>
      <c r="R145" s="193"/>
      <c r="S145" s="193"/>
      <c r="T145" s="193"/>
      <c r="U145" s="239"/>
      <c r="V145" s="239"/>
      <c r="W145" s="65"/>
      <c r="X145" s="65"/>
    </row>
    <row r="146" spans="2:24">
      <c r="B146" s="252"/>
      <c r="C146" s="192"/>
      <c r="D146" s="65"/>
      <c r="E146" s="236"/>
      <c r="F146" s="193"/>
      <c r="G146" s="65"/>
      <c r="H146" s="65"/>
      <c r="I146" s="65"/>
      <c r="J146" s="65"/>
      <c r="K146" s="65"/>
      <c r="L146" s="194"/>
      <c r="M146" s="237"/>
      <c r="N146" s="238"/>
      <c r="O146" s="193"/>
      <c r="P146" s="193"/>
      <c r="Q146" s="193"/>
      <c r="R146" s="193"/>
      <c r="S146" s="193"/>
      <c r="T146" s="193"/>
      <c r="U146" s="239"/>
      <c r="V146" s="239"/>
      <c r="W146" s="65"/>
      <c r="X146" s="65"/>
    </row>
    <row r="147" spans="2:24">
      <c r="B147" s="252"/>
      <c r="C147" s="192"/>
      <c r="D147" s="65"/>
      <c r="E147" s="236"/>
      <c r="F147" s="193"/>
      <c r="G147" s="65"/>
      <c r="H147" s="65"/>
      <c r="I147" s="65"/>
      <c r="J147" s="65"/>
      <c r="K147" s="65"/>
      <c r="L147" s="194"/>
      <c r="M147" s="237"/>
      <c r="N147" s="238"/>
      <c r="O147" s="193"/>
      <c r="P147" s="193"/>
      <c r="Q147" s="193"/>
      <c r="R147" s="193"/>
      <c r="S147" s="193"/>
      <c r="T147" s="193"/>
      <c r="U147" s="239"/>
      <c r="V147" s="239"/>
      <c r="W147" s="65"/>
      <c r="X147" s="65"/>
    </row>
    <row r="148" spans="2:24">
      <c r="B148" s="252"/>
      <c r="C148" s="192"/>
      <c r="D148" s="65"/>
      <c r="E148" s="236"/>
      <c r="F148" s="193"/>
      <c r="G148" s="65"/>
      <c r="H148" s="65"/>
      <c r="I148" s="65"/>
      <c r="J148" s="65"/>
      <c r="K148" s="65"/>
      <c r="L148" s="194"/>
      <c r="M148" s="237"/>
      <c r="N148" s="238"/>
      <c r="O148" s="193"/>
      <c r="P148" s="193"/>
      <c r="Q148" s="193"/>
      <c r="R148" s="193"/>
      <c r="S148" s="193"/>
      <c r="T148" s="193"/>
      <c r="U148" s="239"/>
      <c r="V148" s="239"/>
      <c r="W148" s="65"/>
      <c r="X148" s="65"/>
    </row>
    <row r="149" spans="2:24">
      <c r="B149" s="252"/>
      <c r="C149" s="192"/>
      <c r="D149" s="65"/>
      <c r="E149" s="236"/>
      <c r="F149" s="193"/>
      <c r="G149" s="65"/>
      <c r="H149" s="65"/>
      <c r="I149" s="65"/>
      <c r="J149" s="65"/>
      <c r="K149" s="65"/>
      <c r="L149" s="194"/>
      <c r="M149" s="237"/>
      <c r="N149" s="238"/>
      <c r="O149" s="193"/>
      <c r="P149" s="193"/>
      <c r="Q149" s="193"/>
      <c r="R149" s="193"/>
      <c r="S149" s="193"/>
      <c r="T149" s="193"/>
      <c r="U149" s="239"/>
      <c r="V149" s="239"/>
      <c r="W149" s="65"/>
      <c r="X149" s="65"/>
    </row>
    <row r="150" spans="2:24">
      <c r="B150" s="252"/>
      <c r="C150" s="192"/>
      <c r="D150" s="65"/>
      <c r="E150" s="236"/>
      <c r="F150" s="193"/>
      <c r="G150" s="65"/>
      <c r="H150" s="65"/>
      <c r="I150" s="65"/>
      <c r="J150" s="65"/>
      <c r="K150" s="65"/>
      <c r="L150" s="194"/>
      <c r="M150" s="237"/>
      <c r="N150" s="238"/>
      <c r="O150" s="193"/>
      <c r="P150" s="193"/>
      <c r="Q150" s="193"/>
      <c r="R150" s="193"/>
      <c r="S150" s="193"/>
      <c r="T150" s="193"/>
      <c r="U150" s="239"/>
      <c r="V150" s="239"/>
      <c r="W150" s="65"/>
      <c r="X150" s="65"/>
    </row>
    <row r="151" spans="2:24">
      <c r="B151" s="252"/>
      <c r="C151" s="192"/>
      <c r="D151" s="65"/>
      <c r="E151" s="236"/>
      <c r="F151" s="193"/>
      <c r="G151" s="65"/>
      <c r="H151" s="65"/>
      <c r="I151" s="65"/>
      <c r="J151" s="65"/>
      <c r="K151" s="65"/>
      <c r="L151" s="194"/>
      <c r="M151" s="237"/>
      <c r="N151" s="238"/>
      <c r="O151" s="193"/>
      <c r="P151" s="193"/>
      <c r="Q151" s="193"/>
      <c r="R151" s="193"/>
      <c r="S151" s="193"/>
      <c r="T151" s="193"/>
      <c r="U151" s="239"/>
      <c r="V151" s="239"/>
      <c r="W151" s="65"/>
      <c r="X151" s="65"/>
    </row>
    <row r="152" spans="2:24">
      <c r="B152" s="252"/>
      <c r="C152" s="192"/>
      <c r="D152" s="65"/>
      <c r="E152" s="236"/>
      <c r="F152" s="193"/>
      <c r="G152" s="65"/>
      <c r="H152" s="65"/>
      <c r="I152" s="65"/>
      <c r="J152" s="65"/>
      <c r="K152" s="65"/>
      <c r="L152" s="194"/>
      <c r="M152" s="237"/>
      <c r="N152" s="238"/>
      <c r="O152" s="193"/>
      <c r="P152" s="193"/>
      <c r="Q152" s="193"/>
      <c r="R152" s="193"/>
      <c r="S152" s="193"/>
      <c r="T152" s="193"/>
      <c r="U152" s="239"/>
      <c r="V152" s="239"/>
      <c r="W152" s="65"/>
      <c r="X152" s="65"/>
    </row>
    <row r="153" spans="2:24">
      <c r="B153" s="252"/>
      <c r="C153" s="192"/>
      <c r="D153" s="65"/>
      <c r="E153" s="236"/>
      <c r="F153" s="193"/>
      <c r="G153" s="65"/>
      <c r="H153" s="65"/>
      <c r="I153" s="65"/>
      <c r="J153" s="65"/>
      <c r="K153" s="65"/>
      <c r="L153" s="194"/>
      <c r="M153" s="237"/>
      <c r="N153" s="238"/>
      <c r="O153" s="193"/>
      <c r="P153" s="193"/>
      <c r="Q153" s="193"/>
      <c r="R153" s="193"/>
      <c r="S153" s="193"/>
      <c r="T153" s="193"/>
      <c r="U153" s="239"/>
      <c r="V153" s="239"/>
      <c r="W153" s="65"/>
      <c r="X153" s="65"/>
    </row>
    <row r="154" spans="2:24">
      <c r="B154" s="252"/>
      <c r="C154" s="192"/>
      <c r="D154" s="65"/>
      <c r="E154" s="236"/>
      <c r="F154" s="193"/>
      <c r="G154" s="65"/>
      <c r="H154" s="65"/>
      <c r="I154" s="65"/>
      <c r="J154" s="65"/>
      <c r="K154" s="65"/>
      <c r="L154" s="194"/>
      <c r="M154" s="237"/>
      <c r="N154" s="238"/>
      <c r="O154" s="193"/>
      <c r="P154" s="193"/>
      <c r="Q154" s="193"/>
      <c r="R154" s="193"/>
      <c r="S154" s="193"/>
      <c r="T154" s="193"/>
      <c r="U154" s="239"/>
      <c r="V154" s="239"/>
      <c r="W154" s="65"/>
      <c r="X154" s="65"/>
    </row>
    <row r="155" spans="2:24">
      <c r="B155" s="252"/>
      <c r="C155" s="192"/>
      <c r="D155" s="65"/>
      <c r="E155" s="236"/>
      <c r="F155" s="193"/>
      <c r="G155" s="65"/>
      <c r="H155" s="65"/>
      <c r="I155" s="65"/>
      <c r="J155" s="65"/>
      <c r="K155" s="65"/>
      <c r="L155" s="194"/>
      <c r="M155" s="237"/>
      <c r="N155" s="238"/>
      <c r="O155" s="193"/>
      <c r="P155" s="193"/>
      <c r="Q155" s="193"/>
      <c r="R155" s="193"/>
      <c r="S155" s="193"/>
      <c r="T155" s="193"/>
      <c r="U155" s="239"/>
      <c r="V155" s="239"/>
      <c r="W155" s="65"/>
      <c r="X155" s="65"/>
    </row>
    <row r="156" spans="2:24">
      <c r="B156" s="252"/>
      <c r="C156" s="192"/>
      <c r="D156" s="65"/>
      <c r="E156" s="236"/>
      <c r="F156" s="193"/>
      <c r="G156" s="65"/>
      <c r="H156" s="65"/>
      <c r="I156" s="65"/>
      <c r="J156" s="65"/>
      <c r="K156" s="65"/>
      <c r="L156" s="194"/>
      <c r="M156" s="237"/>
      <c r="N156" s="238"/>
      <c r="O156" s="193"/>
      <c r="P156" s="193"/>
      <c r="Q156" s="193"/>
      <c r="R156" s="193"/>
      <c r="S156" s="193"/>
      <c r="T156" s="193"/>
      <c r="U156" s="239"/>
      <c r="V156" s="239"/>
      <c r="W156" s="65"/>
      <c r="X156" s="65"/>
    </row>
    <row r="157" spans="2:24">
      <c r="B157" s="252"/>
      <c r="C157" s="192"/>
      <c r="D157" s="65"/>
      <c r="E157" s="236"/>
      <c r="F157" s="193"/>
      <c r="G157" s="65"/>
      <c r="H157" s="65"/>
      <c r="I157" s="65"/>
      <c r="J157" s="65"/>
      <c r="K157" s="65"/>
      <c r="L157" s="194"/>
      <c r="M157" s="237"/>
      <c r="N157" s="238"/>
      <c r="O157" s="193"/>
      <c r="P157" s="193"/>
      <c r="Q157" s="193"/>
      <c r="R157" s="193"/>
      <c r="S157" s="193"/>
      <c r="T157" s="193"/>
      <c r="U157" s="239"/>
      <c r="V157" s="239"/>
      <c r="W157" s="65"/>
      <c r="X157" s="65"/>
    </row>
    <row r="158" spans="2:24">
      <c r="B158" s="252"/>
      <c r="C158" s="192"/>
      <c r="D158" s="65"/>
      <c r="E158" s="236"/>
      <c r="F158" s="193"/>
      <c r="G158" s="65"/>
      <c r="H158" s="65"/>
      <c r="I158" s="65"/>
      <c r="J158" s="65"/>
      <c r="K158" s="65"/>
      <c r="L158" s="194"/>
      <c r="M158" s="237"/>
      <c r="N158" s="238"/>
      <c r="O158" s="193"/>
      <c r="P158" s="193"/>
      <c r="Q158" s="193"/>
      <c r="R158" s="193"/>
      <c r="S158" s="193"/>
      <c r="T158" s="193"/>
      <c r="U158" s="239"/>
      <c r="V158" s="239"/>
      <c r="W158" s="65"/>
      <c r="X158" s="65"/>
    </row>
    <row r="159" spans="2:24">
      <c r="B159" s="252"/>
      <c r="C159" s="192"/>
      <c r="D159" s="65"/>
      <c r="E159" s="236"/>
      <c r="F159" s="193"/>
      <c r="G159" s="65"/>
      <c r="H159" s="65"/>
      <c r="I159" s="65"/>
      <c r="J159" s="65"/>
      <c r="K159" s="65"/>
      <c r="L159" s="194"/>
      <c r="M159" s="237"/>
      <c r="N159" s="238"/>
      <c r="O159" s="193"/>
      <c r="P159" s="193"/>
      <c r="Q159" s="193"/>
      <c r="R159" s="193"/>
      <c r="S159" s="193"/>
      <c r="T159" s="193"/>
      <c r="U159" s="239"/>
      <c r="V159" s="239"/>
      <c r="W159" s="65"/>
      <c r="X159" s="65"/>
    </row>
    <row r="160" spans="2:24">
      <c r="B160" s="252"/>
      <c r="C160" s="192"/>
      <c r="D160" s="65"/>
      <c r="E160" s="236"/>
      <c r="F160" s="193"/>
      <c r="G160" s="65"/>
      <c r="H160" s="65"/>
      <c r="I160" s="65"/>
      <c r="J160" s="65"/>
      <c r="K160" s="65"/>
      <c r="L160" s="194"/>
      <c r="M160" s="237"/>
      <c r="N160" s="238"/>
      <c r="O160" s="193"/>
      <c r="P160" s="193"/>
      <c r="Q160" s="193"/>
      <c r="R160" s="193"/>
      <c r="S160" s="193"/>
      <c r="T160" s="193"/>
      <c r="U160" s="239"/>
      <c r="V160" s="239"/>
      <c r="W160" s="65"/>
      <c r="X160" s="65"/>
    </row>
    <row r="161" spans="2:24">
      <c r="B161" s="252"/>
      <c r="C161" s="192"/>
      <c r="D161" s="65"/>
      <c r="E161" s="236"/>
      <c r="F161" s="193"/>
      <c r="G161" s="65"/>
      <c r="H161" s="65"/>
      <c r="I161" s="65"/>
      <c r="J161" s="65"/>
      <c r="K161" s="65"/>
      <c r="L161" s="194"/>
      <c r="M161" s="237"/>
      <c r="N161" s="238"/>
      <c r="O161" s="193"/>
      <c r="P161" s="193"/>
      <c r="Q161" s="193"/>
      <c r="R161" s="193"/>
      <c r="S161" s="193"/>
      <c r="T161" s="193"/>
      <c r="U161" s="239"/>
      <c r="V161" s="239"/>
      <c r="W161" s="65"/>
      <c r="X161" s="65"/>
    </row>
    <row r="162" spans="2:24">
      <c r="B162" s="252"/>
      <c r="C162" s="192"/>
      <c r="D162" s="65"/>
      <c r="E162" s="236"/>
      <c r="F162" s="193"/>
      <c r="G162" s="65"/>
      <c r="H162" s="65"/>
      <c r="I162" s="65"/>
      <c r="J162" s="65"/>
      <c r="K162" s="65"/>
      <c r="L162" s="194"/>
      <c r="M162" s="237"/>
      <c r="N162" s="238"/>
      <c r="O162" s="193"/>
      <c r="P162" s="193"/>
      <c r="Q162" s="193"/>
      <c r="R162" s="193"/>
      <c r="S162" s="193"/>
      <c r="T162" s="193"/>
      <c r="U162" s="239"/>
      <c r="V162" s="239"/>
      <c r="W162" s="65"/>
      <c r="X162" s="65"/>
    </row>
    <row r="163" spans="2:24">
      <c r="B163" s="252"/>
      <c r="C163" s="192"/>
      <c r="D163" s="65"/>
      <c r="E163" s="236"/>
      <c r="F163" s="193"/>
      <c r="G163" s="65"/>
      <c r="H163" s="65"/>
      <c r="I163" s="65"/>
      <c r="J163" s="65"/>
      <c r="K163" s="65"/>
      <c r="L163" s="194"/>
      <c r="M163" s="237"/>
      <c r="N163" s="238"/>
      <c r="O163" s="193"/>
      <c r="P163" s="193"/>
      <c r="Q163" s="193"/>
      <c r="R163" s="193"/>
      <c r="S163" s="193"/>
      <c r="T163" s="193"/>
      <c r="U163" s="239"/>
      <c r="V163" s="239"/>
      <c r="W163" s="65"/>
      <c r="X163" s="65"/>
    </row>
    <row r="164" spans="2:24">
      <c r="B164" s="252"/>
      <c r="C164" s="192"/>
      <c r="D164" s="65"/>
      <c r="E164" s="236"/>
      <c r="F164" s="193"/>
      <c r="G164" s="65"/>
      <c r="H164" s="65"/>
      <c r="I164" s="65"/>
      <c r="J164" s="65"/>
      <c r="K164" s="65"/>
      <c r="L164" s="194"/>
      <c r="M164" s="237"/>
      <c r="N164" s="238"/>
      <c r="O164" s="193"/>
      <c r="P164" s="193"/>
      <c r="Q164" s="193"/>
      <c r="R164" s="193"/>
      <c r="S164" s="193"/>
      <c r="T164" s="193"/>
      <c r="U164" s="239"/>
      <c r="V164" s="239"/>
      <c r="W164" s="65"/>
      <c r="X164" s="65"/>
    </row>
    <row r="165" spans="2:24">
      <c r="B165" s="252"/>
      <c r="C165" s="192"/>
      <c r="D165" s="65"/>
      <c r="E165" s="236"/>
      <c r="F165" s="193"/>
      <c r="G165" s="65"/>
      <c r="H165" s="65"/>
      <c r="I165" s="65"/>
      <c r="J165" s="65"/>
      <c r="K165" s="65"/>
      <c r="L165" s="194"/>
      <c r="M165" s="237"/>
      <c r="N165" s="238"/>
      <c r="O165" s="193"/>
      <c r="P165" s="193"/>
      <c r="Q165" s="193"/>
      <c r="R165" s="193"/>
      <c r="S165" s="193"/>
      <c r="T165" s="193"/>
      <c r="U165" s="239"/>
      <c r="V165" s="239"/>
      <c r="W165" s="65"/>
      <c r="X165" s="65"/>
    </row>
    <row r="166" spans="2:24">
      <c r="B166" s="252"/>
      <c r="C166" s="192"/>
      <c r="D166" s="65"/>
      <c r="E166" s="236"/>
      <c r="F166" s="193"/>
      <c r="G166" s="65"/>
      <c r="H166" s="65"/>
      <c r="I166" s="65"/>
      <c r="J166" s="65"/>
      <c r="K166" s="65"/>
      <c r="L166" s="194"/>
      <c r="M166" s="237"/>
      <c r="N166" s="238"/>
      <c r="O166" s="193"/>
      <c r="P166" s="193"/>
      <c r="Q166" s="193"/>
      <c r="R166" s="193"/>
      <c r="S166" s="193"/>
      <c r="T166" s="193"/>
      <c r="U166" s="239"/>
      <c r="V166" s="239"/>
      <c r="W166" s="65"/>
      <c r="X166" s="65"/>
    </row>
    <row r="167" spans="2:24">
      <c r="B167" s="252"/>
      <c r="C167" s="192"/>
      <c r="D167" s="65"/>
      <c r="E167" s="236"/>
      <c r="F167" s="193"/>
      <c r="G167" s="65"/>
      <c r="H167" s="65"/>
      <c r="I167" s="65"/>
      <c r="J167" s="65"/>
      <c r="K167" s="65"/>
      <c r="L167" s="194"/>
      <c r="M167" s="237"/>
      <c r="N167" s="238"/>
      <c r="O167" s="193"/>
      <c r="P167" s="193"/>
      <c r="Q167" s="193"/>
      <c r="R167" s="193"/>
      <c r="S167" s="193"/>
      <c r="T167" s="193"/>
      <c r="U167" s="239"/>
      <c r="V167" s="239"/>
      <c r="W167" s="65"/>
      <c r="X167" s="65"/>
    </row>
    <row r="168" spans="2:24">
      <c r="B168" s="252"/>
      <c r="C168" s="192"/>
      <c r="D168" s="65"/>
      <c r="E168" s="236"/>
      <c r="F168" s="193"/>
      <c r="G168" s="65"/>
      <c r="H168" s="65"/>
      <c r="I168" s="65"/>
      <c r="J168" s="65"/>
      <c r="K168" s="65"/>
      <c r="L168" s="194"/>
      <c r="M168" s="237"/>
      <c r="N168" s="238"/>
      <c r="O168" s="193"/>
      <c r="P168" s="193"/>
      <c r="Q168" s="193"/>
      <c r="R168" s="193"/>
      <c r="S168" s="193"/>
      <c r="T168" s="193"/>
      <c r="U168" s="239"/>
      <c r="V168" s="239"/>
      <c r="W168" s="65"/>
      <c r="X168" s="65"/>
    </row>
    <row r="169" spans="2:24">
      <c r="B169" s="252"/>
      <c r="C169" s="192"/>
      <c r="D169" s="65"/>
      <c r="E169" s="236"/>
      <c r="F169" s="193"/>
      <c r="G169" s="65"/>
      <c r="H169" s="65"/>
      <c r="I169" s="65"/>
      <c r="J169" s="65"/>
      <c r="K169" s="65"/>
      <c r="L169" s="194"/>
      <c r="M169" s="237"/>
      <c r="N169" s="238"/>
      <c r="O169" s="193"/>
      <c r="P169" s="193"/>
      <c r="Q169" s="193"/>
      <c r="R169" s="193"/>
      <c r="S169" s="193"/>
      <c r="T169" s="193"/>
      <c r="U169" s="239"/>
      <c r="V169" s="239"/>
      <c r="W169" s="65"/>
      <c r="X169" s="65"/>
    </row>
    <row r="170" spans="2:24">
      <c r="B170" s="252"/>
      <c r="C170" s="192"/>
      <c r="D170" s="65"/>
      <c r="E170" s="236"/>
      <c r="F170" s="193"/>
      <c r="G170" s="65"/>
      <c r="H170" s="65"/>
      <c r="I170" s="65"/>
      <c r="J170" s="65"/>
      <c r="K170" s="65"/>
      <c r="L170" s="194"/>
      <c r="M170" s="237"/>
      <c r="N170" s="238"/>
      <c r="O170" s="193"/>
      <c r="P170" s="193"/>
      <c r="Q170" s="193"/>
      <c r="R170" s="193"/>
      <c r="S170" s="193"/>
      <c r="T170" s="193"/>
      <c r="U170" s="239"/>
      <c r="V170" s="239"/>
      <c r="W170" s="65"/>
      <c r="X170" s="65"/>
    </row>
    <row r="171" spans="2:24">
      <c r="B171" s="252"/>
      <c r="C171" s="192"/>
      <c r="D171" s="65"/>
      <c r="E171" s="236"/>
      <c r="F171" s="193"/>
      <c r="G171" s="65"/>
      <c r="H171" s="65"/>
      <c r="I171" s="65"/>
      <c r="J171" s="65"/>
      <c r="K171" s="65"/>
      <c r="L171" s="194"/>
      <c r="M171" s="237"/>
      <c r="N171" s="238"/>
      <c r="O171" s="193"/>
      <c r="P171" s="193"/>
      <c r="Q171" s="193"/>
      <c r="R171" s="193"/>
      <c r="S171" s="193"/>
      <c r="T171" s="193"/>
      <c r="U171" s="239"/>
      <c r="V171" s="239"/>
      <c r="W171" s="65"/>
      <c r="X171" s="65"/>
    </row>
    <row r="172" spans="2:24">
      <c r="B172" s="252"/>
      <c r="C172" s="192"/>
      <c r="D172" s="65"/>
      <c r="E172" s="236"/>
      <c r="F172" s="193"/>
      <c r="G172" s="65"/>
      <c r="H172" s="65"/>
      <c r="I172" s="65"/>
      <c r="J172" s="65"/>
      <c r="K172" s="65"/>
      <c r="L172" s="194"/>
      <c r="M172" s="237"/>
      <c r="N172" s="238"/>
      <c r="O172" s="193"/>
      <c r="P172" s="193"/>
      <c r="Q172" s="193"/>
      <c r="R172" s="193"/>
      <c r="S172" s="193"/>
      <c r="T172" s="193"/>
      <c r="U172" s="239"/>
      <c r="V172" s="239"/>
      <c r="W172" s="65"/>
      <c r="X172" s="65"/>
    </row>
    <row r="173" spans="2:24">
      <c r="B173" s="252"/>
      <c r="C173" s="192"/>
      <c r="D173" s="65"/>
      <c r="E173" s="236"/>
      <c r="F173" s="193"/>
      <c r="G173" s="65"/>
      <c r="H173" s="65"/>
      <c r="I173" s="65"/>
      <c r="J173" s="65"/>
      <c r="K173" s="65"/>
      <c r="L173" s="194"/>
      <c r="M173" s="237"/>
      <c r="N173" s="238"/>
      <c r="O173" s="193"/>
      <c r="P173" s="193"/>
      <c r="Q173" s="193"/>
      <c r="R173" s="193"/>
      <c r="S173" s="193"/>
      <c r="T173" s="193"/>
      <c r="U173" s="239"/>
      <c r="V173" s="239"/>
      <c r="W173" s="65"/>
      <c r="X173" s="65"/>
    </row>
    <row r="174" spans="2:24">
      <c r="B174" s="252"/>
      <c r="C174" s="192"/>
      <c r="D174" s="65"/>
      <c r="E174" s="236"/>
      <c r="F174" s="193"/>
      <c r="G174" s="65"/>
      <c r="H174" s="65"/>
      <c r="I174" s="65"/>
      <c r="J174" s="65"/>
      <c r="K174" s="65"/>
      <c r="L174" s="194"/>
      <c r="M174" s="237"/>
      <c r="N174" s="238"/>
      <c r="O174" s="193"/>
      <c r="P174" s="193"/>
      <c r="Q174" s="193"/>
      <c r="R174" s="193"/>
      <c r="S174" s="193"/>
      <c r="T174" s="193"/>
      <c r="U174" s="239"/>
      <c r="V174" s="239"/>
      <c r="W174" s="65"/>
      <c r="X174" s="65"/>
    </row>
    <row r="175" spans="2:24">
      <c r="B175" s="252"/>
      <c r="C175" s="192"/>
      <c r="D175" s="65"/>
      <c r="E175" s="236"/>
      <c r="F175" s="193"/>
      <c r="G175" s="65"/>
      <c r="H175" s="65"/>
      <c r="I175" s="65"/>
      <c r="J175" s="65"/>
      <c r="K175" s="65"/>
      <c r="L175" s="194"/>
      <c r="M175" s="237"/>
      <c r="N175" s="238"/>
      <c r="O175" s="193"/>
      <c r="P175" s="193"/>
      <c r="Q175" s="193"/>
      <c r="R175" s="193"/>
      <c r="S175" s="193"/>
      <c r="T175" s="193"/>
      <c r="U175" s="239"/>
      <c r="V175" s="239"/>
      <c r="W175" s="65"/>
      <c r="X175" s="65"/>
    </row>
    <row r="176" spans="2:24">
      <c r="B176" s="252"/>
      <c r="C176" s="192"/>
      <c r="D176" s="65"/>
      <c r="E176" s="236"/>
      <c r="F176" s="193"/>
      <c r="G176" s="65"/>
      <c r="H176" s="65"/>
      <c r="I176" s="65"/>
      <c r="J176" s="65"/>
      <c r="K176" s="65"/>
      <c r="L176" s="194"/>
      <c r="M176" s="237"/>
      <c r="N176" s="238"/>
      <c r="O176" s="193"/>
      <c r="P176" s="193"/>
      <c r="Q176" s="193"/>
      <c r="R176" s="193"/>
      <c r="S176" s="193"/>
      <c r="T176" s="193"/>
      <c r="U176" s="239"/>
      <c r="V176" s="239"/>
      <c r="W176" s="65"/>
      <c r="X176" s="65"/>
    </row>
    <row r="177" spans="2:24">
      <c r="B177" s="252"/>
      <c r="C177" s="192"/>
      <c r="D177" s="65"/>
      <c r="E177" s="236"/>
      <c r="F177" s="193"/>
      <c r="G177" s="65"/>
      <c r="H177" s="65"/>
      <c r="I177" s="65"/>
      <c r="J177" s="65"/>
      <c r="K177" s="65"/>
      <c r="L177" s="194"/>
      <c r="M177" s="237"/>
      <c r="N177" s="238"/>
      <c r="O177" s="193"/>
      <c r="P177" s="193"/>
      <c r="Q177" s="193"/>
      <c r="R177" s="193"/>
      <c r="S177" s="193"/>
      <c r="T177" s="193"/>
      <c r="U177" s="239"/>
      <c r="V177" s="239"/>
      <c r="W177" s="65"/>
      <c r="X177" s="65"/>
    </row>
    <row r="178" spans="2:24">
      <c r="B178" s="252"/>
      <c r="C178" s="192"/>
      <c r="D178" s="65"/>
      <c r="E178" s="236"/>
      <c r="F178" s="193"/>
      <c r="G178" s="65"/>
      <c r="H178" s="65"/>
      <c r="I178" s="65"/>
      <c r="J178" s="65"/>
      <c r="K178" s="65"/>
      <c r="L178" s="194"/>
      <c r="M178" s="237"/>
      <c r="N178" s="238"/>
      <c r="O178" s="193"/>
      <c r="P178" s="193"/>
      <c r="Q178" s="193"/>
      <c r="R178" s="193"/>
      <c r="S178" s="193"/>
      <c r="T178" s="193"/>
      <c r="U178" s="239"/>
      <c r="V178" s="239"/>
      <c r="W178" s="65"/>
      <c r="X178" s="65"/>
    </row>
    <row r="179" spans="2:24">
      <c r="B179" s="252"/>
      <c r="C179" s="192"/>
      <c r="D179" s="65"/>
      <c r="E179" s="236"/>
      <c r="F179" s="193"/>
      <c r="G179" s="65"/>
      <c r="H179" s="65"/>
      <c r="I179" s="65"/>
      <c r="J179" s="65"/>
      <c r="K179" s="65"/>
      <c r="L179" s="194"/>
      <c r="M179" s="237"/>
      <c r="N179" s="238"/>
      <c r="O179" s="193"/>
      <c r="P179" s="193"/>
      <c r="Q179" s="193"/>
      <c r="R179" s="193"/>
      <c r="S179" s="193"/>
      <c r="T179" s="193"/>
      <c r="U179" s="239"/>
      <c r="V179" s="239"/>
      <c r="W179" s="65"/>
      <c r="X179" s="65"/>
    </row>
    <row r="180" spans="2:24">
      <c r="B180" s="252"/>
      <c r="C180" s="192"/>
      <c r="D180" s="65"/>
      <c r="E180" s="236"/>
      <c r="F180" s="193"/>
      <c r="G180" s="65"/>
      <c r="H180" s="65"/>
      <c r="I180" s="65"/>
      <c r="J180" s="65"/>
      <c r="K180" s="65"/>
      <c r="L180" s="194"/>
      <c r="M180" s="237"/>
      <c r="N180" s="238"/>
      <c r="O180" s="193"/>
      <c r="P180" s="193"/>
      <c r="Q180" s="193"/>
      <c r="R180" s="193"/>
      <c r="S180" s="193"/>
      <c r="T180" s="193"/>
      <c r="U180" s="239"/>
      <c r="V180" s="239"/>
      <c r="W180" s="65"/>
      <c r="X180" s="65"/>
    </row>
    <row r="181" spans="2:24">
      <c r="B181" s="252"/>
      <c r="C181" s="192"/>
      <c r="D181" s="65"/>
      <c r="E181" s="236"/>
      <c r="F181" s="193"/>
      <c r="G181" s="65"/>
      <c r="H181" s="65"/>
      <c r="I181" s="65"/>
      <c r="J181" s="65"/>
      <c r="K181" s="65"/>
      <c r="L181" s="194"/>
      <c r="M181" s="237"/>
      <c r="N181" s="238"/>
      <c r="O181" s="193"/>
      <c r="P181" s="193"/>
      <c r="Q181" s="193"/>
      <c r="R181" s="193"/>
      <c r="S181" s="193"/>
      <c r="T181" s="193"/>
      <c r="U181" s="239"/>
      <c r="V181" s="239"/>
      <c r="W181" s="65"/>
      <c r="X181" s="65"/>
    </row>
    <row r="182" spans="2:24">
      <c r="B182" s="252"/>
      <c r="C182" s="192"/>
      <c r="D182" s="65"/>
      <c r="E182" s="236"/>
      <c r="F182" s="193"/>
      <c r="G182" s="65"/>
      <c r="H182" s="65"/>
      <c r="I182" s="65"/>
      <c r="J182" s="65"/>
      <c r="K182" s="65"/>
      <c r="L182" s="194"/>
      <c r="M182" s="237"/>
      <c r="N182" s="238"/>
      <c r="O182" s="193"/>
      <c r="P182" s="193"/>
      <c r="Q182" s="193"/>
      <c r="R182" s="193"/>
      <c r="S182" s="193"/>
      <c r="T182" s="193"/>
      <c r="U182" s="239"/>
      <c r="V182" s="239"/>
      <c r="W182" s="65"/>
      <c r="X182" s="65"/>
    </row>
    <row r="183" spans="2:24">
      <c r="B183" s="252"/>
      <c r="C183" s="192"/>
      <c r="D183" s="65"/>
      <c r="E183" s="236"/>
      <c r="F183" s="193"/>
      <c r="G183" s="65"/>
      <c r="H183" s="65"/>
      <c r="I183" s="65"/>
      <c r="J183" s="65"/>
      <c r="K183" s="65"/>
      <c r="L183" s="194"/>
      <c r="M183" s="237"/>
      <c r="N183" s="238"/>
      <c r="O183" s="193"/>
      <c r="P183" s="193"/>
      <c r="Q183" s="193"/>
      <c r="R183" s="193"/>
      <c r="S183" s="193"/>
      <c r="T183" s="193"/>
      <c r="U183" s="239"/>
      <c r="V183" s="239"/>
      <c r="W183" s="65"/>
      <c r="X183" s="65"/>
    </row>
    <row r="184" spans="2:24">
      <c r="B184" s="252"/>
      <c r="C184" s="192"/>
      <c r="D184" s="65"/>
      <c r="E184" s="236"/>
      <c r="F184" s="193"/>
      <c r="G184" s="65"/>
      <c r="H184" s="65"/>
      <c r="I184" s="65"/>
      <c r="J184" s="65"/>
      <c r="K184" s="65"/>
      <c r="L184" s="194"/>
      <c r="M184" s="237"/>
      <c r="N184" s="238"/>
      <c r="O184" s="193"/>
      <c r="P184" s="193"/>
      <c r="Q184" s="193"/>
      <c r="R184" s="193"/>
      <c r="S184" s="193"/>
      <c r="T184" s="193"/>
      <c r="U184" s="239"/>
      <c r="V184" s="239"/>
      <c r="W184" s="65"/>
      <c r="X184" s="65"/>
    </row>
    <row r="185" spans="2:24">
      <c r="B185" s="252"/>
      <c r="C185" s="192"/>
      <c r="D185" s="65"/>
      <c r="E185" s="236"/>
      <c r="F185" s="193"/>
      <c r="G185" s="65"/>
      <c r="H185" s="65"/>
      <c r="I185" s="65"/>
      <c r="J185" s="65"/>
      <c r="K185" s="65"/>
      <c r="L185" s="194"/>
      <c r="M185" s="237"/>
      <c r="N185" s="238"/>
      <c r="O185" s="193"/>
      <c r="P185" s="193"/>
      <c r="Q185" s="193"/>
      <c r="R185" s="193"/>
      <c r="S185" s="193"/>
      <c r="T185" s="193"/>
      <c r="U185" s="239"/>
      <c r="V185" s="239"/>
      <c r="W185" s="65"/>
      <c r="X185" s="65"/>
    </row>
    <row r="186" spans="2:24">
      <c r="B186" s="252"/>
      <c r="C186" s="192"/>
      <c r="D186" s="65"/>
      <c r="E186" s="236"/>
      <c r="F186" s="193"/>
      <c r="G186" s="65"/>
      <c r="H186" s="65"/>
      <c r="I186" s="65"/>
      <c r="J186" s="65"/>
      <c r="K186" s="65"/>
      <c r="L186" s="194"/>
      <c r="M186" s="237"/>
      <c r="N186" s="238"/>
      <c r="O186" s="193"/>
      <c r="P186" s="193"/>
      <c r="Q186" s="193"/>
      <c r="R186" s="193"/>
      <c r="S186" s="193"/>
      <c r="T186" s="193"/>
      <c r="U186" s="239"/>
      <c r="V186" s="239"/>
      <c r="W186" s="65"/>
      <c r="X186" s="65"/>
    </row>
    <row r="187" spans="2:24">
      <c r="B187" s="252"/>
      <c r="C187" s="192"/>
      <c r="D187" s="65"/>
      <c r="E187" s="236"/>
      <c r="F187" s="193"/>
      <c r="G187" s="65"/>
      <c r="H187" s="65"/>
      <c r="I187" s="65"/>
      <c r="J187" s="65"/>
      <c r="K187" s="65"/>
      <c r="L187" s="194"/>
      <c r="M187" s="237"/>
      <c r="N187" s="238"/>
      <c r="O187" s="193"/>
      <c r="P187" s="193"/>
      <c r="Q187" s="193"/>
      <c r="R187" s="193"/>
      <c r="S187" s="193"/>
      <c r="T187" s="193"/>
      <c r="U187" s="239"/>
      <c r="V187" s="239"/>
      <c r="W187" s="65"/>
      <c r="X187" s="65"/>
    </row>
    <row r="188" spans="2:24">
      <c r="B188" s="252"/>
      <c r="C188" s="192"/>
      <c r="D188" s="65"/>
      <c r="E188" s="236"/>
      <c r="F188" s="193"/>
      <c r="G188" s="65"/>
      <c r="H188" s="65"/>
      <c r="I188" s="65"/>
      <c r="J188" s="65"/>
      <c r="K188" s="65"/>
      <c r="L188" s="194"/>
      <c r="M188" s="237"/>
      <c r="N188" s="238"/>
      <c r="O188" s="193"/>
      <c r="P188" s="193"/>
      <c r="Q188" s="193"/>
      <c r="R188" s="193"/>
      <c r="S188" s="193"/>
      <c r="T188" s="193"/>
      <c r="U188" s="239"/>
      <c r="V188" s="239"/>
      <c r="W188" s="65"/>
      <c r="X188" s="65"/>
    </row>
    <row r="189" spans="2:24">
      <c r="B189" s="252"/>
      <c r="C189" s="192"/>
      <c r="D189" s="65"/>
      <c r="E189" s="236"/>
      <c r="F189" s="193"/>
      <c r="G189" s="65"/>
      <c r="H189" s="65"/>
      <c r="I189" s="65"/>
      <c r="J189" s="65"/>
      <c r="K189" s="65"/>
      <c r="L189" s="194"/>
      <c r="M189" s="237"/>
      <c r="N189" s="238"/>
      <c r="O189" s="193"/>
      <c r="P189" s="193"/>
      <c r="Q189" s="193"/>
      <c r="R189" s="193"/>
      <c r="S189" s="193"/>
      <c r="T189" s="193"/>
      <c r="U189" s="239"/>
      <c r="V189" s="239"/>
      <c r="W189" s="65"/>
      <c r="X189" s="65"/>
    </row>
    <row r="190" spans="2:24">
      <c r="B190" s="252"/>
      <c r="C190" s="192"/>
      <c r="D190" s="65"/>
      <c r="E190" s="236"/>
      <c r="F190" s="193"/>
      <c r="G190" s="65"/>
      <c r="H190" s="65"/>
      <c r="I190" s="65"/>
      <c r="J190" s="65"/>
      <c r="K190" s="65"/>
      <c r="L190" s="194"/>
      <c r="M190" s="237"/>
      <c r="N190" s="238"/>
      <c r="O190" s="193"/>
      <c r="P190" s="193"/>
      <c r="Q190" s="193"/>
      <c r="R190" s="193"/>
      <c r="S190" s="193"/>
      <c r="T190" s="193"/>
      <c r="U190" s="239"/>
      <c r="V190" s="239"/>
      <c r="W190" s="65"/>
      <c r="X190" s="65"/>
    </row>
    <row r="191" spans="2:24">
      <c r="B191" s="252"/>
      <c r="C191" s="192"/>
      <c r="D191" s="65"/>
      <c r="E191" s="236"/>
      <c r="F191" s="193"/>
      <c r="G191" s="65"/>
      <c r="H191" s="65"/>
      <c r="I191" s="65"/>
      <c r="J191" s="65"/>
      <c r="K191" s="65"/>
      <c r="L191" s="194"/>
      <c r="M191" s="237"/>
      <c r="N191" s="238"/>
      <c r="O191" s="193"/>
      <c r="P191" s="193"/>
      <c r="Q191" s="193"/>
      <c r="R191" s="193"/>
      <c r="S191" s="193"/>
      <c r="T191" s="193"/>
      <c r="U191" s="239"/>
      <c r="V191" s="239"/>
      <c r="W191" s="65"/>
      <c r="X191" s="65"/>
    </row>
    <row r="192" spans="2:24">
      <c r="B192" s="252"/>
      <c r="C192" s="192"/>
      <c r="D192" s="65"/>
      <c r="E192" s="236"/>
      <c r="F192" s="193"/>
      <c r="G192" s="65"/>
      <c r="H192" s="65"/>
      <c r="I192" s="65"/>
      <c r="J192" s="65"/>
      <c r="K192" s="65"/>
      <c r="L192" s="194"/>
      <c r="M192" s="237"/>
      <c r="N192" s="238"/>
      <c r="O192" s="193"/>
      <c r="P192" s="193"/>
      <c r="Q192" s="193"/>
      <c r="R192" s="193"/>
      <c r="S192" s="193"/>
      <c r="T192" s="193"/>
      <c r="U192" s="239"/>
      <c r="V192" s="239"/>
      <c r="W192" s="65"/>
      <c r="X192" s="65"/>
    </row>
    <row r="193" spans="2:24">
      <c r="B193" s="252"/>
      <c r="C193" s="192"/>
      <c r="D193" s="65"/>
      <c r="E193" s="236"/>
      <c r="F193" s="193"/>
      <c r="G193" s="65"/>
      <c r="H193" s="65"/>
      <c r="I193" s="65"/>
      <c r="J193" s="65"/>
      <c r="K193" s="65"/>
      <c r="L193" s="194"/>
      <c r="M193" s="237"/>
      <c r="N193" s="238"/>
      <c r="O193" s="193"/>
      <c r="P193" s="193"/>
      <c r="Q193" s="193"/>
      <c r="R193" s="193"/>
      <c r="S193" s="193"/>
      <c r="T193" s="193"/>
      <c r="U193" s="239"/>
      <c r="V193" s="239"/>
      <c r="W193" s="65"/>
      <c r="X193" s="65"/>
    </row>
    <row r="194" spans="2:24">
      <c r="B194" s="252"/>
      <c r="C194" s="192"/>
      <c r="D194" s="65"/>
      <c r="E194" s="236"/>
      <c r="F194" s="193"/>
      <c r="G194" s="65"/>
      <c r="H194" s="65"/>
      <c r="I194" s="65"/>
      <c r="J194" s="65"/>
      <c r="K194" s="65"/>
      <c r="L194" s="194"/>
      <c r="M194" s="237"/>
      <c r="N194" s="238"/>
      <c r="O194" s="193"/>
      <c r="P194" s="193"/>
      <c r="Q194" s="193"/>
      <c r="R194" s="193"/>
      <c r="S194" s="193"/>
      <c r="T194" s="193"/>
      <c r="U194" s="239"/>
      <c r="V194" s="239"/>
      <c r="W194" s="65"/>
      <c r="X194" s="65"/>
    </row>
    <row r="195" spans="2:24">
      <c r="B195" s="252"/>
      <c r="C195" s="192"/>
      <c r="D195" s="65"/>
      <c r="E195" s="236"/>
      <c r="F195" s="193"/>
      <c r="G195" s="65"/>
      <c r="H195" s="65"/>
      <c r="I195" s="65"/>
      <c r="J195" s="65"/>
      <c r="K195" s="65"/>
      <c r="L195" s="194"/>
      <c r="M195" s="237"/>
      <c r="N195" s="238"/>
      <c r="O195" s="193"/>
      <c r="P195" s="193"/>
      <c r="Q195" s="193"/>
      <c r="R195" s="193"/>
      <c r="S195" s="193"/>
      <c r="T195" s="193"/>
      <c r="U195" s="239"/>
      <c r="V195" s="239"/>
      <c r="W195" s="65"/>
      <c r="X195" s="65"/>
    </row>
    <row r="196" spans="2:24">
      <c r="B196" s="252"/>
      <c r="C196" s="192"/>
      <c r="D196" s="65"/>
      <c r="E196" s="236"/>
      <c r="F196" s="193"/>
      <c r="G196" s="65"/>
      <c r="H196" s="65"/>
      <c r="I196" s="65"/>
      <c r="J196" s="65"/>
      <c r="K196" s="65"/>
      <c r="L196" s="194"/>
      <c r="M196" s="237"/>
      <c r="N196" s="238"/>
      <c r="O196" s="193"/>
      <c r="P196" s="193"/>
      <c r="Q196" s="193"/>
      <c r="R196" s="193"/>
      <c r="S196" s="193"/>
      <c r="T196" s="193"/>
      <c r="U196" s="239"/>
      <c r="V196" s="239"/>
      <c r="W196" s="65"/>
      <c r="X196" s="65"/>
    </row>
    <row r="197" spans="2:24">
      <c r="B197" s="252"/>
      <c r="C197" s="192"/>
      <c r="D197" s="65"/>
      <c r="E197" s="236"/>
      <c r="F197" s="193"/>
      <c r="G197" s="65"/>
      <c r="H197" s="65"/>
      <c r="I197" s="65"/>
      <c r="J197" s="65"/>
      <c r="K197" s="65"/>
      <c r="L197" s="194"/>
      <c r="M197" s="237"/>
      <c r="N197" s="238"/>
      <c r="O197" s="193"/>
      <c r="P197" s="193"/>
      <c r="Q197" s="193"/>
      <c r="R197" s="193"/>
      <c r="S197" s="193"/>
      <c r="T197" s="193"/>
      <c r="U197" s="239"/>
      <c r="V197" s="239"/>
      <c r="W197" s="65"/>
      <c r="X197" s="65"/>
    </row>
    <row r="198" spans="2:24">
      <c r="B198" s="252"/>
      <c r="C198" s="192"/>
      <c r="D198" s="65"/>
      <c r="E198" s="236"/>
      <c r="F198" s="193"/>
      <c r="G198" s="65"/>
      <c r="H198" s="65"/>
      <c r="I198" s="65"/>
      <c r="J198" s="65"/>
      <c r="K198" s="65"/>
      <c r="L198" s="194"/>
      <c r="M198" s="237"/>
      <c r="N198" s="238"/>
      <c r="O198" s="193"/>
      <c r="P198" s="193"/>
      <c r="Q198" s="193"/>
      <c r="R198" s="193"/>
      <c r="S198" s="193"/>
      <c r="T198" s="193"/>
      <c r="U198" s="239"/>
      <c r="V198" s="239"/>
      <c r="W198" s="65"/>
      <c r="X198" s="65"/>
    </row>
    <row r="199" spans="2:24">
      <c r="B199" s="252"/>
      <c r="C199" s="192"/>
      <c r="D199" s="65"/>
      <c r="E199" s="236"/>
      <c r="F199" s="193"/>
      <c r="G199" s="65"/>
      <c r="H199" s="65"/>
      <c r="I199" s="65"/>
      <c r="J199" s="65"/>
      <c r="K199" s="65"/>
      <c r="L199" s="194"/>
      <c r="M199" s="237"/>
      <c r="N199" s="238"/>
      <c r="O199" s="193"/>
      <c r="P199" s="193"/>
      <c r="Q199" s="193"/>
      <c r="R199" s="193"/>
      <c r="S199" s="193"/>
      <c r="T199" s="193"/>
      <c r="U199" s="239"/>
      <c r="V199" s="239"/>
      <c r="W199" s="65"/>
      <c r="X199" s="65"/>
    </row>
    <row r="200" spans="2:24">
      <c r="B200" s="252"/>
      <c r="C200" s="192"/>
      <c r="D200" s="65"/>
      <c r="E200" s="236"/>
      <c r="F200" s="193"/>
      <c r="G200" s="65"/>
      <c r="H200" s="65"/>
      <c r="I200" s="65"/>
      <c r="J200" s="65"/>
      <c r="K200" s="65"/>
      <c r="L200" s="194"/>
      <c r="M200" s="237"/>
      <c r="N200" s="238"/>
      <c r="O200" s="193"/>
      <c r="P200" s="193"/>
      <c r="Q200" s="193"/>
      <c r="R200" s="193"/>
      <c r="S200" s="193"/>
      <c r="T200" s="193"/>
      <c r="U200" s="239"/>
      <c r="V200" s="239"/>
      <c r="W200" s="65"/>
      <c r="X200" s="65"/>
    </row>
    <row r="201" spans="2:24">
      <c r="B201" s="252"/>
      <c r="C201" s="192"/>
      <c r="D201" s="65"/>
      <c r="E201" s="236"/>
      <c r="F201" s="193"/>
      <c r="G201" s="65"/>
      <c r="H201" s="65"/>
      <c r="I201" s="65"/>
      <c r="J201" s="65"/>
      <c r="K201" s="65"/>
      <c r="L201" s="194"/>
      <c r="M201" s="237"/>
      <c r="N201" s="238"/>
      <c r="O201" s="193"/>
      <c r="P201" s="193"/>
      <c r="Q201" s="193"/>
      <c r="R201" s="193"/>
      <c r="S201" s="193"/>
      <c r="T201" s="193"/>
      <c r="U201" s="239"/>
      <c r="V201" s="239"/>
      <c r="W201" s="65"/>
      <c r="X201" s="65"/>
    </row>
    <row r="202" spans="2:24">
      <c r="B202" s="252"/>
      <c r="C202" s="192"/>
      <c r="D202" s="65"/>
      <c r="E202" s="236"/>
      <c r="F202" s="193"/>
      <c r="G202" s="65"/>
      <c r="H202" s="65"/>
      <c r="I202" s="65"/>
      <c r="J202" s="65"/>
      <c r="K202" s="65"/>
      <c r="L202" s="194"/>
      <c r="M202" s="237"/>
      <c r="N202" s="238"/>
      <c r="O202" s="193"/>
      <c r="P202" s="193"/>
      <c r="Q202" s="193"/>
      <c r="R202" s="193"/>
      <c r="S202" s="193"/>
      <c r="T202" s="193"/>
      <c r="U202" s="239"/>
      <c r="V202" s="239"/>
      <c r="W202" s="65"/>
      <c r="X202" s="65"/>
    </row>
    <row r="203" spans="2:24">
      <c r="B203" s="252"/>
      <c r="C203" s="192"/>
      <c r="D203" s="65"/>
      <c r="E203" s="236"/>
      <c r="F203" s="193"/>
      <c r="G203" s="65"/>
      <c r="H203" s="65"/>
      <c r="I203" s="65"/>
      <c r="J203" s="65"/>
      <c r="K203" s="65"/>
      <c r="L203" s="194"/>
      <c r="M203" s="237"/>
      <c r="N203" s="238"/>
      <c r="O203" s="193"/>
      <c r="P203" s="193"/>
      <c r="Q203" s="193"/>
      <c r="R203" s="193"/>
      <c r="S203" s="193"/>
      <c r="T203" s="193"/>
      <c r="U203" s="239"/>
      <c r="V203" s="239"/>
      <c r="W203" s="65"/>
      <c r="X203" s="65"/>
    </row>
    <row r="204" spans="2:24">
      <c r="B204" s="252"/>
      <c r="C204" s="192"/>
      <c r="D204" s="65"/>
      <c r="E204" s="236"/>
      <c r="F204" s="193"/>
      <c r="G204" s="65"/>
      <c r="H204" s="65"/>
      <c r="I204" s="65"/>
      <c r="J204" s="65"/>
      <c r="K204" s="65"/>
      <c r="L204" s="194"/>
      <c r="M204" s="237"/>
      <c r="N204" s="238"/>
      <c r="O204" s="193"/>
      <c r="P204" s="193"/>
      <c r="Q204" s="193"/>
      <c r="R204" s="193"/>
      <c r="S204" s="193"/>
      <c r="T204" s="193"/>
      <c r="U204" s="239"/>
      <c r="V204" s="239"/>
      <c r="W204" s="65"/>
      <c r="X204" s="65"/>
    </row>
    <row r="205" spans="2:24">
      <c r="B205" s="252"/>
      <c r="C205" s="192"/>
      <c r="D205" s="65"/>
      <c r="E205" s="236"/>
      <c r="F205" s="193"/>
      <c r="G205" s="65"/>
      <c r="H205" s="65"/>
      <c r="I205" s="65"/>
      <c r="J205" s="65"/>
      <c r="K205" s="65"/>
      <c r="L205" s="194"/>
      <c r="M205" s="237"/>
      <c r="N205" s="238"/>
      <c r="O205" s="193"/>
      <c r="P205" s="193"/>
      <c r="Q205" s="193"/>
      <c r="R205" s="193"/>
      <c r="S205" s="193"/>
      <c r="T205" s="193"/>
      <c r="U205" s="239"/>
      <c r="V205" s="239"/>
      <c r="W205" s="65"/>
      <c r="X205" s="65"/>
    </row>
    <row r="206" spans="2:24">
      <c r="B206" s="252"/>
      <c r="C206" s="192"/>
      <c r="D206" s="65"/>
      <c r="E206" s="236"/>
      <c r="F206" s="193"/>
      <c r="G206" s="65"/>
      <c r="H206" s="65"/>
      <c r="I206" s="65"/>
      <c r="J206" s="65"/>
      <c r="K206" s="65"/>
      <c r="L206" s="194"/>
      <c r="M206" s="237"/>
      <c r="N206" s="238"/>
      <c r="O206" s="193"/>
      <c r="P206" s="193"/>
      <c r="Q206" s="193"/>
      <c r="R206" s="193"/>
      <c r="S206" s="193"/>
      <c r="T206" s="193"/>
      <c r="U206" s="239"/>
      <c r="V206" s="239"/>
      <c r="W206" s="65"/>
      <c r="X206" s="65"/>
    </row>
    <row r="207" spans="2:24">
      <c r="B207" s="252"/>
      <c r="C207" s="192"/>
      <c r="D207" s="65"/>
      <c r="E207" s="236"/>
      <c r="F207" s="193"/>
      <c r="G207" s="65"/>
      <c r="H207" s="65"/>
      <c r="I207" s="65"/>
      <c r="J207" s="65"/>
      <c r="K207" s="65"/>
      <c r="L207" s="194"/>
      <c r="M207" s="237"/>
      <c r="N207" s="238"/>
      <c r="O207" s="193"/>
      <c r="P207" s="193"/>
      <c r="Q207" s="193"/>
      <c r="R207" s="193"/>
      <c r="S207" s="193"/>
      <c r="T207" s="193"/>
      <c r="U207" s="239"/>
      <c r="V207" s="239"/>
      <c r="W207" s="65"/>
      <c r="X207" s="65"/>
    </row>
    <row r="208" spans="2:24">
      <c r="B208" s="252"/>
      <c r="C208" s="192"/>
      <c r="D208" s="65"/>
      <c r="E208" s="236"/>
      <c r="F208" s="193"/>
      <c r="G208" s="65"/>
      <c r="H208" s="65"/>
      <c r="I208" s="65"/>
      <c r="J208" s="65"/>
      <c r="K208" s="65"/>
      <c r="L208" s="194"/>
      <c r="M208" s="237"/>
      <c r="N208" s="238"/>
      <c r="O208" s="193"/>
      <c r="P208" s="193"/>
      <c r="Q208" s="193"/>
      <c r="R208" s="193"/>
      <c r="S208" s="193"/>
      <c r="T208" s="193"/>
      <c r="U208" s="239"/>
      <c r="V208" s="239"/>
      <c r="W208" s="65"/>
      <c r="X208" s="65"/>
    </row>
    <row r="209" spans="2:24">
      <c r="B209" s="252"/>
      <c r="C209" s="192"/>
      <c r="D209" s="65"/>
      <c r="E209" s="236"/>
      <c r="F209" s="193"/>
      <c r="G209" s="65"/>
      <c r="H209" s="65"/>
      <c r="I209" s="65"/>
      <c r="J209" s="65"/>
      <c r="K209" s="65"/>
      <c r="L209" s="194"/>
      <c r="M209" s="237"/>
      <c r="N209" s="238"/>
      <c r="O209" s="193"/>
      <c r="P209" s="193"/>
      <c r="Q209" s="193"/>
      <c r="R209" s="193"/>
      <c r="S209" s="193"/>
      <c r="T209" s="193"/>
      <c r="U209" s="239"/>
      <c r="V209" s="239"/>
      <c r="W209" s="65"/>
      <c r="X209" s="65"/>
    </row>
    <row r="210" spans="2:24">
      <c r="B210" s="252"/>
      <c r="C210" s="192"/>
      <c r="D210" s="65"/>
      <c r="E210" s="236"/>
      <c r="F210" s="193"/>
      <c r="G210" s="65"/>
      <c r="H210" s="65"/>
      <c r="I210" s="65"/>
      <c r="J210" s="65"/>
      <c r="K210" s="65"/>
      <c r="L210" s="194"/>
      <c r="M210" s="237"/>
      <c r="N210" s="238"/>
      <c r="O210" s="193"/>
      <c r="P210" s="193"/>
      <c r="Q210" s="193"/>
      <c r="R210" s="193"/>
      <c r="S210" s="193"/>
      <c r="T210" s="193"/>
      <c r="U210" s="239"/>
      <c r="V210" s="239"/>
      <c r="W210" s="65"/>
      <c r="X210" s="65"/>
    </row>
    <row r="211" spans="2:24">
      <c r="B211" s="252"/>
      <c r="C211" s="192"/>
      <c r="D211" s="65"/>
      <c r="E211" s="236"/>
      <c r="F211" s="193"/>
      <c r="G211" s="65"/>
      <c r="H211" s="65"/>
      <c r="I211" s="65"/>
      <c r="J211" s="65"/>
      <c r="K211" s="65"/>
      <c r="L211" s="194"/>
      <c r="M211" s="237"/>
      <c r="N211" s="238"/>
      <c r="O211" s="193"/>
      <c r="P211" s="193"/>
      <c r="Q211" s="193"/>
      <c r="R211" s="193"/>
      <c r="S211" s="193"/>
      <c r="T211" s="193"/>
      <c r="U211" s="239"/>
      <c r="V211" s="239"/>
      <c r="W211" s="65"/>
      <c r="X211" s="65"/>
    </row>
    <row r="212" spans="2:24">
      <c r="B212" s="252"/>
      <c r="C212" s="192"/>
      <c r="D212" s="65"/>
      <c r="E212" s="236"/>
      <c r="F212" s="193"/>
      <c r="G212" s="65"/>
      <c r="H212" s="65"/>
      <c r="I212" s="65"/>
      <c r="J212" s="65"/>
      <c r="K212" s="65"/>
      <c r="L212" s="194"/>
      <c r="M212" s="237"/>
      <c r="N212" s="238"/>
      <c r="O212" s="193"/>
      <c r="P212" s="193"/>
      <c r="Q212" s="193"/>
      <c r="R212" s="193"/>
      <c r="S212" s="193"/>
      <c r="T212" s="193"/>
      <c r="U212" s="239"/>
      <c r="V212" s="239"/>
      <c r="W212" s="65"/>
      <c r="X212" s="65"/>
    </row>
    <row r="213" spans="2:24">
      <c r="B213" s="252"/>
      <c r="C213" s="192"/>
      <c r="D213" s="65"/>
      <c r="E213" s="236"/>
      <c r="F213" s="193"/>
      <c r="G213" s="65"/>
      <c r="H213" s="65"/>
      <c r="I213" s="65"/>
      <c r="J213" s="65"/>
      <c r="K213" s="65"/>
      <c r="L213" s="194"/>
      <c r="M213" s="237"/>
      <c r="N213" s="238"/>
      <c r="O213" s="193"/>
      <c r="P213" s="193"/>
      <c r="Q213" s="193"/>
      <c r="R213" s="193"/>
      <c r="S213" s="193"/>
      <c r="T213" s="193"/>
      <c r="U213" s="239"/>
      <c r="V213" s="239"/>
      <c r="W213" s="65"/>
      <c r="X213" s="65"/>
    </row>
    <row r="214" spans="2:24">
      <c r="B214" s="252"/>
      <c r="C214" s="192"/>
      <c r="D214" s="65"/>
      <c r="E214" s="236"/>
      <c r="F214" s="193"/>
      <c r="G214" s="65"/>
      <c r="H214" s="65"/>
      <c r="I214" s="65"/>
      <c r="J214" s="65"/>
      <c r="K214" s="65"/>
      <c r="L214" s="194"/>
      <c r="M214" s="237"/>
      <c r="N214" s="238"/>
      <c r="O214" s="193"/>
      <c r="P214" s="193"/>
      <c r="Q214" s="193"/>
      <c r="R214" s="193"/>
      <c r="S214" s="193"/>
      <c r="T214" s="193"/>
      <c r="U214" s="239"/>
      <c r="V214" s="239"/>
      <c r="W214" s="65"/>
      <c r="X214" s="65"/>
    </row>
    <row r="215" spans="2:24">
      <c r="B215" s="252"/>
      <c r="C215" s="192"/>
      <c r="D215" s="65"/>
      <c r="E215" s="236"/>
      <c r="F215" s="193"/>
      <c r="G215" s="65"/>
      <c r="H215" s="65"/>
      <c r="I215" s="65"/>
      <c r="J215" s="65"/>
      <c r="K215" s="65"/>
      <c r="L215" s="194"/>
      <c r="M215" s="237"/>
      <c r="N215" s="238"/>
      <c r="O215" s="193"/>
      <c r="P215" s="193"/>
      <c r="Q215" s="193"/>
      <c r="R215" s="193"/>
      <c r="S215" s="193"/>
      <c r="T215" s="193"/>
      <c r="U215" s="239"/>
      <c r="V215" s="239"/>
      <c r="W215" s="65"/>
      <c r="X215" s="65"/>
    </row>
    <row r="216" spans="2:24">
      <c r="B216" s="252"/>
      <c r="C216" s="192"/>
      <c r="D216" s="65"/>
      <c r="E216" s="236"/>
      <c r="F216" s="193"/>
      <c r="G216" s="65"/>
      <c r="H216" s="65"/>
      <c r="I216" s="65"/>
      <c r="J216" s="65"/>
      <c r="K216" s="65"/>
      <c r="L216" s="194"/>
      <c r="M216" s="237"/>
      <c r="N216" s="238"/>
      <c r="O216" s="193"/>
      <c r="P216" s="193"/>
      <c r="Q216" s="193"/>
      <c r="R216" s="193"/>
      <c r="S216" s="193"/>
      <c r="T216" s="193"/>
      <c r="U216" s="239"/>
      <c r="V216" s="239"/>
      <c r="W216" s="65"/>
      <c r="X216" s="65"/>
    </row>
    <row r="217" spans="2:24">
      <c r="B217" s="252"/>
      <c r="C217" s="192"/>
      <c r="D217" s="65"/>
      <c r="E217" s="236"/>
      <c r="F217" s="193"/>
      <c r="G217" s="65"/>
      <c r="H217" s="65"/>
      <c r="I217" s="65"/>
      <c r="J217" s="65"/>
      <c r="K217" s="65"/>
      <c r="L217" s="194"/>
      <c r="M217" s="237"/>
      <c r="N217" s="238"/>
      <c r="O217" s="193"/>
      <c r="P217" s="193"/>
      <c r="Q217" s="193"/>
      <c r="R217" s="193"/>
      <c r="S217" s="193"/>
      <c r="T217" s="193"/>
      <c r="U217" s="239"/>
      <c r="V217" s="239"/>
      <c r="W217" s="65"/>
      <c r="X217" s="65"/>
    </row>
    <row r="218" spans="2:24">
      <c r="B218" s="252"/>
      <c r="C218" s="192"/>
      <c r="D218" s="65"/>
      <c r="E218" s="236"/>
      <c r="F218" s="193"/>
      <c r="G218" s="65"/>
      <c r="H218" s="65"/>
      <c r="I218" s="65"/>
      <c r="J218" s="65"/>
      <c r="K218" s="65"/>
      <c r="L218" s="194"/>
      <c r="M218" s="237"/>
      <c r="N218" s="238"/>
      <c r="O218" s="193"/>
      <c r="P218" s="193"/>
      <c r="Q218" s="193"/>
      <c r="R218" s="193"/>
      <c r="S218" s="193"/>
      <c r="T218" s="193"/>
      <c r="U218" s="239"/>
      <c r="V218" s="239"/>
      <c r="W218" s="65"/>
      <c r="X218" s="65"/>
    </row>
    <row r="219" spans="2:24">
      <c r="B219" s="252"/>
      <c r="C219" s="192"/>
      <c r="D219" s="65"/>
      <c r="E219" s="236"/>
      <c r="F219" s="193"/>
      <c r="G219" s="65"/>
      <c r="H219" s="65"/>
      <c r="I219" s="65"/>
      <c r="J219" s="65"/>
      <c r="K219" s="65"/>
      <c r="L219" s="194"/>
      <c r="M219" s="237"/>
      <c r="N219" s="238"/>
      <c r="O219" s="193"/>
      <c r="P219" s="193"/>
      <c r="Q219" s="193"/>
      <c r="R219" s="193"/>
      <c r="S219" s="193"/>
      <c r="T219" s="193"/>
      <c r="U219" s="239"/>
      <c r="V219" s="239"/>
      <c r="W219" s="65"/>
      <c r="X219" s="65"/>
    </row>
    <row r="220" spans="2:24">
      <c r="B220" s="252"/>
      <c r="C220" s="192"/>
      <c r="D220" s="65"/>
      <c r="E220" s="236"/>
      <c r="F220" s="193"/>
      <c r="G220" s="65"/>
      <c r="H220" s="65"/>
      <c r="I220" s="65"/>
      <c r="J220" s="65"/>
      <c r="K220" s="65"/>
      <c r="L220" s="194"/>
      <c r="M220" s="237"/>
      <c r="N220" s="238"/>
      <c r="O220" s="193"/>
      <c r="P220" s="193"/>
      <c r="Q220" s="193"/>
      <c r="R220" s="193"/>
      <c r="S220" s="193"/>
      <c r="T220" s="193"/>
      <c r="U220" s="239"/>
      <c r="V220" s="239"/>
      <c r="W220" s="65"/>
      <c r="X220" s="65"/>
    </row>
    <row r="221" spans="2:24">
      <c r="B221" s="252"/>
      <c r="C221" s="192"/>
      <c r="D221" s="65"/>
      <c r="E221" s="236"/>
      <c r="F221" s="193"/>
      <c r="G221" s="65"/>
      <c r="H221" s="65"/>
      <c r="I221" s="65"/>
      <c r="J221" s="65"/>
      <c r="K221" s="65"/>
      <c r="L221" s="194"/>
      <c r="M221" s="237"/>
      <c r="N221" s="238"/>
      <c r="O221" s="193"/>
      <c r="P221" s="193"/>
      <c r="Q221" s="193"/>
      <c r="R221" s="193"/>
      <c r="S221" s="193"/>
      <c r="T221" s="193"/>
      <c r="U221" s="239"/>
      <c r="V221" s="239"/>
      <c r="W221" s="65"/>
      <c r="X221" s="65"/>
    </row>
    <row r="222" spans="2:24">
      <c r="B222" s="252"/>
      <c r="C222" s="192"/>
      <c r="D222" s="65"/>
      <c r="E222" s="236"/>
      <c r="F222" s="193"/>
      <c r="G222" s="65"/>
      <c r="H222" s="65"/>
      <c r="I222" s="65"/>
      <c r="J222" s="65"/>
      <c r="K222" s="65"/>
      <c r="L222" s="194"/>
      <c r="M222" s="237"/>
      <c r="N222" s="238"/>
      <c r="O222" s="193"/>
      <c r="P222" s="193"/>
      <c r="Q222" s="193"/>
      <c r="R222" s="193"/>
      <c r="S222" s="193"/>
      <c r="T222" s="193"/>
      <c r="U222" s="239"/>
      <c r="V222" s="239"/>
      <c r="W222" s="65"/>
      <c r="X222" s="65"/>
    </row>
    <row r="223" spans="2:24">
      <c r="B223" s="252"/>
      <c r="C223" s="192"/>
      <c r="D223" s="65"/>
      <c r="E223" s="236"/>
      <c r="F223" s="193"/>
      <c r="G223" s="65"/>
      <c r="H223" s="65"/>
      <c r="I223" s="65"/>
      <c r="J223" s="65"/>
      <c r="K223" s="65"/>
      <c r="L223" s="194"/>
      <c r="M223" s="237"/>
      <c r="N223" s="238"/>
      <c r="O223" s="193"/>
      <c r="P223" s="193"/>
      <c r="Q223" s="193"/>
      <c r="R223" s="193"/>
      <c r="S223" s="193"/>
      <c r="T223" s="193"/>
      <c r="U223" s="239"/>
      <c r="V223" s="239"/>
      <c r="W223" s="65"/>
      <c r="X223" s="65"/>
    </row>
    <row r="224" spans="2:24">
      <c r="B224" s="252"/>
      <c r="C224" s="192"/>
      <c r="D224" s="65"/>
      <c r="E224" s="236"/>
      <c r="F224" s="193"/>
      <c r="G224" s="65"/>
      <c r="H224" s="65"/>
      <c r="I224" s="65"/>
      <c r="J224" s="65"/>
      <c r="K224" s="65"/>
      <c r="L224" s="194"/>
      <c r="M224" s="237"/>
      <c r="N224" s="238"/>
      <c r="O224" s="193"/>
      <c r="P224" s="193"/>
      <c r="Q224" s="193"/>
      <c r="R224" s="193"/>
      <c r="S224" s="193"/>
      <c r="T224" s="193"/>
      <c r="U224" s="239"/>
      <c r="V224" s="239"/>
      <c r="W224" s="65"/>
      <c r="X224" s="65"/>
    </row>
    <row r="225" spans="2:24">
      <c r="B225" s="252"/>
      <c r="C225" s="192"/>
      <c r="D225" s="65"/>
      <c r="E225" s="236"/>
      <c r="F225" s="193"/>
      <c r="G225" s="65"/>
      <c r="H225" s="65"/>
      <c r="I225" s="65"/>
      <c r="J225" s="65"/>
      <c r="K225" s="65"/>
      <c r="L225" s="194"/>
      <c r="M225" s="237"/>
      <c r="N225" s="238"/>
      <c r="O225" s="193"/>
      <c r="P225" s="193"/>
      <c r="Q225" s="193"/>
      <c r="R225" s="193"/>
      <c r="S225" s="193"/>
      <c r="T225" s="193"/>
      <c r="U225" s="239"/>
      <c r="V225" s="239"/>
      <c r="W225" s="65"/>
      <c r="X225" s="65"/>
    </row>
    <row r="226" spans="2:24">
      <c r="B226" s="252"/>
      <c r="C226" s="192"/>
      <c r="D226" s="65"/>
      <c r="E226" s="236"/>
      <c r="F226" s="193"/>
      <c r="G226" s="65"/>
      <c r="H226" s="65"/>
      <c r="I226" s="65"/>
      <c r="J226" s="65"/>
      <c r="K226" s="65"/>
      <c r="L226" s="194"/>
      <c r="M226" s="237"/>
      <c r="N226" s="238"/>
      <c r="O226" s="193"/>
      <c r="P226" s="193"/>
      <c r="Q226" s="193"/>
      <c r="R226" s="193"/>
      <c r="S226" s="193"/>
      <c r="T226" s="193"/>
      <c r="U226" s="239"/>
      <c r="V226" s="239"/>
      <c r="W226" s="65"/>
      <c r="X226" s="65"/>
    </row>
    <row r="227" spans="2:24">
      <c r="B227" s="252"/>
      <c r="C227" s="192"/>
      <c r="D227" s="65"/>
      <c r="E227" s="236"/>
      <c r="F227" s="193"/>
      <c r="G227" s="65"/>
      <c r="H227" s="65"/>
      <c r="I227" s="65"/>
      <c r="J227" s="65"/>
      <c r="K227" s="65"/>
      <c r="L227" s="194"/>
      <c r="M227" s="237"/>
      <c r="N227" s="238"/>
      <c r="O227" s="193"/>
      <c r="P227" s="193"/>
      <c r="Q227" s="193"/>
      <c r="R227" s="193"/>
      <c r="S227" s="193"/>
      <c r="T227" s="193"/>
      <c r="U227" s="239"/>
      <c r="V227" s="239"/>
      <c r="W227" s="65"/>
      <c r="X227" s="65"/>
    </row>
    <row r="228" spans="2:24">
      <c r="B228" s="252"/>
      <c r="C228" s="192"/>
      <c r="D228" s="65"/>
      <c r="E228" s="236"/>
      <c r="F228" s="193"/>
      <c r="G228" s="65"/>
      <c r="H228" s="65"/>
      <c r="I228" s="65"/>
      <c r="J228" s="65"/>
      <c r="K228" s="65"/>
      <c r="L228" s="194"/>
      <c r="M228" s="237"/>
      <c r="N228" s="238"/>
      <c r="O228" s="193"/>
      <c r="P228" s="193"/>
      <c r="Q228" s="193"/>
      <c r="R228" s="193"/>
      <c r="S228" s="193"/>
      <c r="T228" s="193"/>
      <c r="U228" s="239"/>
      <c r="V228" s="239"/>
      <c r="W228" s="65"/>
      <c r="X228" s="65"/>
    </row>
    <row r="229" spans="2:24">
      <c r="B229" s="252"/>
      <c r="C229" s="192"/>
      <c r="D229" s="65"/>
      <c r="E229" s="236"/>
      <c r="F229" s="193"/>
      <c r="G229" s="65"/>
      <c r="H229" s="65"/>
      <c r="I229" s="65"/>
      <c r="J229" s="65"/>
      <c r="K229" s="65"/>
      <c r="L229" s="194"/>
      <c r="M229" s="237"/>
      <c r="N229" s="238"/>
      <c r="O229" s="193"/>
      <c r="P229" s="193"/>
      <c r="Q229" s="193"/>
      <c r="R229" s="193"/>
      <c r="S229" s="193"/>
      <c r="T229" s="193"/>
      <c r="U229" s="239"/>
      <c r="V229" s="239"/>
      <c r="W229" s="65"/>
      <c r="X229" s="65"/>
    </row>
    <row r="230" spans="2:24">
      <c r="B230" s="252"/>
      <c r="C230" s="192"/>
      <c r="D230" s="65"/>
      <c r="E230" s="236"/>
      <c r="F230" s="193"/>
      <c r="G230" s="65"/>
      <c r="H230" s="65"/>
      <c r="I230" s="65"/>
      <c r="J230" s="65"/>
      <c r="K230" s="65"/>
      <c r="L230" s="194"/>
      <c r="M230" s="237"/>
      <c r="N230" s="238"/>
      <c r="O230" s="193"/>
      <c r="P230" s="193"/>
      <c r="Q230" s="193"/>
      <c r="R230" s="193"/>
      <c r="S230" s="193"/>
      <c r="T230" s="193"/>
      <c r="U230" s="239"/>
      <c r="V230" s="239"/>
      <c r="W230" s="65"/>
      <c r="X230" s="65"/>
    </row>
    <row r="231" spans="2:24">
      <c r="B231" s="252"/>
      <c r="C231" s="192"/>
      <c r="D231" s="65"/>
      <c r="E231" s="236"/>
      <c r="F231" s="193"/>
      <c r="G231" s="65"/>
      <c r="H231" s="65"/>
      <c r="I231" s="65"/>
      <c r="J231" s="65"/>
      <c r="K231" s="65"/>
      <c r="L231" s="194"/>
      <c r="M231" s="237"/>
      <c r="N231" s="238"/>
      <c r="O231" s="193"/>
      <c r="P231" s="193"/>
      <c r="Q231" s="193"/>
      <c r="R231" s="193"/>
      <c r="S231" s="193"/>
      <c r="T231" s="193"/>
      <c r="U231" s="239"/>
      <c r="V231" s="239"/>
      <c r="W231" s="65"/>
      <c r="X231" s="65"/>
    </row>
    <row r="232" spans="2:24">
      <c r="B232" s="252"/>
      <c r="C232" s="192"/>
      <c r="D232" s="65"/>
      <c r="E232" s="236"/>
      <c r="F232" s="193"/>
      <c r="G232" s="65"/>
      <c r="H232" s="65"/>
      <c r="I232" s="65"/>
      <c r="J232" s="65"/>
      <c r="K232" s="65"/>
      <c r="L232" s="194"/>
      <c r="M232" s="237"/>
      <c r="N232" s="238"/>
      <c r="O232" s="193"/>
      <c r="P232" s="193"/>
      <c r="Q232" s="193"/>
      <c r="R232" s="193"/>
      <c r="S232" s="193"/>
      <c r="T232" s="193"/>
      <c r="U232" s="239"/>
      <c r="V232" s="239"/>
      <c r="W232" s="65"/>
      <c r="X232" s="65"/>
    </row>
    <row r="233" spans="2:24">
      <c r="B233" s="252"/>
      <c r="C233" s="192"/>
      <c r="D233" s="65"/>
      <c r="E233" s="236"/>
      <c r="F233" s="193"/>
      <c r="G233" s="65"/>
      <c r="H233" s="65"/>
      <c r="I233" s="65"/>
      <c r="J233" s="65"/>
      <c r="K233" s="65"/>
      <c r="L233" s="194"/>
      <c r="M233" s="237"/>
      <c r="N233" s="238"/>
      <c r="O233" s="193"/>
      <c r="P233" s="193"/>
      <c r="Q233" s="193"/>
      <c r="R233" s="193"/>
      <c r="S233" s="193"/>
      <c r="T233" s="193"/>
      <c r="U233" s="239"/>
      <c r="V233" s="239"/>
      <c r="W233" s="65"/>
      <c r="X233" s="65"/>
    </row>
    <row r="234" spans="2:24">
      <c r="B234" s="252"/>
      <c r="C234" s="192"/>
      <c r="D234" s="65"/>
      <c r="E234" s="236"/>
      <c r="F234" s="193"/>
      <c r="G234" s="65"/>
      <c r="H234" s="65"/>
      <c r="I234" s="65"/>
      <c r="J234" s="65"/>
      <c r="K234" s="65"/>
      <c r="L234" s="194"/>
      <c r="M234" s="237"/>
      <c r="N234" s="238"/>
      <c r="O234" s="193"/>
      <c r="P234" s="193"/>
      <c r="Q234" s="193"/>
      <c r="R234" s="193"/>
      <c r="S234" s="193"/>
      <c r="T234" s="193"/>
      <c r="U234" s="239"/>
      <c r="V234" s="239"/>
      <c r="W234" s="65"/>
      <c r="X234" s="65"/>
    </row>
    <row r="235" spans="2:24">
      <c r="B235" s="252"/>
      <c r="C235" s="192"/>
      <c r="D235" s="65"/>
      <c r="E235" s="236"/>
      <c r="F235" s="193"/>
      <c r="G235" s="65"/>
      <c r="H235" s="65"/>
      <c r="I235" s="65"/>
      <c r="J235" s="65"/>
      <c r="K235" s="65"/>
      <c r="L235" s="194"/>
      <c r="M235" s="237"/>
      <c r="N235" s="238"/>
      <c r="O235" s="193"/>
      <c r="P235" s="193"/>
      <c r="Q235" s="193"/>
      <c r="R235" s="193"/>
      <c r="S235" s="193"/>
      <c r="T235" s="193"/>
      <c r="U235" s="239"/>
      <c r="V235" s="239"/>
      <c r="W235" s="65"/>
      <c r="X235" s="65"/>
    </row>
    <row r="236" spans="2:24">
      <c r="B236" s="252"/>
      <c r="C236" s="192"/>
      <c r="D236" s="65"/>
      <c r="E236" s="236"/>
      <c r="F236" s="193"/>
      <c r="G236" s="65"/>
      <c r="H236" s="65"/>
      <c r="I236" s="65"/>
      <c r="J236" s="65"/>
      <c r="K236" s="65"/>
      <c r="L236" s="194"/>
      <c r="M236" s="237"/>
      <c r="N236" s="238"/>
      <c r="O236" s="193"/>
      <c r="P236" s="193"/>
      <c r="Q236" s="193"/>
      <c r="R236" s="193"/>
      <c r="S236" s="193"/>
      <c r="T236" s="193"/>
      <c r="U236" s="239"/>
      <c r="V236" s="239"/>
      <c r="W236" s="65"/>
      <c r="X236" s="65"/>
    </row>
    <row r="237" spans="2:24">
      <c r="B237" s="252"/>
      <c r="C237" s="192"/>
      <c r="D237" s="65"/>
      <c r="E237" s="236"/>
      <c r="F237" s="193"/>
      <c r="G237" s="65"/>
      <c r="H237" s="65"/>
      <c r="I237" s="65"/>
      <c r="J237" s="65"/>
      <c r="K237" s="65"/>
      <c r="L237" s="194"/>
      <c r="M237" s="237"/>
      <c r="N237" s="238"/>
      <c r="O237" s="193"/>
      <c r="P237" s="193"/>
      <c r="Q237" s="193"/>
      <c r="R237" s="193"/>
      <c r="S237" s="193"/>
      <c r="T237" s="193"/>
      <c r="U237" s="239"/>
      <c r="V237" s="239"/>
      <c r="W237" s="65"/>
      <c r="X237" s="65"/>
    </row>
    <row r="238" spans="2:24">
      <c r="B238" s="252"/>
      <c r="C238" s="192"/>
      <c r="D238" s="65"/>
      <c r="E238" s="236"/>
      <c r="F238" s="193"/>
      <c r="G238" s="65"/>
      <c r="H238" s="65"/>
      <c r="I238" s="65"/>
      <c r="J238" s="65"/>
      <c r="K238" s="65"/>
      <c r="L238" s="194"/>
      <c r="M238" s="237"/>
      <c r="N238" s="238"/>
      <c r="O238" s="193"/>
      <c r="P238" s="193"/>
      <c r="Q238" s="193"/>
      <c r="R238" s="193"/>
      <c r="S238" s="193"/>
      <c r="T238" s="193"/>
      <c r="U238" s="239"/>
      <c r="V238" s="239"/>
      <c r="W238" s="65"/>
      <c r="X238" s="65"/>
    </row>
    <row r="239" spans="2:24">
      <c r="B239" s="252"/>
      <c r="C239" s="192"/>
      <c r="D239" s="65"/>
      <c r="E239" s="236"/>
      <c r="F239" s="193"/>
      <c r="G239" s="65"/>
      <c r="H239" s="65"/>
      <c r="I239" s="65"/>
      <c r="J239" s="65"/>
      <c r="K239" s="65"/>
      <c r="L239" s="194"/>
      <c r="M239" s="237"/>
      <c r="N239" s="238"/>
      <c r="O239" s="193"/>
      <c r="P239" s="193"/>
      <c r="Q239" s="193"/>
      <c r="R239" s="193"/>
      <c r="S239" s="193"/>
      <c r="T239" s="193"/>
      <c r="U239" s="239"/>
      <c r="V239" s="239"/>
      <c r="W239" s="65"/>
      <c r="X239" s="65"/>
    </row>
    <row r="240" spans="2:24">
      <c r="B240" s="252"/>
      <c r="C240" s="192"/>
      <c r="D240" s="65"/>
      <c r="E240" s="236"/>
      <c r="F240" s="193"/>
      <c r="G240" s="65"/>
      <c r="H240" s="65"/>
      <c r="I240" s="65"/>
      <c r="J240" s="65"/>
      <c r="K240" s="65"/>
      <c r="L240" s="194"/>
      <c r="M240" s="237"/>
      <c r="N240" s="238"/>
      <c r="O240" s="193"/>
      <c r="P240" s="193"/>
      <c r="Q240" s="193"/>
      <c r="R240" s="193"/>
      <c r="S240" s="193"/>
      <c r="T240" s="193"/>
      <c r="U240" s="239"/>
      <c r="V240" s="239"/>
      <c r="W240" s="65"/>
      <c r="X240" s="65"/>
    </row>
    <row r="241" spans="2:24">
      <c r="B241" s="252"/>
      <c r="C241" s="192"/>
      <c r="D241" s="65"/>
      <c r="E241" s="236"/>
      <c r="F241" s="193"/>
      <c r="G241" s="65"/>
      <c r="H241" s="65"/>
      <c r="I241" s="65"/>
      <c r="J241" s="65"/>
      <c r="K241" s="65"/>
      <c r="L241" s="194"/>
      <c r="M241" s="237"/>
      <c r="N241" s="238"/>
      <c r="O241" s="193"/>
      <c r="P241" s="193"/>
      <c r="Q241" s="193"/>
      <c r="R241" s="193"/>
      <c r="S241" s="193"/>
      <c r="T241" s="193"/>
      <c r="U241" s="239"/>
      <c r="V241" s="239"/>
      <c r="W241" s="65"/>
      <c r="X241" s="65"/>
    </row>
    <row r="242" spans="2:24">
      <c r="B242" s="252"/>
      <c r="C242" s="192"/>
      <c r="D242" s="65"/>
      <c r="E242" s="236"/>
      <c r="F242" s="193"/>
      <c r="G242" s="65"/>
      <c r="H242" s="65"/>
      <c r="I242" s="65"/>
      <c r="J242" s="65"/>
      <c r="K242" s="65"/>
      <c r="L242" s="194"/>
      <c r="M242" s="237"/>
      <c r="N242" s="238"/>
      <c r="O242" s="193"/>
      <c r="P242" s="193"/>
      <c r="Q242" s="193"/>
      <c r="R242" s="193"/>
      <c r="S242" s="193"/>
      <c r="T242" s="193"/>
      <c r="U242" s="239"/>
      <c r="V242" s="239"/>
      <c r="W242" s="65"/>
      <c r="X242" s="65"/>
    </row>
    <row r="243" spans="2:24">
      <c r="B243" s="252"/>
      <c r="C243" s="192"/>
      <c r="D243" s="65"/>
      <c r="E243" s="236"/>
      <c r="F243" s="193"/>
      <c r="G243" s="65"/>
      <c r="H243" s="65"/>
      <c r="I243" s="65"/>
      <c r="J243" s="65"/>
      <c r="K243" s="65"/>
      <c r="L243" s="194"/>
      <c r="M243" s="237"/>
      <c r="N243" s="238"/>
      <c r="O243" s="193"/>
      <c r="P243" s="193"/>
      <c r="Q243" s="193"/>
      <c r="R243" s="193"/>
      <c r="S243" s="193"/>
      <c r="T243" s="193"/>
      <c r="U243" s="239"/>
      <c r="V243" s="239"/>
      <c r="W243" s="65"/>
      <c r="X243" s="65"/>
    </row>
    <row r="244" spans="2:24">
      <c r="B244" s="252"/>
      <c r="C244" s="192"/>
      <c r="D244" s="65"/>
      <c r="E244" s="236"/>
      <c r="F244" s="193"/>
      <c r="G244" s="65"/>
      <c r="H244" s="65"/>
      <c r="I244" s="65"/>
      <c r="J244" s="65"/>
      <c r="K244" s="65"/>
      <c r="L244" s="194"/>
      <c r="M244" s="237"/>
      <c r="N244" s="238"/>
      <c r="O244" s="193"/>
      <c r="P244" s="193"/>
      <c r="Q244" s="193"/>
      <c r="R244" s="193"/>
      <c r="S244" s="193"/>
      <c r="T244" s="193"/>
      <c r="U244" s="239"/>
      <c r="V244" s="239"/>
      <c r="W244" s="65"/>
      <c r="X244" s="65"/>
    </row>
    <row r="245" spans="2:24">
      <c r="B245" s="252"/>
      <c r="C245" s="192"/>
      <c r="D245" s="65"/>
      <c r="E245" s="236"/>
      <c r="F245" s="193"/>
      <c r="G245" s="65"/>
      <c r="H245" s="65"/>
      <c r="I245" s="65"/>
      <c r="J245" s="65"/>
      <c r="K245" s="65"/>
      <c r="L245" s="194"/>
      <c r="M245" s="237"/>
      <c r="N245" s="238"/>
      <c r="O245" s="193"/>
      <c r="P245" s="193"/>
      <c r="Q245" s="193"/>
      <c r="R245" s="193"/>
      <c r="S245" s="193"/>
      <c r="T245" s="193"/>
      <c r="U245" s="239"/>
      <c r="V245" s="239"/>
      <c r="W245" s="65"/>
      <c r="X245" s="65"/>
    </row>
    <row r="246" spans="2:24">
      <c r="B246" s="252"/>
      <c r="C246" s="192"/>
      <c r="D246" s="65"/>
      <c r="E246" s="236"/>
      <c r="F246" s="193"/>
      <c r="G246" s="65"/>
      <c r="H246" s="65"/>
      <c r="I246" s="65"/>
      <c r="J246" s="65"/>
      <c r="K246" s="65"/>
      <c r="L246" s="194"/>
      <c r="M246" s="237"/>
      <c r="N246" s="238"/>
      <c r="O246" s="193"/>
      <c r="P246" s="193"/>
      <c r="Q246" s="193"/>
      <c r="R246" s="193"/>
      <c r="S246" s="193"/>
      <c r="T246" s="193"/>
      <c r="U246" s="239"/>
      <c r="V246" s="239"/>
      <c r="W246" s="65"/>
      <c r="X246" s="65"/>
    </row>
    <row r="247" spans="2:24">
      <c r="B247" s="252"/>
      <c r="C247" s="192"/>
      <c r="D247" s="65"/>
      <c r="E247" s="236"/>
      <c r="F247" s="193"/>
      <c r="G247" s="65"/>
      <c r="H247" s="65"/>
      <c r="I247" s="65"/>
      <c r="J247" s="65"/>
      <c r="K247" s="65"/>
      <c r="L247" s="194"/>
      <c r="M247" s="237"/>
      <c r="N247" s="238"/>
      <c r="O247" s="193"/>
      <c r="P247" s="193"/>
      <c r="Q247" s="193"/>
      <c r="R247" s="193"/>
      <c r="S247" s="193"/>
      <c r="T247" s="193"/>
      <c r="U247" s="239"/>
      <c r="V247" s="239"/>
      <c r="W247" s="65"/>
      <c r="X247" s="65"/>
    </row>
    <row r="248" spans="2:24">
      <c r="B248" s="252"/>
      <c r="C248" s="192"/>
      <c r="D248" s="65"/>
      <c r="E248" s="236"/>
      <c r="F248" s="193"/>
      <c r="G248" s="65"/>
      <c r="H248" s="65"/>
      <c r="I248" s="65"/>
      <c r="J248" s="65"/>
      <c r="K248" s="65"/>
      <c r="L248" s="194"/>
      <c r="M248" s="237"/>
      <c r="N248" s="238"/>
      <c r="O248" s="193"/>
      <c r="P248" s="193"/>
      <c r="Q248" s="193"/>
      <c r="R248" s="193"/>
      <c r="S248" s="193"/>
      <c r="T248" s="193"/>
      <c r="U248" s="239"/>
      <c r="V248" s="239"/>
      <c r="W248" s="65"/>
      <c r="X248" s="65"/>
    </row>
    <row r="249" spans="2:24">
      <c r="B249" s="252"/>
      <c r="C249" s="192"/>
      <c r="D249" s="65"/>
      <c r="E249" s="236"/>
      <c r="F249" s="193"/>
      <c r="G249" s="65"/>
      <c r="H249" s="65"/>
      <c r="I249" s="65"/>
      <c r="J249" s="65"/>
      <c r="K249" s="65"/>
      <c r="L249" s="194"/>
      <c r="M249" s="237"/>
      <c r="N249" s="238"/>
      <c r="O249" s="193"/>
      <c r="P249" s="193"/>
      <c r="Q249" s="193"/>
      <c r="R249" s="193"/>
      <c r="S249" s="193"/>
      <c r="T249" s="193"/>
      <c r="U249" s="239"/>
      <c r="V249" s="239"/>
      <c r="W249" s="65"/>
      <c r="X249" s="65"/>
    </row>
    <row r="250" spans="2:24">
      <c r="B250" s="252"/>
      <c r="C250" s="192"/>
      <c r="D250" s="65"/>
      <c r="E250" s="236"/>
      <c r="F250" s="193"/>
      <c r="G250" s="65"/>
      <c r="H250" s="65"/>
      <c r="I250" s="65"/>
      <c r="J250" s="65"/>
      <c r="K250" s="65"/>
      <c r="L250" s="194"/>
      <c r="M250" s="237"/>
      <c r="N250" s="238"/>
      <c r="O250" s="193"/>
      <c r="P250" s="193"/>
      <c r="Q250" s="193"/>
      <c r="R250" s="193"/>
      <c r="S250" s="193"/>
      <c r="T250" s="193"/>
      <c r="U250" s="239"/>
      <c r="V250" s="239"/>
      <c r="W250" s="65"/>
      <c r="X250" s="65"/>
    </row>
    <row r="251" spans="2:24">
      <c r="B251" s="252"/>
      <c r="C251" s="192"/>
      <c r="D251" s="65"/>
      <c r="E251" s="236"/>
      <c r="F251" s="193"/>
      <c r="G251" s="65"/>
      <c r="H251" s="65"/>
      <c r="I251" s="65"/>
      <c r="J251" s="65"/>
      <c r="K251" s="65"/>
      <c r="L251" s="194"/>
      <c r="M251" s="237"/>
      <c r="N251" s="238"/>
      <c r="O251" s="193"/>
      <c r="P251" s="193"/>
      <c r="Q251" s="193"/>
      <c r="R251" s="193"/>
      <c r="S251" s="193"/>
      <c r="T251" s="193"/>
      <c r="U251" s="239"/>
      <c r="V251" s="239"/>
      <c r="W251" s="65"/>
      <c r="X251" s="65"/>
    </row>
    <row r="252" spans="2:24">
      <c r="B252" s="252"/>
      <c r="C252" s="192"/>
      <c r="D252" s="65"/>
      <c r="E252" s="236"/>
      <c r="F252" s="193"/>
      <c r="G252" s="65"/>
      <c r="H252" s="65"/>
      <c r="I252" s="65"/>
      <c r="J252" s="65"/>
      <c r="K252" s="65"/>
      <c r="L252" s="194"/>
      <c r="M252" s="237"/>
      <c r="N252" s="238"/>
      <c r="O252" s="193"/>
      <c r="P252" s="193"/>
      <c r="Q252" s="193"/>
      <c r="R252" s="193"/>
      <c r="S252" s="193"/>
      <c r="T252" s="193"/>
      <c r="U252" s="239"/>
      <c r="V252" s="239"/>
      <c r="W252" s="65"/>
      <c r="X252" s="65"/>
    </row>
    <row r="253" spans="2:24">
      <c r="B253" s="252"/>
      <c r="C253" s="192"/>
      <c r="D253" s="65"/>
      <c r="E253" s="236"/>
      <c r="F253" s="193"/>
      <c r="G253" s="65"/>
      <c r="H253" s="65"/>
      <c r="I253" s="65"/>
      <c r="J253" s="65"/>
      <c r="K253" s="65"/>
      <c r="L253" s="194"/>
      <c r="M253" s="237"/>
      <c r="N253" s="238"/>
      <c r="O253" s="193"/>
      <c r="P253" s="193"/>
      <c r="Q253" s="193"/>
      <c r="R253" s="193"/>
      <c r="S253" s="193"/>
      <c r="T253" s="193"/>
      <c r="U253" s="239"/>
      <c r="V253" s="239"/>
      <c r="W253" s="65"/>
      <c r="X253" s="65"/>
    </row>
    <row r="254" spans="2:24">
      <c r="B254" s="252"/>
      <c r="C254" s="192"/>
      <c r="D254" s="65"/>
      <c r="E254" s="236"/>
      <c r="F254" s="193"/>
      <c r="G254" s="65"/>
      <c r="H254" s="65"/>
      <c r="I254" s="65"/>
      <c r="J254" s="65"/>
      <c r="K254" s="65"/>
      <c r="L254" s="194"/>
      <c r="M254" s="237"/>
      <c r="N254" s="238"/>
      <c r="O254" s="193"/>
      <c r="P254" s="193"/>
      <c r="Q254" s="193"/>
      <c r="R254" s="193"/>
      <c r="S254" s="193"/>
      <c r="T254" s="193"/>
      <c r="U254" s="239"/>
      <c r="V254" s="239"/>
      <c r="W254" s="65"/>
      <c r="X254" s="65"/>
    </row>
    <row r="255" spans="2:24">
      <c r="B255" s="252"/>
      <c r="C255" s="192"/>
      <c r="D255" s="65"/>
      <c r="E255" s="236"/>
      <c r="F255" s="193"/>
      <c r="G255" s="65"/>
      <c r="H255" s="65"/>
      <c r="I255" s="65"/>
      <c r="J255" s="65"/>
      <c r="K255" s="65"/>
      <c r="L255" s="194"/>
      <c r="M255" s="237"/>
      <c r="N255" s="238"/>
      <c r="O255" s="193"/>
      <c r="P255" s="193"/>
      <c r="Q255" s="193"/>
      <c r="R255" s="193"/>
      <c r="S255" s="193"/>
      <c r="T255" s="193"/>
      <c r="U255" s="239"/>
      <c r="V255" s="239"/>
      <c r="W255" s="65"/>
      <c r="X255" s="65"/>
    </row>
    <row r="256" spans="2:24">
      <c r="B256" s="252"/>
      <c r="C256" s="192"/>
      <c r="D256" s="65"/>
      <c r="E256" s="236"/>
      <c r="F256" s="193"/>
      <c r="G256" s="65"/>
      <c r="H256" s="65"/>
      <c r="I256" s="65"/>
      <c r="J256" s="65"/>
      <c r="K256" s="65"/>
      <c r="L256" s="194"/>
      <c r="M256" s="237"/>
      <c r="N256" s="238"/>
      <c r="O256" s="193"/>
      <c r="P256" s="193"/>
      <c r="Q256" s="193"/>
      <c r="R256" s="193"/>
      <c r="S256" s="193"/>
      <c r="T256" s="193"/>
      <c r="U256" s="239"/>
      <c r="V256" s="239"/>
      <c r="W256" s="65"/>
      <c r="X256" s="65"/>
    </row>
    <row r="257" spans="2:24">
      <c r="B257" s="252"/>
      <c r="C257" s="192"/>
      <c r="D257" s="65"/>
      <c r="E257" s="236"/>
      <c r="F257" s="193"/>
      <c r="G257" s="65"/>
      <c r="H257" s="65"/>
      <c r="I257" s="65"/>
      <c r="J257" s="65"/>
      <c r="K257" s="65"/>
      <c r="L257" s="194"/>
      <c r="M257" s="237"/>
      <c r="N257" s="238"/>
      <c r="O257" s="193"/>
      <c r="P257" s="193"/>
      <c r="Q257" s="193"/>
      <c r="R257" s="193"/>
      <c r="S257" s="193"/>
      <c r="T257" s="193"/>
      <c r="U257" s="239"/>
      <c r="V257" s="239"/>
      <c r="W257" s="65"/>
      <c r="X257" s="65"/>
    </row>
    <row r="258" spans="2:24">
      <c r="B258" s="252"/>
      <c r="C258" s="192"/>
      <c r="D258" s="65"/>
      <c r="E258" s="236"/>
      <c r="F258" s="193"/>
      <c r="G258" s="65"/>
      <c r="H258" s="65"/>
      <c r="I258" s="65"/>
      <c r="J258" s="65"/>
      <c r="K258" s="65"/>
      <c r="L258" s="194"/>
      <c r="M258" s="237"/>
      <c r="N258" s="238"/>
      <c r="O258" s="193"/>
      <c r="P258" s="193"/>
      <c r="Q258" s="193"/>
      <c r="R258" s="193"/>
      <c r="S258" s="193"/>
      <c r="T258" s="193"/>
      <c r="U258" s="239"/>
      <c r="V258" s="239"/>
      <c r="W258" s="65"/>
      <c r="X258" s="65"/>
    </row>
    <row r="259" spans="2:24">
      <c r="B259" s="252"/>
      <c r="C259" s="192"/>
      <c r="D259" s="65"/>
      <c r="E259" s="236"/>
      <c r="F259" s="193"/>
      <c r="G259" s="65"/>
      <c r="H259" s="65"/>
      <c r="I259" s="65"/>
      <c r="J259" s="65"/>
      <c r="K259" s="65"/>
      <c r="L259" s="194"/>
      <c r="M259" s="237"/>
      <c r="N259" s="238"/>
      <c r="O259" s="193"/>
      <c r="P259" s="193"/>
      <c r="Q259" s="193"/>
      <c r="R259" s="193"/>
      <c r="S259" s="193"/>
      <c r="T259" s="193"/>
      <c r="U259" s="239"/>
      <c r="V259" s="239"/>
      <c r="W259" s="65"/>
      <c r="X259" s="65"/>
    </row>
    <row r="260" spans="2:24">
      <c r="B260" s="252"/>
      <c r="C260" s="192"/>
      <c r="D260" s="65"/>
      <c r="E260" s="236"/>
      <c r="F260" s="193"/>
      <c r="G260" s="65"/>
      <c r="H260" s="65"/>
      <c r="I260" s="65"/>
      <c r="J260" s="65"/>
      <c r="K260" s="65"/>
      <c r="L260" s="194"/>
      <c r="M260" s="237"/>
      <c r="N260" s="238"/>
      <c r="O260" s="193"/>
      <c r="P260" s="193"/>
      <c r="Q260" s="193"/>
      <c r="R260" s="193"/>
      <c r="S260" s="193"/>
      <c r="T260" s="193"/>
      <c r="U260" s="239"/>
      <c r="V260" s="239"/>
      <c r="W260" s="65"/>
      <c r="X260" s="65"/>
    </row>
    <row r="261" spans="2:24">
      <c r="B261" s="252"/>
      <c r="C261" s="192"/>
      <c r="D261" s="65"/>
      <c r="E261" s="236"/>
      <c r="F261" s="193"/>
      <c r="G261" s="65"/>
      <c r="H261" s="65"/>
      <c r="I261" s="65"/>
      <c r="J261" s="65"/>
      <c r="K261" s="65"/>
      <c r="L261" s="194"/>
      <c r="M261" s="237"/>
      <c r="N261" s="238"/>
      <c r="O261" s="193"/>
      <c r="P261" s="193"/>
      <c r="Q261" s="193"/>
      <c r="R261" s="193"/>
      <c r="S261" s="193"/>
      <c r="T261" s="193"/>
      <c r="U261" s="239"/>
      <c r="V261" s="239"/>
      <c r="W261" s="65"/>
      <c r="X261" s="65"/>
    </row>
    <row r="262" spans="2:24">
      <c r="B262" s="252"/>
      <c r="C262" s="192"/>
      <c r="D262" s="65"/>
      <c r="E262" s="236"/>
      <c r="F262" s="193"/>
      <c r="G262" s="65"/>
      <c r="H262" s="65"/>
      <c r="I262" s="65"/>
      <c r="J262" s="65"/>
      <c r="K262" s="65"/>
      <c r="L262" s="194"/>
      <c r="M262" s="237"/>
      <c r="N262" s="238"/>
      <c r="O262" s="193"/>
      <c r="P262" s="193"/>
      <c r="Q262" s="193"/>
      <c r="R262" s="193"/>
      <c r="S262" s="193"/>
      <c r="T262" s="193"/>
      <c r="U262" s="239"/>
      <c r="V262" s="239"/>
      <c r="W262" s="65"/>
      <c r="X262" s="65"/>
    </row>
    <row r="263" spans="2:24">
      <c r="B263" s="252"/>
      <c r="C263" s="192"/>
      <c r="D263" s="65"/>
      <c r="E263" s="236"/>
      <c r="F263" s="193"/>
      <c r="G263" s="65"/>
      <c r="H263" s="65"/>
      <c r="I263" s="65"/>
      <c r="J263" s="65"/>
      <c r="K263" s="65"/>
      <c r="L263" s="194"/>
      <c r="M263" s="237"/>
      <c r="N263" s="238"/>
      <c r="O263" s="193"/>
      <c r="P263" s="193"/>
      <c r="Q263" s="193"/>
      <c r="R263" s="193"/>
      <c r="S263" s="193"/>
      <c r="T263" s="193"/>
      <c r="U263" s="239"/>
      <c r="V263" s="239"/>
      <c r="W263" s="65"/>
      <c r="X263" s="65"/>
    </row>
    <row r="264" spans="2:24">
      <c r="B264" s="252"/>
      <c r="C264" s="192"/>
      <c r="D264" s="65"/>
      <c r="E264" s="236"/>
      <c r="F264" s="193"/>
      <c r="G264" s="65"/>
      <c r="H264" s="65"/>
      <c r="I264" s="65"/>
      <c r="J264" s="65"/>
      <c r="K264" s="65"/>
      <c r="L264" s="194"/>
      <c r="M264" s="237"/>
      <c r="N264" s="238"/>
      <c r="O264" s="193"/>
      <c r="P264" s="193"/>
      <c r="Q264" s="193"/>
      <c r="R264" s="193"/>
      <c r="S264" s="193"/>
      <c r="T264" s="193"/>
      <c r="U264" s="239"/>
      <c r="V264" s="239"/>
      <c r="W264" s="65"/>
      <c r="X264" s="65"/>
    </row>
    <row r="265" spans="2:24">
      <c r="B265" s="252"/>
      <c r="C265" s="192"/>
      <c r="D265" s="65"/>
      <c r="E265" s="236"/>
      <c r="F265" s="193"/>
      <c r="G265" s="65"/>
      <c r="H265" s="65"/>
      <c r="I265" s="65"/>
      <c r="J265" s="65"/>
      <c r="K265" s="65"/>
      <c r="L265" s="194"/>
      <c r="M265" s="237"/>
      <c r="N265" s="238"/>
      <c r="O265" s="193"/>
      <c r="P265" s="193"/>
      <c r="Q265" s="193"/>
      <c r="R265" s="193"/>
      <c r="S265" s="193"/>
      <c r="T265" s="193"/>
      <c r="U265" s="239"/>
      <c r="V265" s="239"/>
      <c r="W265" s="65"/>
      <c r="X265" s="65"/>
    </row>
    <row r="266" spans="2:24">
      <c r="B266" s="252"/>
      <c r="C266" s="192"/>
      <c r="D266" s="65"/>
      <c r="E266" s="236"/>
      <c r="F266" s="193"/>
      <c r="G266" s="65"/>
      <c r="H266" s="65"/>
      <c r="I266" s="65"/>
      <c r="J266" s="65"/>
      <c r="K266" s="65"/>
      <c r="L266" s="194"/>
      <c r="M266" s="237"/>
      <c r="N266" s="238"/>
      <c r="O266" s="193"/>
      <c r="P266" s="193"/>
      <c r="Q266" s="193"/>
      <c r="R266" s="193"/>
      <c r="S266" s="193"/>
      <c r="T266" s="193"/>
      <c r="U266" s="239"/>
      <c r="V266" s="239"/>
      <c r="W266" s="65"/>
      <c r="X266" s="65"/>
    </row>
    <row r="267" spans="2:24">
      <c r="B267" s="252"/>
      <c r="C267" s="192"/>
      <c r="D267" s="65"/>
      <c r="E267" s="236"/>
      <c r="F267" s="193"/>
      <c r="G267" s="65"/>
      <c r="H267" s="65"/>
      <c r="I267" s="65"/>
      <c r="J267" s="65"/>
      <c r="K267" s="65"/>
      <c r="L267" s="194"/>
      <c r="M267" s="237"/>
      <c r="N267" s="238"/>
      <c r="O267" s="193"/>
      <c r="P267" s="193"/>
      <c r="Q267" s="193"/>
      <c r="R267" s="193"/>
      <c r="S267" s="193"/>
      <c r="T267" s="193"/>
      <c r="U267" s="239"/>
      <c r="V267" s="239"/>
      <c r="W267" s="65"/>
      <c r="X267" s="65"/>
    </row>
    <row r="268" spans="2:24">
      <c r="B268" s="252"/>
      <c r="C268" s="192"/>
      <c r="D268" s="65"/>
      <c r="E268" s="236"/>
      <c r="F268" s="193"/>
      <c r="G268" s="65"/>
      <c r="H268" s="65"/>
      <c r="I268" s="65"/>
      <c r="J268" s="65"/>
      <c r="K268" s="65"/>
      <c r="L268" s="194"/>
      <c r="M268" s="237"/>
      <c r="N268" s="238"/>
      <c r="O268" s="193"/>
      <c r="P268" s="193"/>
      <c r="Q268" s="193"/>
      <c r="R268" s="193"/>
      <c r="S268" s="193"/>
      <c r="T268" s="193"/>
      <c r="U268" s="239"/>
      <c r="V268" s="239"/>
      <c r="W268" s="65"/>
      <c r="X268" s="65"/>
    </row>
    <row r="269" spans="2:24">
      <c r="B269" s="252"/>
      <c r="C269" s="192"/>
      <c r="D269" s="65"/>
      <c r="E269" s="236"/>
      <c r="F269" s="193"/>
      <c r="G269" s="65"/>
      <c r="H269" s="65"/>
      <c r="I269" s="65"/>
      <c r="J269" s="65"/>
      <c r="K269" s="65"/>
      <c r="L269" s="194"/>
      <c r="M269" s="237"/>
      <c r="N269" s="238"/>
      <c r="O269" s="193"/>
      <c r="P269" s="193"/>
      <c r="Q269" s="193"/>
      <c r="R269" s="193"/>
      <c r="S269" s="193"/>
      <c r="T269" s="193"/>
      <c r="U269" s="239"/>
      <c r="V269" s="239"/>
      <c r="W269" s="65"/>
      <c r="X269" s="65"/>
    </row>
    <row r="270" spans="2:24">
      <c r="B270" s="252"/>
      <c r="C270" s="192"/>
      <c r="D270" s="65"/>
      <c r="E270" s="236"/>
      <c r="F270" s="193"/>
      <c r="G270" s="65"/>
      <c r="H270" s="65"/>
      <c r="I270" s="65"/>
      <c r="J270" s="65"/>
      <c r="K270" s="65"/>
      <c r="L270" s="194"/>
      <c r="M270" s="237"/>
      <c r="N270" s="238"/>
      <c r="O270" s="193"/>
      <c r="P270" s="193"/>
      <c r="Q270" s="193"/>
      <c r="R270" s="193"/>
      <c r="S270" s="193"/>
      <c r="T270" s="193"/>
      <c r="U270" s="239"/>
      <c r="V270" s="239"/>
      <c r="W270" s="65"/>
      <c r="X270" s="65"/>
    </row>
    <row r="271" spans="2:24">
      <c r="B271" s="252"/>
      <c r="C271" s="192"/>
      <c r="D271" s="65"/>
      <c r="E271" s="236"/>
      <c r="F271" s="193"/>
      <c r="G271" s="65"/>
      <c r="H271" s="65"/>
      <c r="I271" s="65"/>
      <c r="J271" s="65"/>
      <c r="K271" s="65"/>
      <c r="L271" s="194"/>
      <c r="M271" s="237"/>
      <c r="N271" s="238"/>
      <c r="O271" s="193"/>
      <c r="P271" s="193"/>
      <c r="Q271" s="193"/>
      <c r="R271" s="193"/>
      <c r="S271" s="193"/>
      <c r="T271" s="193"/>
      <c r="U271" s="239"/>
      <c r="V271" s="239"/>
      <c r="W271" s="65"/>
      <c r="X271" s="65"/>
    </row>
    <row r="272" spans="2:24">
      <c r="B272" s="252"/>
      <c r="C272" s="192"/>
      <c r="D272" s="65"/>
      <c r="E272" s="236"/>
      <c r="F272" s="193"/>
      <c r="G272" s="65"/>
      <c r="H272" s="65"/>
      <c r="I272" s="65"/>
      <c r="J272" s="65"/>
      <c r="K272" s="65"/>
      <c r="L272" s="194"/>
      <c r="M272" s="237"/>
      <c r="N272" s="238"/>
      <c r="O272" s="193"/>
      <c r="P272" s="193"/>
      <c r="Q272" s="193"/>
      <c r="R272" s="193"/>
      <c r="S272" s="193"/>
      <c r="T272" s="193"/>
      <c r="U272" s="239"/>
      <c r="V272" s="239"/>
      <c r="W272" s="65"/>
      <c r="X272" s="65"/>
    </row>
    <row r="273" spans="2:24">
      <c r="B273" s="252"/>
      <c r="C273" s="192"/>
      <c r="D273" s="65"/>
      <c r="E273" s="236"/>
      <c r="F273" s="193"/>
      <c r="G273" s="65"/>
      <c r="H273" s="65"/>
      <c r="I273" s="65"/>
      <c r="J273" s="65"/>
      <c r="K273" s="65"/>
      <c r="L273" s="194"/>
      <c r="M273" s="237"/>
      <c r="N273" s="238"/>
      <c r="O273" s="193"/>
      <c r="P273" s="193"/>
      <c r="Q273" s="193"/>
      <c r="R273" s="193"/>
      <c r="S273" s="193"/>
      <c r="T273" s="193"/>
      <c r="U273" s="239"/>
      <c r="V273" s="239"/>
      <c r="W273" s="65"/>
      <c r="X273" s="65"/>
    </row>
    <row r="274" spans="2:24">
      <c r="B274" s="252"/>
      <c r="C274" s="192"/>
      <c r="D274" s="65"/>
      <c r="E274" s="236"/>
      <c r="F274" s="193"/>
      <c r="G274" s="65"/>
      <c r="H274" s="65"/>
      <c r="I274" s="65"/>
      <c r="J274" s="65"/>
      <c r="K274" s="65"/>
      <c r="L274" s="194"/>
      <c r="M274" s="237"/>
      <c r="N274" s="238"/>
      <c r="O274" s="193"/>
      <c r="P274" s="193"/>
      <c r="Q274" s="193"/>
      <c r="R274" s="193"/>
      <c r="S274" s="193"/>
      <c r="T274" s="193"/>
      <c r="U274" s="239"/>
      <c r="V274" s="239"/>
      <c r="W274" s="65"/>
      <c r="X274" s="65"/>
    </row>
    <row r="275" spans="2:24">
      <c r="B275" s="252"/>
      <c r="C275" s="192"/>
      <c r="D275" s="65"/>
      <c r="E275" s="236"/>
      <c r="F275" s="193"/>
      <c r="G275" s="65"/>
      <c r="H275" s="65"/>
      <c r="I275" s="65"/>
      <c r="J275" s="65"/>
      <c r="K275" s="65"/>
      <c r="L275" s="194"/>
      <c r="M275" s="237"/>
      <c r="N275" s="238"/>
      <c r="O275" s="193"/>
      <c r="P275" s="193"/>
      <c r="Q275" s="193"/>
      <c r="R275" s="193"/>
      <c r="S275" s="193"/>
      <c r="T275" s="193"/>
      <c r="U275" s="239"/>
      <c r="V275" s="239"/>
      <c r="W275" s="65"/>
      <c r="X275" s="65"/>
    </row>
    <row r="276" spans="2:24">
      <c r="B276" s="252"/>
      <c r="C276" s="192"/>
      <c r="D276" s="65"/>
      <c r="E276" s="236"/>
      <c r="F276" s="193"/>
      <c r="G276" s="65"/>
      <c r="H276" s="65"/>
      <c r="I276" s="65"/>
      <c r="J276" s="65"/>
      <c r="K276" s="65"/>
      <c r="L276" s="194"/>
      <c r="M276" s="237"/>
      <c r="N276" s="238"/>
      <c r="O276" s="193"/>
      <c r="P276" s="193"/>
      <c r="Q276" s="193"/>
      <c r="R276" s="193"/>
      <c r="S276" s="193"/>
      <c r="T276" s="193"/>
      <c r="U276" s="239"/>
      <c r="V276" s="239"/>
      <c r="W276" s="65"/>
      <c r="X276" s="65"/>
    </row>
    <row r="277" spans="2:24">
      <c r="B277" s="252"/>
      <c r="C277" s="192"/>
      <c r="D277" s="65"/>
      <c r="E277" s="236"/>
      <c r="F277" s="193"/>
      <c r="G277" s="65"/>
      <c r="H277" s="65"/>
      <c r="I277" s="65"/>
      <c r="J277" s="65"/>
      <c r="K277" s="65"/>
      <c r="L277" s="194"/>
      <c r="M277" s="237"/>
      <c r="N277" s="238"/>
      <c r="O277" s="193"/>
      <c r="P277" s="193"/>
      <c r="Q277" s="193"/>
      <c r="R277" s="193"/>
      <c r="S277" s="193"/>
      <c r="T277" s="193"/>
      <c r="U277" s="239"/>
      <c r="V277" s="239"/>
      <c r="W277" s="65"/>
      <c r="X277" s="65"/>
    </row>
    <row r="278" spans="2:24">
      <c r="B278" s="252"/>
      <c r="C278" s="192"/>
      <c r="D278" s="65"/>
      <c r="E278" s="236"/>
      <c r="F278" s="193"/>
      <c r="G278" s="65"/>
      <c r="H278" s="65"/>
      <c r="I278" s="65"/>
      <c r="J278" s="65"/>
      <c r="K278" s="65"/>
      <c r="L278" s="194"/>
      <c r="M278" s="237"/>
      <c r="N278" s="238"/>
      <c r="O278" s="193"/>
      <c r="P278" s="193"/>
      <c r="Q278" s="193"/>
      <c r="R278" s="193"/>
      <c r="S278" s="193"/>
      <c r="T278" s="193"/>
      <c r="U278" s="239"/>
      <c r="V278" s="239"/>
      <c r="W278" s="65"/>
      <c r="X278" s="65"/>
    </row>
    <row r="279" spans="2:24">
      <c r="B279" s="252"/>
      <c r="C279" s="192"/>
      <c r="D279" s="65"/>
      <c r="E279" s="236"/>
      <c r="F279" s="193"/>
      <c r="G279" s="65"/>
      <c r="H279" s="65"/>
      <c r="I279" s="65"/>
      <c r="J279" s="65"/>
      <c r="K279" s="65"/>
      <c r="L279" s="194"/>
      <c r="M279" s="237"/>
      <c r="N279" s="238"/>
      <c r="O279" s="193"/>
      <c r="P279" s="193"/>
      <c r="Q279" s="193"/>
      <c r="R279" s="193"/>
      <c r="S279" s="193"/>
      <c r="T279" s="193"/>
      <c r="U279" s="239"/>
      <c r="V279" s="239"/>
      <c r="W279" s="65"/>
      <c r="X279" s="65"/>
    </row>
    <row r="280" spans="2:24">
      <c r="B280" s="252"/>
      <c r="C280" s="192"/>
      <c r="D280" s="65"/>
      <c r="E280" s="236"/>
      <c r="F280" s="193"/>
      <c r="G280" s="65"/>
      <c r="H280" s="65"/>
      <c r="I280" s="65"/>
      <c r="J280" s="65"/>
      <c r="K280" s="65"/>
      <c r="L280" s="194"/>
      <c r="M280" s="237"/>
      <c r="N280" s="238"/>
      <c r="O280" s="193"/>
      <c r="P280" s="193"/>
      <c r="Q280" s="193"/>
      <c r="R280" s="193"/>
      <c r="S280" s="193"/>
      <c r="T280" s="193"/>
      <c r="U280" s="239"/>
      <c r="V280" s="239"/>
      <c r="W280" s="65"/>
      <c r="X280" s="65"/>
    </row>
    <row r="281" spans="2:24">
      <c r="B281" s="252"/>
      <c r="C281" s="192"/>
      <c r="D281" s="65"/>
      <c r="E281" s="236"/>
      <c r="F281" s="193"/>
      <c r="G281" s="65"/>
      <c r="H281" s="65"/>
      <c r="I281" s="65"/>
      <c r="J281" s="65"/>
      <c r="K281" s="65"/>
      <c r="L281" s="194"/>
      <c r="M281" s="237"/>
      <c r="N281" s="238"/>
      <c r="O281" s="193"/>
      <c r="P281" s="193"/>
      <c r="Q281" s="193"/>
      <c r="R281" s="193"/>
      <c r="S281" s="193"/>
      <c r="T281" s="193"/>
      <c r="U281" s="239"/>
      <c r="V281" s="239"/>
      <c r="W281" s="65"/>
      <c r="X281" s="65"/>
    </row>
    <row r="282" spans="2:24">
      <c r="B282" s="252"/>
      <c r="C282" s="192"/>
      <c r="D282" s="65"/>
      <c r="E282" s="236"/>
      <c r="F282" s="193"/>
      <c r="G282" s="65"/>
      <c r="H282" s="65"/>
      <c r="I282" s="65"/>
      <c r="J282" s="65"/>
      <c r="K282" s="65"/>
      <c r="L282" s="194"/>
      <c r="M282" s="237"/>
      <c r="N282" s="238"/>
      <c r="O282" s="193"/>
      <c r="P282" s="193"/>
      <c r="Q282" s="193"/>
      <c r="R282" s="193"/>
      <c r="S282" s="193"/>
      <c r="T282" s="193"/>
      <c r="U282" s="239"/>
      <c r="V282" s="239"/>
      <c r="W282" s="65"/>
      <c r="X282" s="65"/>
    </row>
    <row r="283" spans="2:24">
      <c r="B283" s="252"/>
      <c r="C283" s="192"/>
      <c r="D283" s="65"/>
      <c r="E283" s="236"/>
      <c r="F283" s="193"/>
      <c r="G283" s="65"/>
      <c r="H283" s="65"/>
      <c r="I283" s="65"/>
      <c r="J283" s="65"/>
      <c r="K283" s="65"/>
      <c r="L283" s="194"/>
      <c r="M283" s="237"/>
      <c r="N283" s="238"/>
      <c r="O283" s="193"/>
      <c r="P283" s="193"/>
      <c r="Q283" s="193"/>
      <c r="R283" s="193"/>
      <c r="S283" s="193"/>
      <c r="T283" s="193"/>
      <c r="U283" s="239"/>
      <c r="V283" s="239"/>
      <c r="W283" s="65"/>
      <c r="X283" s="65"/>
    </row>
    <row r="284" spans="2:24">
      <c r="B284" s="252"/>
      <c r="C284" s="192"/>
      <c r="D284" s="65"/>
      <c r="E284" s="236"/>
      <c r="F284" s="193"/>
      <c r="G284" s="65"/>
      <c r="H284" s="65"/>
      <c r="I284" s="65"/>
      <c r="J284" s="65"/>
      <c r="K284" s="65"/>
      <c r="L284" s="194"/>
      <c r="M284" s="237"/>
      <c r="N284" s="238"/>
      <c r="O284" s="193"/>
      <c r="P284" s="193"/>
      <c r="Q284" s="193"/>
      <c r="R284" s="193"/>
      <c r="S284" s="193"/>
      <c r="T284" s="193"/>
      <c r="U284" s="239"/>
      <c r="V284" s="239"/>
      <c r="W284" s="65"/>
      <c r="X284" s="65"/>
    </row>
    <row r="285" spans="2:24">
      <c r="B285" s="252"/>
      <c r="C285" s="192"/>
      <c r="D285" s="65"/>
      <c r="E285" s="236"/>
      <c r="F285" s="193"/>
      <c r="G285" s="65"/>
      <c r="H285" s="65"/>
      <c r="I285" s="65"/>
      <c r="J285" s="65"/>
      <c r="K285" s="65"/>
      <c r="L285" s="194"/>
      <c r="M285" s="237"/>
      <c r="N285" s="238"/>
      <c r="O285" s="193"/>
      <c r="P285" s="193"/>
      <c r="Q285" s="193"/>
      <c r="R285" s="193"/>
      <c r="S285" s="193"/>
      <c r="T285" s="193"/>
      <c r="U285" s="239"/>
      <c r="V285" s="239"/>
      <c r="W285" s="65"/>
      <c r="X285" s="65"/>
    </row>
    <row r="286" spans="2:24">
      <c r="B286" s="252"/>
      <c r="C286" s="192"/>
      <c r="D286" s="65"/>
      <c r="E286" s="236"/>
      <c r="F286" s="193"/>
      <c r="G286" s="65"/>
      <c r="H286" s="65"/>
      <c r="I286" s="65"/>
      <c r="J286" s="65"/>
      <c r="K286" s="65"/>
      <c r="L286" s="194"/>
      <c r="M286" s="237"/>
      <c r="N286" s="238"/>
      <c r="O286" s="193"/>
      <c r="P286" s="193"/>
      <c r="Q286" s="193"/>
      <c r="R286" s="193"/>
      <c r="S286" s="193"/>
      <c r="T286" s="193"/>
      <c r="U286" s="239"/>
      <c r="V286" s="239"/>
      <c r="W286" s="65"/>
      <c r="X286" s="65"/>
    </row>
    <row r="287" spans="2:24">
      <c r="B287" s="252"/>
      <c r="C287" s="192"/>
      <c r="D287" s="65"/>
      <c r="E287" s="236"/>
      <c r="F287" s="193"/>
      <c r="G287" s="65"/>
      <c r="H287" s="65"/>
      <c r="I287" s="65"/>
      <c r="J287" s="65"/>
      <c r="K287" s="65"/>
      <c r="L287" s="194"/>
      <c r="M287" s="237"/>
      <c r="N287" s="238"/>
      <c r="O287" s="193"/>
      <c r="P287" s="193"/>
      <c r="Q287" s="193"/>
      <c r="R287" s="193"/>
      <c r="S287" s="193"/>
      <c r="T287" s="193"/>
      <c r="U287" s="239"/>
      <c r="V287" s="239"/>
      <c r="W287" s="65"/>
      <c r="X287" s="65"/>
    </row>
    <row r="288" spans="2:24">
      <c r="B288" s="252"/>
      <c r="C288" s="192"/>
      <c r="D288" s="65"/>
      <c r="E288" s="236"/>
      <c r="F288" s="193"/>
      <c r="G288" s="65"/>
      <c r="H288" s="65"/>
      <c r="I288" s="65"/>
      <c r="J288" s="65"/>
      <c r="K288" s="65"/>
      <c r="L288" s="194"/>
      <c r="M288" s="237"/>
      <c r="N288" s="238"/>
      <c r="O288" s="193"/>
      <c r="P288" s="193"/>
      <c r="Q288" s="193"/>
      <c r="R288" s="193"/>
      <c r="S288" s="193"/>
      <c r="T288" s="193"/>
      <c r="U288" s="239"/>
      <c r="V288" s="239"/>
      <c r="W288" s="65"/>
      <c r="X288" s="65"/>
    </row>
    <row r="289" spans="2:24">
      <c r="B289" s="252"/>
      <c r="C289" s="192"/>
      <c r="D289" s="65"/>
      <c r="E289" s="236"/>
      <c r="F289" s="193"/>
      <c r="G289" s="65"/>
      <c r="H289" s="65"/>
      <c r="I289" s="65"/>
      <c r="J289" s="65"/>
      <c r="K289" s="65"/>
      <c r="L289" s="194"/>
      <c r="M289" s="237"/>
      <c r="N289" s="238"/>
      <c r="O289" s="193"/>
      <c r="P289" s="193"/>
      <c r="Q289" s="193"/>
      <c r="R289" s="193"/>
      <c r="S289" s="193"/>
      <c r="T289" s="193"/>
      <c r="U289" s="239"/>
      <c r="V289" s="239"/>
      <c r="W289" s="65"/>
      <c r="X289" s="65"/>
    </row>
    <row r="290" spans="2:24">
      <c r="B290" s="252"/>
      <c r="C290" s="192"/>
      <c r="D290" s="65"/>
      <c r="E290" s="236"/>
      <c r="F290" s="193"/>
      <c r="G290" s="65"/>
      <c r="H290" s="65"/>
      <c r="I290" s="65"/>
      <c r="J290" s="65"/>
      <c r="K290" s="65"/>
      <c r="L290" s="194"/>
      <c r="M290" s="237"/>
      <c r="N290" s="238"/>
      <c r="O290" s="193"/>
      <c r="P290" s="193"/>
      <c r="Q290" s="193"/>
      <c r="R290" s="193"/>
      <c r="S290" s="193"/>
      <c r="T290" s="193"/>
      <c r="U290" s="239"/>
      <c r="V290" s="239"/>
      <c r="W290" s="65"/>
      <c r="X290" s="65"/>
    </row>
    <row r="291" spans="2:24">
      <c r="B291" s="252"/>
      <c r="C291" s="192"/>
      <c r="D291" s="65"/>
      <c r="E291" s="236"/>
      <c r="F291" s="193"/>
      <c r="G291" s="65"/>
      <c r="H291" s="65"/>
      <c r="I291" s="65"/>
      <c r="J291" s="65"/>
      <c r="K291" s="65"/>
      <c r="L291" s="194"/>
      <c r="M291" s="237"/>
      <c r="N291" s="238"/>
      <c r="O291" s="193"/>
      <c r="P291" s="193"/>
      <c r="Q291" s="193"/>
      <c r="R291" s="193"/>
      <c r="S291" s="193"/>
      <c r="T291" s="193"/>
      <c r="U291" s="239"/>
      <c r="V291" s="239"/>
      <c r="W291" s="65"/>
      <c r="X291" s="65"/>
    </row>
    <row r="292" spans="2:24">
      <c r="B292" s="252"/>
      <c r="C292" s="192"/>
      <c r="D292" s="65"/>
      <c r="E292" s="236"/>
      <c r="F292" s="193"/>
      <c r="G292" s="65"/>
      <c r="H292" s="65"/>
      <c r="I292" s="65"/>
      <c r="J292" s="65"/>
      <c r="K292" s="65"/>
      <c r="L292" s="194"/>
      <c r="M292" s="237"/>
      <c r="N292" s="238"/>
      <c r="O292" s="193"/>
      <c r="P292" s="193"/>
      <c r="Q292" s="193"/>
      <c r="R292" s="193"/>
      <c r="S292" s="193"/>
      <c r="T292" s="193"/>
      <c r="U292" s="239"/>
      <c r="V292" s="239"/>
      <c r="W292" s="65"/>
      <c r="X292" s="65"/>
    </row>
    <row r="293" spans="2:24">
      <c r="B293" s="252"/>
      <c r="C293" s="192"/>
      <c r="D293" s="65"/>
      <c r="E293" s="236"/>
      <c r="F293" s="193"/>
      <c r="G293" s="65"/>
      <c r="H293" s="65"/>
      <c r="I293" s="65"/>
      <c r="J293" s="65"/>
      <c r="K293" s="65"/>
      <c r="L293" s="194"/>
      <c r="M293" s="237"/>
      <c r="N293" s="238"/>
      <c r="O293" s="193"/>
      <c r="P293" s="193"/>
      <c r="Q293" s="193"/>
      <c r="R293" s="193"/>
      <c r="S293" s="193"/>
      <c r="T293" s="193"/>
      <c r="U293" s="239"/>
      <c r="V293" s="239"/>
      <c r="W293" s="65"/>
      <c r="X293" s="65"/>
    </row>
    <row r="294" spans="2:24">
      <c r="B294" s="252"/>
      <c r="C294" s="192"/>
      <c r="D294" s="65"/>
      <c r="E294" s="236"/>
      <c r="F294" s="193"/>
      <c r="G294" s="65"/>
      <c r="H294" s="65"/>
      <c r="I294" s="65"/>
      <c r="J294" s="65"/>
      <c r="K294" s="65"/>
      <c r="L294" s="194"/>
      <c r="M294" s="237"/>
      <c r="N294" s="238"/>
      <c r="O294" s="193"/>
      <c r="P294" s="193"/>
      <c r="Q294" s="193"/>
      <c r="R294" s="193"/>
      <c r="S294" s="193"/>
      <c r="T294" s="193"/>
      <c r="U294" s="239"/>
      <c r="V294" s="239"/>
      <c r="W294" s="65"/>
      <c r="X294" s="65"/>
    </row>
    <row r="295" spans="2:24">
      <c r="B295" s="252"/>
      <c r="C295" s="192"/>
      <c r="D295" s="65"/>
      <c r="E295" s="236"/>
      <c r="F295" s="193"/>
      <c r="G295" s="65"/>
      <c r="H295" s="65"/>
      <c r="I295" s="65"/>
      <c r="J295" s="65"/>
      <c r="K295" s="65"/>
      <c r="L295" s="194"/>
      <c r="M295" s="237"/>
      <c r="N295" s="238"/>
      <c r="O295" s="193"/>
      <c r="P295" s="193"/>
      <c r="Q295" s="193"/>
      <c r="R295" s="193"/>
      <c r="S295" s="193"/>
      <c r="T295" s="193"/>
      <c r="U295" s="239"/>
      <c r="V295" s="239"/>
      <c r="W295" s="65"/>
      <c r="X295" s="65"/>
    </row>
    <row r="296" spans="2:24">
      <c r="B296" s="252"/>
      <c r="C296" s="192"/>
      <c r="D296" s="65"/>
      <c r="E296" s="236"/>
      <c r="F296" s="193"/>
      <c r="G296" s="65"/>
      <c r="H296" s="65"/>
      <c r="I296" s="65"/>
      <c r="J296" s="65"/>
      <c r="K296" s="65"/>
      <c r="L296" s="194"/>
      <c r="M296" s="237"/>
      <c r="N296" s="238"/>
      <c r="O296" s="193"/>
      <c r="P296" s="193"/>
      <c r="Q296" s="193"/>
      <c r="R296" s="193"/>
      <c r="S296" s="193"/>
      <c r="T296" s="193"/>
      <c r="U296" s="239"/>
      <c r="V296" s="239"/>
      <c r="W296" s="65"/>
      <c r="X296" s="65"/>
    </row>
    <row r="297" spans="2:24">
      <c r="B297" s="252"/>
      <c r="C297" s="192"/>
      <c r="D297" s="65"/>
      <c r="E297" s="236"/>
      <c r="F297" s="193"/>
      <c r="G297" s="65"/>
      <c r="H297" s="65"/>
      <c r="I297" s="65"/>
      <c r="J297" s="65"/>
      <c r="K297" s="65"/>
      <c r="L297" s="194"/>
      <c r="M297" s="237"/>
      <c r="N297" s="238"/>
      <c r="O297" s="193"/>
      <c r="P297" s="193"/>
      <c r="Q297" s="193"/>
      <c r="R297" s="193"/>
      <c r="S297" s="193"/>
      <c r="T297" s="193"/>
      <c r="U297" s="239"/>
      <c r="V297" s="239"/>
      <c r="W297" s="65"/>
      <c r="X297" s="65"/>
    </row>
    <row r="298" spans="2:24">
      <c r="B298" s="252"/>
      <c r="C298" s="192"/>
      <c r="D298" s="65"/>
      <c r="E298" s="236"/>
      <c r="F298" s="193"/>
      <c r="G298" s="65"/>
      <c r="H298" s="65"/>
      <c r="I298" s="65"/>
      <c r="J298" s="65"/>
      <c r="K298" s="65"/>
      <c r="L298" s="194"/>
      <c r="M298" s="237"/>
      <c r="N298" s="238"/>
      <c r="O298" s="193"/>
      <c r="P298" s="193"/>
      <c r="Q298" s="193"/>
      <c r="R298" s="193"/>
      <c r="S298" s="193"/>
      <c r="T298" s="193"/>
      <c r="U298" s="239"/>
      <c r="V298" s="239"/>
      <c r="W298" s="65"/>
      <c r="X298" s="65"/>
    </row>
    <row r="299" spans="2:24">
      <c r="B299" s="252"/>
      <c r="C299" s="192"/>
      <c r="D299" s="65"/>
      <c r="E299" s="236"/>
      <c r="F299" s="193"/>
      <c r="G299" s="65"/>
      <c r="H299" s="65"/>
      <c r="I299" s="65"/>
      <c r="J299" s="65"/>
      <c r="K299" s="65"/>
      <c r="L299" s="194"/>
      <c r="M299" s="237"/>
      <c r="N299" s="238"/>
      <c r="O299" s="193"/>
      <c r="P299" s="193"/>
      <c r="Q299" s="193"/>
      <c r="R299" s="193"/>
      <c r="S299" s="193"/>
      <c r="T299" s="193"/>
      <c r="U299" s="239"/>
      <c r="V299" s="239"/>
      <c r="W299" s="65"/>
      <c r="X299" s="65"/>
    </row>
    <row r="300" spans="2:24">
      <c r="B300" s="252"/>
      <c r="C300" s="192"/>
      <c r="D300" s="65"/>
      <c r="E300" s="236"/>
      <c r="F300" s="193"/>
      <c r="G300" s="65"/>
      <c r="H300" s="65"/>
      <c r="I300" s="65"/>
      <c r="J300" s="65"/>
      <c r="K300" s="65"/>
      <c r="L300" s="194"/>
      <c r="M300" s="237"/>
      <c r="N300" s="238"/>
      <c r="O300" s="193"/>
      <c r="P300" s="193"/>
      <c r="Q300" s="193"/>
      <c r="R300" s="193"/>
      <c r="S300" s="193"/>
      <c r="T300" s="193"/>
      <c r="U300" s="239"/>
      <c r="V300" s="239"/>
      <c r="W300" s="65"/>
      <c r="X300" s="65"/>
    </row>
    <row r="301" spans="2:24">
      <c r="B301" s="252"/>
      <c r="C301" s="192"/>
      <c r="D301" s="65"/>
      <c r="E301" s="236"/>
      <c r="F301" s="193"/>
      <c r="G301" s="65"/>
      <c r="H301" s="65"/>
      <c r="I301" s="65"/>
      <c r="J301" s="65"/>
      <c r="K301" s="65"/>
      <c r="L301" s="194"/>
      <c r="M301" s="237"/>
      <c r="N301" s="238"/>
      <c r="O301" s="193"/>
      <c r="P301" s="193"/>
      <c r="Q301" s="193"/>
      <c r="R301" s="193"/>
      <c r="S301" s="193"/>
      <c r="T301" s="193"/>
      <c r="U301" s="239"/>
      <c r="V301" s="239"/>
      <c r="W301" s="65"/>
      <c r="X301" s="65"/>
    </row>
    <row r="302" spans="2:24">
      <c r="B302" s="252"/>
      <c r="C302" s="192"/>
      <c r="D302" s="65"/>
      <c r="E302" s="236"/>
      <c r="F302" s="193"/>
      <c r="G302" s="65"/>
      <c r="H302" s="65"/>
      <c r="I302" s="65"/>
      <c r="J302" s="65"/>
      <c r="K302" s="65"/>
      <c r="L302" s="194"/>
      <c r="M302" s="237"/>
      <c r="N302" s="238"/>
      <c r="O302" s="193"/>
      <c r="P302" s="193"/>
      <c r="Q302" s="193"/>
      <c r="R302" s="193"/>
      <c r="S302" s="193"/>
      <c r="T302" s="193"/>
      <c r="U302" s="239"/>
      <c r="V302" s="239"/>
      <c r="W302" s="65"/>
      <c r="X302" s="65"/>
    </row>
    <row r="303" spans="2:24">
      <c r="B303" s="252"/>
      <c r="C303" s="192"/>
      <c r="D303" s="65"/>
      <c r="E303" s="236"/>
      <c r="F303" s="193"/>
      <c r="G303" s="65"/>
      <c r="H303" s="65"/>
      <c r="I303" s="65"/>
      <c r="J303" s="65"/>
      <c r="K303" s="65"/>
      <c r="L303" s="194"/>
      <c r="M303" s="237"/>
      <c r="N303" s="238"/>
      <c r="O303" s="193"/>
      <c r="P303" s="193"/>
      <c r="Q303" s="193"/>
      <c r="R303" s="193"/>
      <c r="S303" s="193"/>
      <c r="T303" s="193"/>
      <c r="U303" s="239"/>
      <c r="V303" s="239"/>
      <c r="W303" s="65"/>
      <c r="X303" s="65"/>
    </row>
    <row r="304" spans="2:24">
      <c r="B304" s="252"/>
      <c r="C304" s="192"/>
      <c r="D304" s="65"/>
      <c r="E304" s="236"/>
      <c r="F304" s="193"/>
      <c r="G304" s="65"/>
      <c r="H304" s="65"/>
      <c r="I304" s="65"/>
      <c r="J304" s="65"/>
      <c r="K304" s="65"/>
      <c r="L304" s="194"/>
      <c r="M304" s="237"/>
      <c r="N304" s="238"/>
      <c r="O304" s="193"/>
      <c r="P304" s="193"/>
      <c r="Q304" s="193"/>
      <c r="R304" s="193"/>
      <c r="S304" s="193"/>
      <c r="T304" s="193"/>
      <c r="U304" s="239"/>
      <c r="V304" s="239"/>
      <c r="W304" s="65"/>
      <c r="X304" s="65"/>
    </row>
    <row r="305" spans="2:241">
      <c r="B305" s="252"/>
      <c r="C305" s="192"/>
      <c r="D305" s="65"/>
      <c r="E305" s="236"/>
      <c r="F305" s="193"/>
      <c r="G305" s="65"/>
      <c r="H305" s="65"/>
      <c r="I305" s="65"/>
      <c r="J305" s="65"/>
      <c r="K305" s="65"/>
      <c r="L305" s="194"/>
      <c r="M305" s="237"/>
      <c r="N305" s="238"/>
      <c r="O305" s="193"/>
      <c r="P305" s="193"/>
      <c r="Q305" s="193"/>
      <c r="R305" s="193"/>
      <c r="S305" s="193"/>
      <c r="T305" s="193"/>
      <c r="U305" s="239"/>
      <c r="V305" s="239"/>
      <c r="W305" s="65"/>
      <c r="X305" s="65"/>
    </row>
    <row r="306" spans="2:241">
      <c r="B306" s="252"/>
      <c r="C306" s="192"/>
      <c r="D306" s="65"/>
      <c r="E306" s="236"/>
      <c r="F306" s="193"/>
      <c r="G306" s="65"/>
      <c r="H306" s="65"/>
      <c r="I306" s="65"/>
      <c r="J306" s="65"/>
      <c r="K306" s="65"/>
      <c r="L306" s="194"/>
      <c r="M306" s="237"/>
      <c r="N306" s="238"/>
      <c r="O306" s="193"/>
      <c r="P306" s="193"/>
      <c r="Q306" s="193"/>
      <c r="R306" s="193"/>
      <c r="S306" s="193"/>
      <c r="T306" s="193"/>
      <c r="U306" s="239"/>
      <c r="V306" s="239"/>
      <c r="W306" s="65"/>
      <c r="X306" s="65"/>
    </row>
    <row r="307" spans="2:241">
      <c r="B307" s="252"/>
      <c r="C307" s="192"/>
      <c r="D307" s="65"/>
      <c r="E307" s="236"/>
      <c r="F307" s="193"/>
      <c r="G307" s="65"/>
      <c r="H307" s="65"/>
      <c r="I307" s="65"/>
      <c r="J307" s="65"/>
      <c r="K307" s="65"/>
      <c r="L307" s="194"/>
      <c r="M307" s="237"/>
      <c r="N307" s="238"/>
      <c r="O307" s="193"/>
      <c r="P307" s="193"/>
      <c r="Q307" s="193"/>
      <c r="R307" s="193"/>
      <c r="S307" s="193"/>
      <c r="T307" s="193"/>
      <c r="U307" s="239"/>
      <c r="V307" s="239"/>
      <c r="W307" s="65"/>
      <c r="X307" s="65"/>
      <c r="EF307" s="195"/>
      <c r="EG307" s="195"/>
      <c r="EH307" s="195"/>
      <c r="EI307" s="195"/>
      <c r="EJ307" s="195"/>
      <c r="EK307" s="195"/>
      <c r="EL307" s="195"/>
      <c r="EM307" s="195"/>
      <c r="EN307" s="195"/>
      <c r="EO307" s="195"/>
      <c r="EP307" s="195"/>
      <c r="EQ307" s="195"/>
      <c r="ER307" s="195"/>
      <c r="ES307" s="195"/>
      <c r="ET307" s="195"/>
      <c r="EU307" s="195"/>
      <c r="EV307" s="195"/>
      <c r="EW307" s="195"/>
      <c r="EX307" s="195"/>
      <c r="EY307" s="195"/>
      <c r="EZ307" s="195"/>
      <c r="FA307" s="195"/>
    </row>
    <row r="308" spans="2:241">
      <c r="B308" s="252"/>
      <c r="C308" s="192"/>
      <c r="D308" s="65"/>
      <c r="E308" s="236"/>
      <c r="F308" s="193"/>
      <c r="G308" s="65"/>
      <c r="H308" s="65"/>
      <c r="I308" s="65"/>
      <c r="J308" s="65"/>
      <c r="K308" s="65"/>
      <c r="L308" s="194"/>
      <c r="M308" s="237"/>
      <c r="N308" s="238"/>
      <c r="O308" s="193"/>
      <c r="P308" s="193"/>
      <c r="Q308" s="193"/>
      <c r="R308" s="193"/>
      <c r="S308" s="193"/>
      <c r="T308" s="193"/>
      <c r="U308" s="239"/>
      <c r="V308" s="239"/>
      <c r="W308" s="65"/>
      <c r="X308" s="65"/>
      <c r="Y308" s="195"/>
      <c r="Z308" s="195"/>
      <c r="AA308" s="195"/>
      <c r="AB308" s="195"/>
      <c r="AC308" s="195"/>
      <c r="AD308" s="195"/>
      <c r="AE308" s="195"/>
      <c r="AF308" s="195"/>
      <c r="AG308" s="195"/>
      <c r="AH308" s="195"/>
      <c r="AI308" s="195"/>
      <c r="AJ308" s="195"/>
      <c r="AK308" s="195"/>
      <c r="AL308" s="195"/>
      <c r="AM308" s="195"/>
      <c r="AN308" s="195"/>
      <c r="AP308" s="195"/>
      <c r="AQ308" s="195"/>
      <c r="AR308" s="195"/>
      <c r="AS308" s="195"/>
      <c r="AT308" s="195"/>
      <c r="AU308" s="195"/>
      <c r="AV308" s="195"/>
      <c r="AW308" s="195"/>
      <c r="AX308" s="195"/>
      <c r="AY308" s="195"/>
      <c r="AZ308" s="195"/>
      <c r="BA308" s="195"/>
      <c r="BB308" s="195"/>
      <c r="BC308" s="195"/>
      <c r="BD308" s="195"/>
      <c r="BE308" s="195"/>
      <c r="BF308" s="195"/>
      <c r="BG308" s="195"/>
      <c r="BH308" s="195"/>
      <c r="BI308" s="195"/>
      <c r="BJ308" s="195"/>
      <c r="BK308" s="195"/>
      <c r="BM308" s="195"/>
      <c r="BN308" s="195"/>
      <c r="BO308" s="195"/>
      <c r="BP308" s="195"/>
      <c r="BQ308" s="195"/>
      <c r="BR308" s="195"/>
      <c r="BS308" s="195"/>
      <c r="BT308" s="195"/>
      <c r="BU308" s="195"/>
      <c r="BV308" s="195"/>
      <c r="BW308" s="195"/>
      <c r="BX308" s="195"/>
      <c r="BY308" s="195"/>
      <c r="BZ308" s="195"/>
      <c r="CA308" s="195"/>
      <c r="CB308" s="195"/>
      <c r="CC308" s="195"/>
      <c r="CD308" s="195"/>
      <c r="CE308" s="195"/>
      <c r="CF308" s="195"/>
      <c r="CG308" s="195"/>
      <c r="CH308" s="195"/>
      <c r="CJ308" s="195"/>
      <c r="CK308" s="195"/>
      <c r="CL308" s="195"/>
      <c r="CM308" s="195"/>
      <c r="CN308" s="195"/>
      <c r="CO308" s="195"/>
      <c r="CP308" s="195"/>
      <c r="CQ308" s="195"/>
      <c r="CR308" s="195"/>
      <c r="CS308" s="195"/>
      <c r="CT308" s="195"/>
      <c r="CU308" s="195"/>
      <c r="CV308" s="195"/>
      <c r="CW308" s="195"/>
      <c r="CX308" s="195"/>
      <c r="CY308" s="195"/>
      <c r="CZ308" s="195"/>
      <c r="DA308" s="195"/>
      <c r="DB308" s="195"/>
      <c r="DC308" s="195"/>
      <c r="DD308" s="195"/>
      <c r="DE308" s="195"/>
      <c r="DG308" s="195"/>
      <c r="DH308" s="195"/>
      <c r="DI308" s="195"/>
      <c r="DJ308" s="195"/>
      <c r="DK308" s="195"/>
      <c r="DL308" s="195"/>
      <c r="DM308" s="195"/>
      <c r="DN308" s="195"/>
      <c r="DO308" s="195"/>
      <c r="DP308" s="195"/>
      <c r="DQ308" s="195"/>
      <c r="DR308" s="195"/>
      <c r="DS308" s="195"/>
      <c r="DT308" s="195"/>
      <c r="DU308" s="195"/>
      <c r="DV308" s="195"/>
      <c r="DW308" s="195"/>
      <c r="DX308" s="195"/>
      <c r="DY308" s="195"/>
      <c r="DZ308" s="195"/>
      <c r="EA308" s="195"/>
      <c r="EB308" s="195"/>
      <c r="EF308" s="195"/>
      <c r="EG308" s="195"/>
      <c r="EH308" s="195"/>
      <c r="EI308" s="195"/>
      <c r="EJ308" s="195"/>
      <c r="EK308" s="195"/>
      <c r="EL308" s="195"/>
      <c r="EM308" s="195"/>
      <c r="EN308" s="195"/>
      <c r="EO308" s="195"/>
      <c r="EP308" s="195"/>
      <c r="EQ308" s="195"/>
      <c r="ER308" s="195"/>
      <c r="ES308" s="195"/>
      <c r="ET308" s="195"/>
      <c r="EU308" s="195"/>
      <c r="EV308" s="195"/>
      <c r="EW308" s="195"/>
      <c r="EX308" s="195"/>
      <c r="EY308" s="195"/>
      <c r="EZ308" s="195"/>
      <c r="FA308" s="195"/>
      <c r="FD308" s="195"/>
      <c r="FE308" s="195"/>
      <c r="FF308" s="195"/>
      <c r="FG308" s="195"/>
      <c r="FH308" s="195"/>
      <c r="FI308" s="195"/>
      <c r="FJ308" s="195"/>
      <c r="FK308" s="195"/>
      <c r="FL308" s="195"/>
      <c r="FM308" s="195"/>
      <c r="FN308" s="195"/>
      <c r="FO308" s="195"/>
      <c r="FP308" s="195"/>
      <c r="FQ308" s="195"/>
      <c r="FR308" s="195"/>
      <c r="FS308" s="195"/>
      <c r="FT308" s="195"/>
      <c r="FU308" s="195"/>
      <c r="FV308" s="195"/>
      <c r="FW308" s="195"/>
      <c r="FX308" s="195"/>
      <c r="FY308" s="195"/>
    </row>
    <row r="309" spans="2:241">
      <c r="B309" s="252"/>
      <c r="C309" s="192"/>
      <c r="D309" s="65"/>
      <c r="E309" s="236"/>
      <c r="F309" s="193"/>
      <c r="G309" s="65"/>
      <c r="H309" s="65"/>
      <c r="I309" s="65"/>
      <c r="J309" s="65"/>
      <c r="K309" s="65"/>
      <c r="L309" s="194"/>
      <c r="M309" s="237"/>
      <c r="N309" s="238"/>
      <c r="O309" s="193"/>
      <c r="P309" s="193"/>
      <c r="Q309" s="193"/>
      <c r="R309" s="193"/>
      <c r="S309" s="193"/>
      <c r="T309" s="193"/>
      <c r="U309" s="239"/>
      <c r="V309" s="239"/>
      <c r="W309" s="65"/>
      <c r="X309" s="65"/>
      <c r="Y309" s="195"/>
      <c r="Z309" s="195"/>
      <c r="AA309" s="195"/>
      <c r="AB309" s="195"/>
      <c r="AC309" s="195"/>
      <c r="AD309" s="195"/>
      <c r="AE309" s="195"/>
      <c r="AF309" s="195"/>
      <c r="AG309" s="195"/>
      <c r="AH309" s="195"/>
      <c r="AI309" s="195"/>
      <c r="AJ309" s="195"/>
      <c r="AK309" s="195"/>
      <c r="AL309" s="195"/>
      <c r="AM309" s="195"/>
      <c r="AO309" s="195"/>
      <c r="AP309" s="195"/>
      <c r="AQ309" s="195"/>
      <c r="AR309" s="195"/>
      <c r="AS309" s="195"/>
      <c r="AT309" s="195"/>
      <c r="AU309" s="195"/>
      <c r="AV309" s="195"/>
      <c r="AW309" s="195"/>
      <c r="AX309" s="195"/>
      <c r="AY309" s="195"/>
      <c r="AZ309" s="195"/>
      <c r="BA309" s="195"/>
      <c r="BB309" s="195"/>
      <c r="BC309" s="195"/>
      <c r="BD309" s="195"/>
      <c r="BE309" s="195"/>
      <c r="BF309" s="195"/>
      <c r="BG309" s="195"/>
      <c r="BH309" s="195"/>
      <c r="BI309" s="195"/>
      <c r="BJ309" s="195"/>
      <c r="BL309" s="195"/>
      <c r="BM309" s="195"/>
      <c r="BN309" s="195"/>
      <c r="BO309" s="195"/>
      <c r="BP309" s="195"/>
      <c r="BQ309" s="195"/>
      <c r="BR309" s="195"/>
      <c r="BS309" s="195"/>
      <c r="BT309" s="195"/>
      <c r="BU309" s="195"/>
      <c r="BV309" s="195"/>
      <c r="BW309" s="195"/>
      <c r="BX309" s="195"/>
      <c r="BY309" s="195"/>
      <c r="BZ309" s="195"/>
      <c r="CA309" s="195"/>
      <c r="CB309" s="195"/>
      <c r="CC309" s="195"/>
      <c r="CD309" s="195"/>
      <c r="CE309" s="195"/>
      <c r="CF309" s="195"/>
      <c r="CG309" s="195"/>
      <c r="CI309" s="195"/>
      <c r="CJ309" s="195"/>
      <c r="CK309" s="195"/>
      <c r="CL309" s="195"/>
      <c r="CM309" s="195"/>
      <c r="CN309" s="195"/>
      <c r="CO309" s="195"/>
      <c r="CP309" s="195"/>
      <c r="CQ309" s="195"/>
      <c r="CR309" s="195"/>
      <c r="CS309" s="195"/>
      <c r="CT309" s="195"/>
      <c r="CU309" s="195"/>
      <c r="CV309" s="195"/>
      <c r="CW309" s="195"/>
      <c r="CX309" s="195"/>
      <c r="CY309" s="195"/>
      <c r="CZ309" s="195"/>
      <c r="DA309" s="195"/>
      <c r="DB309" s="195"/>
      <c r="DC309" s="195"/>
      <c r="DD309" s="195"/>
      <c r="DF309" s="195"/>
      <c r="DG309" s="195"/>
      <c r="DH309" s="195"/>
      <c r="DI309" s="195"/>
      <c r="DJ309" s="195"/>
      <c r="DK309" s="195"/>
      <c r="DL309" s="195"/>
      <c r="DM309" s="195"/>
      <c r="DN309" s="195"/>
      <c r="DO309" s="195"/>
      <c r="DP309" s="195"/>
      <c r="DQ309" s="195"/>
      <c r="DR309" s="195"/>
      <c r="DS309" s="195"/>
      <c r="DT309" s="195"/>
      <c r="DU309" s="195"/>
      <c r="DV309" s="195"/>
      <c r="DW309" s="195"/>
      <c r="DX309" s="195"/>
      <c r="DY309" s="195"/>
      <c r="DZ309" s="195"/>
      <c r="EA309" s="195"/>
      <c r="EC309" s="195"/>
      <c r="ED309" s="195"/>
      <c r="EE309" s="195"/>
      <c r="EF309" s="195"/>
      <c r="EG309" s="195"/>
      <c r="EH309" s="195"/>
      <c r="EI309" s="195"/>
      <c r="EJ309" s="195"/>
      <c r="EK309" s="195"/>
      <c r="EL309" s="195"/>
      <c r="EM309" s="195"/>
      <c r="EN309" s="195"/>
      <c r="EO309" s="195"/>
      <c r="EP309" s="195"/>
      <c r="EQ309" s="195"/>
      <c r="ER309" s="195"/>
      <c r="ES309" s="195"/>
      <c r="ET309" s="195"/>
      <c r="EU309" s="195"/>
      <c r="EV309" s="195"/>
      <c r="EW309" s="195"/>
      <c r="EX309" s="195"/>
      <c r="FZ309" s="195"/>
      <c r="GA309" s="195"/>
      <c r="GB309" s="195"/>
      <c r="GC309" s="195"/>
      <c r="GD309" s="195"/>
      <c r="GE309" s="195"/>
      <c r="GF309" s="195"/>
      <c r="GG309" s="195"/>
      <c r="GH309" s="195"/>
      <c r="GI309" s="195"/>
      <c r="GJ309" s="195"/>
      <c r="GK309" s="195"/>
      <c r="GL309" s="195"/>
      <c r="GM309" s="195"/>
      <c r="GN309" s="195"/>
      <c r="GO309" s="195"/>
      <c r="GP309" s="195"/>
      <c r="GQ309" s="195"/>
      <c r="GR309" s="195"/>
      <c r="GS309" s="195"/>
      <c r="GT309" s="195"/>
      <c r="GU309" s="195"/>
    </row>
    <row r="310" spans="2:241">
      <c r="B310" s="252"/>
      <c r="C310" s="192"/>
      <c r="D310" s="65"/>
      <c r="E310" s="236"/>
      <c r="F310" s="193"/>
      <c r="G310" s="65"/>
      <c r="H310" s="65"/>
      <c r="I310" s="65"/>
      <c r="J310" s="65"/>
      <c r="K310" s="65"/>
      <c r="L310" s="194"/>
      <c r="M310" s="237"/>
      <c r="N310" s="238"/>
      <c r="O310" s="193"/>
      <c r="P310" s="193"/>
      <c r="Q310" s="193"/>
      <c r="R310" s="193"/>
      <c r="S310" s="193"/>
      <c r="T310" s="193"/>
      <c r="U310" s="239"/>
      <c r="V310" s="239"/>
      <c r="W310" s="65"/>
      <c r="X310" s="65"/>
    </row>
    <row r="311" spans="2:241">
      <c r="B311" s="252"/>
      <c r="C311" s="192"/>
      <c r="D311" s="65"/>
      <c r="E311" s="236"/>
      <c r="F311" s="193"/>
      <c r="G311" s="65"/>
      <c r="H311" s="65"/>
      <c r="I311" s="65"/>
      <c r="J311" s="65"/>
      <c r="K311" s="65"/>
      <c r="L311" s="194"/>
      <c r="M311" s="237"/>
      <c r="N311" s="238"/>
      <c r="O311" s="193"/>
      <c r="P311" s="193"/>
      <c r="Q311" s="193"/>
      <c r="R311" s="193"/>
      <c r="S311" s="193"/>
      <c r="T311" s="193"/>
      <c r="U311" s="239"/>
      <c r="V311" s="239"/>
      <c r="W311" s="65"/>
      <c r="X311" s="65"/>
    </row>
    <row r="312" spans="2:241">
      <c r="B312" s="252"/>
      <c r="C312" s="192"/>
      <c r="D312" s="65"/>
      <c r="E312" s="236"/>
      <c r="F312" s="193"/>
      <c r="G312" s="65"/>
      <c r="H312" s="65"/>
      <c r="I312" s="65"/>
      <c r="J312" s="65"/>
      <c r="K312" s="65"/>
      <c r="L312" s="194"/>
      <c r="M312" s="237"/>
      <c r="N312" s="238"/>
      <c r="O312" s="193"/>
      <c r="P312" s="193"/>
      <c r="Q312" s="193"/>
      <c r="R312" s="193"/>
      <c r="S312" s="193"/>
      <c r="T312" s="193"/>
      <c r="U312" s="239"/>
      <c r="V312" s="239"/>
      <c r="W312" s="65"/>
      <c r="X312" s="65"/>
      <c r="AF312" s="195"/>
      <c r="AG312" s="195"/>
      <c r="AH312" s="195"/>
      <c r="AI312" s="195"/>
      <c r="AJ312" s="195"/>
      <c r="AK312" s="195"/>
      <c r="AL312" s="195"/>
      <c r="AM312" s="195"/>
      <c r="AN312" s="195"/>
      <c r="AO312" s="195"/>
      <c r="AP312" s="195"/>
      <c r="AQ312" s="195"/>
      <c r="AR312" s="195"/>
      <c r="AS312" s="195"/>
      <c r="AT312" s="195"/>
      <c r="AU312" s="195"/>
      <c r="AV312" s="195"/>
      <c r="AW312" s="195"/>
      <c r="AX312" s="195"/>
      <c r="AY312" s="195"/>
      <c r="AZ312" s="195"/>
      <c r="BA312" s="195"/>
      <c r="GM312" s="195"/>
      <c r="GN312" s="195"/>
      <c r="GO312" s="195"/>
      <c r="GP312" s="195"/>
      <c r="GQ312" s="195"/>
      <c r="GR312" s="195"/>
      <c r="GS312" s="195"/>
      <c r="GT312" s="195"/>
      <c r="GU312" s="195"/>
      <c r="GV312" s="195"/>
      <c r="GW312" s="195"/>
      <c r="GX312" s="195"/>
      <c r="GY312" s="195"/>
      <c r="GZ312" s="195"/>
      <c r="HA312" s="195"/>
      <c r="HB312" s="195"/>
      <c r="HC312" s="195"/>
      <c r="HD312" s="195"/>
      <c r="HE312" s="195"/>
      <c r="HF312" s="195"/>
      <c r="HG312" s="195"/>
      <c r="HH312" s="195"/>
    </row>
    <row r="313" spans="2:241">
      <c r="B313" s="252"/>
      <c r="C313" s="192"/>
      <c r="D313" s="65"/>
      <c r="E313" s="236"/>
      <c r="F313" s="193"/>
      <c r="G313" s="65"/>
      <c r="H313" s="65"/>
      <c r="I313" s="65"/>
      <c r="J313" s="65"/>
      <c r="K313" s="65"/>
      <c r="L313" s="194"/>
      <c r="M313" s="237"/>
      <c r="N313" s="238"/>
      <c r="O313" s="193"/>
      <c r="P313" s="193"/>
      <c r="Q313" s="193"/>
      <c r="R313" s="193"/>
      <c r="S313" s="193"/>
      <c r="T313" s="193"/>
      <c r="U313" s="239"/>
      <c r="V313" s="239"/>
      <c r="W313" s="65"/>
      <c r="X313" s="65"/>
      <c r="AF313" s="195"/>
      <c r="AG313" s="195"/>
      <c r="AH313" s="195"/>
      <c r="AI313" s="195"/>
      <c r="AJ313" s="195"/>
      <c r="AK313" s="195"/>
      <c r="AL313" s="195"/>
      <c r="AM313" s="195"/>
      <c r="AN313" s="195"/>
      <c r="AO313" s="195"/>
      <c r="AP313" s="195"/>
      <c r="AQ313" s="195"/>
      <c r="AR313" s="195"/>
      <c r="AS313" s="195"/>
      <c r="AT313" s="195"/>
      <c r="AU313" s="195"/>
      <c r="AV313" s="195"/>
      <c r="AW313" s="195"/>
      <c r="AX313" s="195"/>
      <c r="AY313" s="195"/>
      <c r="AZ313" s="195"/>
      <c r="BA313" s="195"/>
      <c r="BC313" s="195"/>
      <c r="BD313" s="195"/>
      <c r="BE313" s="195"/>
      <c r="BF313" s="195"/>
      <c r="BG313" s="195"/>
      <c r="BH313" s="195"/>
      <c r="BI313" s="195"/>
      <c r="BJ313" s="195"/>
      <c r="BK313" s="195"/>
      <c r="BL313" s="195"/>
      <c r="BM313" s="195"/>
      <c r="BN313" s="195"/>
      <c r="BO313" s="195"/>
      <c r="BP313" s="195"/>
      <c r="BQ313" s="195"/>
      <c r="BR313" s="195"/>
      <c r="BS313" s="195"/>
      <c r="BT313" s="195"/>
      <c r="BU313" s="195"/>
      <c r="BV313" s="195"/>
      <c r="BW313" s="195"/>
      <c r="BX313" s="195"/>
      <c r="BZ313" s="195"/>
      <c r="CA313" s="195"/>
      <c r="CB313" s="195"/>
      <c r="CC313" s="195"/>
      <c r="CD313" s="195"/>
      <c r="CE313" s="195"/>
      <c r="CF313" s="195"/>
      <c r="CG313" s="195"/>
      <c r="CH313" s="195"/>
      <c r="CI313" s="195"/>
      <c r="CJ313" s="195"/>
      <c r="CK313" s="195"/>
      <c r="CL313" s="195"/>
      <c r="CM313" s="195"/>
      <c r="CN313" s="195"/>
      <c r="CO313" s="195"/>
      <c r="CP313" s="195"/>
      <c r="CQ313" s="195"/>
      <c r="CR313" s="195"/>
      <c r="CS313" s="195"/>
      <c r="CT313" s="195"/>
      <c r="CU313" s="195"/>
      <c r="CW313" s="195"/>
      <c r="CX313" s="195"/>
      <c r="CY313" s="195"/>
      <c r="CZ313" s="195"/>
      <c r="DA313" s="195"/>
      <c r="DB313" s="195"/>
      <c r="DC313" s="195"/>
      <c r="DD313" s="195"/>
      <c r="DE313" s="195"/>
      <c r="DF313" s="195"/>
      <c r="DG313" s="195"/>
      <c r="DH313" s="195"/>
      <c r="DI313" s="195"/>
      <c r="DJ313" s="195"/>
      <c r="DK313" s="195"/>
      <c r="DL313" s="195"/>
      <c r="DM313" s="195"/>
      <c r="DN313" s="195"/>
      <c r="DO313" s="195"/>
      <c r="DP313" s="195"/>
      <c r="DQ313" s="195"/>
      <c r="DR313" s="195"/>
      <c r="DT313" s="195"/>
      <c r="DU313" s="195"/>
      <c r="DV313" s="195"/>
      <c r="DW313" s="195"/>
      <c r="DX313" s="195"/>
      <c r="DY313" s="195"/>
      <c r="DZ313" s="195"/>
      <c r="EA313" s="195"/>
      <c r="EB313" s="195"/>
      <c r="EC313" s="195"/>
      <c r="ED313" s="195"/>
      <c r="EE313" s="195"/>
      <c r="EF313" s="195"/>
      <c r="EG313" s="195"/>
      <c r="EH313" s="195"/>
      <c r="EI313" s="195"/>
      <c r="EJ313" s="195"/>
      <c r="EK313" s="195"/>
      <c r="EL313" s="195"/>
      <c r="EM313" s="195"/>
      <c r="EN313" s="195"/>
      <c r="EO313" s="195"/>
      <c r="EQ313" s="195"/>
      <c r="ER313" s="195"/>
      <c r="ES313" s="195"/>
      <c r="ET313" s="195"/>
      <c r="EU313" s="195"/>
      <c r="EV313" s="195"/>
      <c r="EW313" s="195"/>
      <c r="EX313" s="195"/>
      <c r="EY313" s="195"/>
      <c r="EZ313" s="195"/>
      <c r="FA313" s="195"/>
      <c r="FB313" s="195"/>
      <c r="FC313" s="195"/>
      <c r="FD313" s="195"/>
      <c r="FE313" s="195"/>
      <c r="FF313" s="195"/>
      <c r="FG313" s="195"/>
      <c r="FH313" s="195"/>
      <c r="FI313" s="195"/>
      <c r="FJ313" s="195"/>
      <c r="FK313" s="195"/>
      <c r="FL313" s="195"/>
      <c r="FN313" s="195"/>
      <c r="FO313" s="195"/>
      <c r="FP313" s="195"/>
      <c r="FQ313" s="195"/>
      <c r="FR313" s="195"/>
      <c r="FS313" s="195"/>
      <c r="FT313" s="195"/>
      <c r="FU313" s="195"/>
      <c r="FV313" s="195"/>
      <c r="FW313" s="195"/>
      <c r="FX313" s="195"/>
      <c r="FY313" s="195"/>
      <c r="FZ313" s="195"/>
      <c r="GA313" s="195"/>
      <c r="GB313" s="195"/>
      <c r="GC313" s="195"/>
      <c r="GD313" s="195"/>
      <c r="GE313" s="195"/>
      <c r="GF313" s="195"/>
      <c r="GG313" s="195"/>
      <c r="GH313" s="195"/>
      <c r="GI313" s="195"/>
      <c r="HK313" s="195"/>
      <c r="HL313" s="195"/>
      <c r="HM313" s="195"/>
      <c r="HN313" s="195"/>
      <c r="HO313" s="195"/>
      <c r="HP313" s="195"/>
      <c r="HQ313" s="195"/>
      <c r="HR313" s="195"/>
      <c r="HS313" s="195"/>
      <c r="HT313" s="195"/>
      <c r="HU313" s="195"/>
      <c r="HV313" s="195"/>
      <c r="HW313" s="195"/>
      <c r="HX313" s="195"/>
      <c r="HY313" s="195"/>
      <c r="HZ313" s="195"/>
      <c r="IA313" s="195"/>
      <c r="IB313" s="195"/>
      <c r="IC313" s="195"/>
      <c r="ID313" s="195"/>
      <c r="IE313" s="195"/>
      <c r="IF313" s="195"/>
    </row>
    <row r="314" spans="2:241">
      <c r="B314" s="252"/>
      <c r="C314" s="192"/>
      <c r="D314" s="65"/>
      <c r="E314" s="236"/>
      <c r="F314" s="193"/>
      <c r="G314" s="65"/>
      <c r="H314" s="65"/>
      <c r="I314" s="65"/>
      <c r="J314" s="65"/>
      <c r="K314" s="65"/>
      <c r="L314" s="194"/>
      <c r="M314" s="237"/>
      <c r="N314" s="238"/>
      <c r="O314" s="193"/>
      <c r="P314" s="193"/>
      <c r="Q314" s="193"/>
      <c r="R314" s="193"/>
      <c r="S314" s="193"/>
      <c r="T314" s="193"/>
      <c r="U314" s="239"/>
      <c r="V314" s="239"/>
      <c r="W314" s="65"/>
      <c r="X314" s="65"/>
      <c r="Y314" s="195"/>
      <c r="Z314" s="195"/>
      <c r="AA314" s="195"/>
      <c r="AB314" s="195"/>
      <c r="AC314" s="195"/>
      <c r="AD314" s="195"/>
    </row>
    <row r="315" spans="2:241">
      <c r="B315" s="252"/>
      <c r="C315" s="192"/>
      <c r="D315" s="65"/>
      <c r="E315" s="236"/>
      <c r="F315" s="193"/>
      <c r="G315" s="65"/>
      <c r="H315" s="65"/>
      <c r="I315" s="65"/>
      <c r="J315" s="65"/>
      <c r="K315" s="65"/>
      <c r="L315" s="194"/>
      <c r="M315" s="237"/>
      <c r="N315" s="238"/>
      <c r="O315" s="193"/>
      <c r="P315" s="193"/>
      <c r="Q315" s="193"/>
      <c r="R315" s="193"/>
      <c r="S315" s="193"/>
      <c r="T315" s="193"/>
      <c r="U315" s="239"/>
      <c r="V315" s="239"/>
      <c r="W315" s="65"/>
      <c r="X315" s="65"/>
      <c r="Y315" s="195"/>
      <c r="Z315" s="195"/>
      <c r="AA315" s="195"/>
      <c r="AB315" s="195"/>
      <c r="AC315" s="195"/>
      <c r="AD315" s="195"/>
    </row>
    <row r="316" spans="2:241">
      <c r="B316" s="252"/>
      <c r="C316" s="192"/>
      <c r="D316" s="65"/>
      <c r="E316" s="236"/>
      <c r="F316" s="193"/>
      <c r="G316" s="65"/>
      <c r="H316" s="65"/>
      <c r="I316" s="65"/>
      <c r="J316" s="65"/>
      <c r="K316" s="65"/>
      <c r="L316" s="194"/>
      <c r="M316" s="237"/>
      <c r="N316" s="238"/>
      <c r="O316" s="193"/>
      <c r="P316" s="193"/>
      <c r="Q316" s="193"/>
      <c r="R316" s="193"/>
      <c r="S316" s="193"/>
      <c r="T316" s="193"/>
      <c r="U316" s="239"/>
      <c r="V316" s="239"/>
      <c r="W316" s="65"/>
      <c r="X316" s="65"/>
      <c r="Y316" s="65"/>
      <c r="GN316" s="195"/>
      <c r="GO316" s="195"/>
      <c r="GP316" s="195"/>
      <c r="GQ316" s="195"/>
      <c r="GR316" s="195"/>
      <c r="GS316" s="195"/>
      <c r="GT316" s="195"/>
      <c r="GU316" s="195"/>
      <c r="GV316" s="195"/>
      <c r="GW316" s="195"/>
      <c r="GX316" s="195"/>
      <c r="GY316" s="195"/>
      <c r="GZ316" s="195"/>
      <c r="HA316" s="195"/>
      <c r="HB316" s="195"/>
      <c r="HC316" s="195"/>
      <c r="HD316" s="195"/>
      <c r="HE316" s="195"/>
      <c r="HF316" s="195"/>
      <c r="HG316" s="195"/>
      <c r="HH316" s="195"/>
      <c r="HI316" s="195"/>
    </row>
    <row r="317" spans="2:241">
      <c r="B317" s="252"/>
      <c r="C317" s="192"/>
      <c r="D317" s="65"/>
      <c r="E317" s="236"/>
      <c r="F317" s="193"/>
      <c r="G317" s="65"/>
      <c r="H317" s="65"/>
      <c r="I317" s="65"/>
      <c r="J317" s="65"/>
      <c r="K317" s="65"/>
      <c r="L317" s="194"/>
      <c r="M317" s="237"/>
      <c r="N317" s="238"/>
      <c r="O317" s="193"/>
      <c r="P317" s="193"/>
      <c r="Q317" s="193"/>
      <c r="R317" s="193"/>
      <c r="S317" s="193"/>
      <c r="T317" s="193"/>
      <c r="U317" s="239"/>
      <c r="V317" s="239"/>
      <c r="W317" s="65"/>
      <c r="X317" s="65"/>
      <c r="Y317" s="65"/>
      <c r="AG317" s="195"/>
      <c r="AH317" s="195"/>
      <c r="AI317" s="195"/>
      <c r="AJ317" s="195"/>
      <c r="AK317" s="195"/>
      <c r="AL317" s="195"/>
      <c r="AM317" s="195"/>
      <c r="AN317" s="195"/>
      <c r="AO317" s="195"/>
      <c r="AP317" s="195"/>
      <c r="AQ317" s="195"/>
      <c r="AR317" s="195"/>
      <c r="AS317" s="195"/>
      <c r="AT317" s="195"/>
      <c r="AU317" s="195"/>
      <c r="AV317" s="195"/>
      <c r="AW317" s="195"/>
      <c r="AX317" s="195"/>
      <c r="AY317" s="195"/>
      <c r="AZ317" s="195"/>
      <c r="BA317" s="195"/>
      <c r="BB317" s="195"/>
      <c r="BD317" s="195"/>
      <c r="BE317" s="195"/>
      <c r="BF317" s="195"/>
      <c r="BG317" s="195"/>
      <c r="BH317" s="195"/>
      <c r="BI317" s="195"/>
      <c r="BJ317" s="195"/>
      <c r="BK317" s="195"/>
      <c r="BL317" s="195"/>
      <c r="BM317" s="195"/>
      <c r="BN317" s="195"/>
      <c r="BO317" s="195"/>
      <c r="BP317" s="195"/>
      <c r="BQ317" s="195"/>
      <c r="BR317" s="195"/>
      <c r="BS317" s="195"/>
      <c r="BT317" s="195"/>
      <c r="BU317" s="195"/>
      <c r="BV317" s="195"/>
      <c r="BW317" s="195"/>
      <c r="BX317" s="195"/>
      <c r="BY317" s="195"/>
      <c r="CA317" s="195"/>
      <c r="CB317" s="195"/>
      <c r="CC317" s="195"/>
      <c r="CD317" s="195"/>
      <c r="CE317" s="195"/>
      <c r="CF317" s="195"/>
      <c r="CG317" s="195"/>
      <c r="CH317" s="195"/>
      <c r="CI317" s="195"/>
      <c r="CJ317" s="195"/>
      <c r="CK317" s="195"/>
      <c r="CL317" s="195"/>
      <c r="CM317" s="195"/>
      <c r="CN317" s="195"/>
      <c r="CO317" s="195"/>
      <c r="CP317" s="195"/>
      <c r="CQ317" s="195"/>
      <c r="CR317" s="195"/>
      <c r="CS317" s="195"/>
      <c r="CT317" s="195"/>
      <c r="CU317" s="195"/>
      <c r="CV317" s="195"/>
      <c r="CX317" s="195"/>
      <c r="CY317" s="195"/>
      <c r="CZ317" s="195"/>
      <c r="DA317" s="195"/>
      <c r="DB317" s="195"/>
      <c r="DC317" s="195"/>
      <c r="DD317" s="195"/>
      <c r="DE317" s="195"/>
      <c r="DF317" s="195"/>
      <c r="DG317" s="195"/>
      <c r="DH317" s="195"/>
      <c r="DI317" s="195"/>
      <c r="DJ317" s="195"/>
      <c r="DK317" s="195"/>
      <c r="DL317" s="195"/>
      <c r="DM317" s="195"/>
      <c r="DN317" s="195"/>
      <c r="DO317" s="195"/>
      <c r="DP317" s="195"/>
      <c r="DQ317" s="195"/>
      <c r="DR317" s="195"/>
      <c r="DS317" s="195"/>
      <c r="DU317" s="195"/>
      <c r="DV317" s="195"/>
      <c r="DW317" s="195"/>
      <c r="DX317" s="195"/>
      <c r="DY317" s="195"/>
      <c r="DZ317" s="195"/>
      <c r="EA317" s="195"/>
      <c r="EB317" s="195"/>
      <c r="EC317" s="195"/>
      <c r="ED317" s="195"/>
      <c r="EE317" s="195"/>
      <c r="EF317" s="195"/>
      <c r="EG317" s="195"/>
      <c r="EH317" s="195"/>
      <c r="EI317" s="195"/>
      <c r="EJ317" s="195"/>
      <c r="EK317" s="195"/>
      <c r="EL317" s="195"/>
      <c r="EM317" s="195"/>
      <c r="EN317" s="195"/>
      <c r="EO317" s="195"/>
      <c r="EP317" s="195"/>
      <c r="ER317" s="195"/>
      <c r="ES317" s="195"/>
      <c r="ET317" s="195"/>
      <c r="EU317" s="195"/>
      <c r="EV317" s="195"/>
      <c r="EW317" s="195"/>
      <c r="EX317" s="195"/>
      <c r="EY317" s="195"/>
      <c r="EZ317" s="195"/>
      <c r="FA317" s="195"/>
      <c r="FB317" s="195"/>
      <c r="FC317" s="195"/>
      <c r="FD317" s="195"/>
      <c r="FE317" s="195"/>
      <c r="FF317" s="195"/>
      <c r="FG317" s="195"/>
      <c r="FH317" s="195"/>
      <c r="FI317" s="195"/>
      <c r="FJ317" s="195"/>
      <c r="FK317" s="195"/>
      <c r="FL317" s="195"/>
      <c r="FM317" s="195"/>
      <c r="FO317" s="195"/>
      <c r="FP317" s="195"/>
      <c r="FQ317" s="195"/>
      <c r="FR317" s="195"/>
      <c r="FS317" s="195"/>
      <c r="FT317" s="195"/>
      <c r="FU317" s="195"/>
      <c r="FV317" s="195"/>
      <c r="FW317" s="195"/>
      <c r="FX317" s="195"/>
      <c r="FY317" s="195"/>
      <c r="FZ317" s="195"/>
      <c r="GA317" s="195"/>
      <c r="GB317" s="195"/>
      <c r="GC317" s="195"/>
      <c r="GD317" s="195"/>
      <c r="GE317" s="195"/>
      <c r="GF317" s="195"/>
      <c r="GG317" s="195"/>
      <c r="GH317" s="195"/>
      <c r="GI317" s="195"/>
      <c r="GJ317" s="195"/>
      <c r="HL317" s="195"/>
      <c r="HM317" s="195"/>
      <c r="HN317" s="195"/>
      <c r="HO317" s="195"/>
      <c r="HP317" s="195"/>
      <c r="HQ317" s="195"/>
      <c r="HR317" s="195"/>
      <c r="HS317" s="195"/>
      <c r="HT317" s="195"/>
      <c r="HU317" s="195"/>
      <c r="HV317" s="195"/>
      <c r="HW317" s="195"/>
      <c r="HX317" s="195"/>
      <c r="HY317" s="195"/>
      <c r="HZ317" s="195"/>
      <c r="IA317" s="195"/>
      <c r="IB317" s="195"/>
      <c r="IC317" s="195"/>
      <c r="ID317" s="195"/>
      <c r="IE317" s="195"/>
      <c r="IF317" s="195"/>
      <c r="IG317" s="195"/>
    </row>
    <row r="318" spans="2:241">
      <c r="B318" s="252"/>
      <c r="C318" s="192"/>
      <c r="D318" s="65"/>
      <c r="E318" s="236"/>
      <c r="F318" s="193"/>
      <c r="G318" s="65"/>
      <c r="H318" s="65"/>
      <c r="I318" s="65"/>
      <c r="J318" s="65"/>
      <c r="K318" s="65"/>
      <c r="L318" s="194"/>
      <c r="M318" s="237"/>
      <c r="N318" s="238"/>
      <c r="O318" s="193"/>
      <c r="P318" s="193"/>
      <c r="Q318" s="193"/>
      <c r="R318" s="193"/>
      <c r="S318" s="193"/>
      <c r="T318" s="193"/>
      <c r="U318" s="239"/>
      <c r="V318" s="239"/>
      <c r="W318" s="65"/>
      <c r="X318" s="65"/>
      <c r="Y318" s="65"/>
    </row>
    <row r="319" spans="2:241">
      <c r="B319" s="252"/>
      <c r="C319" s="192"/>
      <c r="D319" s="65"/>
      <c r="E319" s="236"/>
      <c r="F319" s="193"/>
      <c r="G319" s="65"/>
      <c r="H319" s="65"/>
      <c r="I319" s="65"/>
      <c r="J319" s="65"/>
      <c r="K319" s="65"/>
      <c r="L319" s="194"/>
      <c r="M319" s="237"/>
      <c r="N319" s="238"/>
      <c r="O319" s="193"/>
      <c r="P319" s="193"/>
      <c r="Q319" s="193"/>
      <c r="R319" s="193"/>
      <c r="S319" s="193"/>
      <c r="T319" s="193"/>
      <c r="U319" s="239"/>
      <c r="V319" s="239"/>
      <c r="W319" s="65"/>
      <c r="X319" s="65"/>
      <c r="Y319" s="65"/>
      <c r="Z319" s="195"/>
      <c r="AA319" s="195"/>
      <c r="AB319" s="195"/>
      <c r="AC319" s="195"/>
      <c r="AD319" s="195"/>
      <c r="AE319" s="195"/>
      <c r="AF319" s="195"/>
      <c r="AG319" s="195"/>
      <c r="AH319" s="195"/>
      <c r="AI319" s="195"/>
      <c r="AJ319" s="195"/>
      <c r="AK319" s="195"/>
      <c r="AL319" s="195"/>
      <c r="AM319" s="195"/>
    </row>
    <row r="320" spans="2:241">
      <c r="B320" s="252"/>
      <c r="C320" s="192"/>
      <c r="D320" s="65"/>
      <c r="E320" s="236"/>
      <c r="F320" s="193"/>
      <c r="G320" s="65"/>
      <c r="H320" s="65"/>
      <c r="I320" s="65"/>
      <c r="J320" s="65"/>
      <c r="K320" s="65"/>
      <c r="L320" s="194"/>
      <c r="M320" s="237"/>
      <c r="N320" s="238"/>
      <c r="O320" s="193"/>
      <c r="P320" s="193"/>
      <c r="Q320" s="193"/>
      <c r="R320" s="193"/>
      <c r="S320" s="193"/>
      <c r="T320" s="193"/>
      <c r="U320" s="239"/>
      <c r="V320" s="239"/>
      <c r="W320" s="65"/>
      <c r="X320" s="65"/>
      <c r="Y320" s="65"/>
    </row>
    <row r="321" spans="2:63">
      <c r="B321" s="252"/>
      <c r="C321" s="192"/>
      <c r="D321" s="65"/>
      <c r="E321" s="236"/>
      <c r="F321" s="193"/>
      <c r="G321" s="65"/>
      <c r="H321" s="65"/>
      <c r="I321" s="65"/>
      <c r="J321" s="65"/>
      <c r="K321" s="65"/>
      <c r="L321" s="194"/>
      <c r="M321" s="237"/>
      <c r="N321" s="238"/>
      <c r="O321" s="193"/>
      <c r="P321" s="193"/>
      <c r="Q321" s="193"/>
      <c r="R321" s="193"/>
      <c r="S321" s="193"/>
      <c r="T321" s="193"/>
      <c r="U321" s="239"/>
      <c r="V321" s="239"/>
      <c r="W321" s="65"/>
      <c r="X321" s="65"/>
      <c r="Y321" s="65"/>
      <c r="AP321" s="195"/>
      <c r="AQ321" s="195"/>
      <c r="AR321" s="195"/>
      <c r="AS321" s="195"/>
      <c r="AT321" s="195"/>
      <c r="AU321" s="195"/>
      <c r="AV321" s="195"/>
      <c r="AW321" s="195"/>
      <c r="AX321" s="195"/>
      <c r="AY321" s="195"/>
      <c r="AZ321" s="195"/>
      <c r="BA321" s="195"/>
      <c r="BB321" s="195"/>
      <c r="BC321" s="195"/>
      <c r="BD321" s="195"/>
      <c r="BE321" s="195"/>
      <c r="BF321" s="195"/>
      <c r="BG321" s="195"/>
      <c r="BH321" s="195"/>
      <c r="BI321" s="195"/>
      <c r="BJ321" s="195"/>
      <c r="BK321" s="195"/>
    </row>
    <row r="322" spans="2:63">
      <c r="B322" s="252"/>
      <c r="C322" s="192"/>
      <c r="D322" s="65"/>
      <c r="E322" s="236"/>
      <c r="F322" s="193"/>
      <c r="G322" s="65"/>
      <c r="H322" s="65"/>
      <c r="I322" s="65"/>
      <c r="J322" s="65"/>
      <c r="K322" s="65"/>
      <c r="L322" s="194"/>
      <c r="M322" s="237"/>
      <c r="N322" s="238"/>
      <c r="O322" s="193"/>
      <c r="P322" s="193"/>
      <c r="Q322" s="193"/>
      <c r="R322" s="193"/>
      <c r="S322" s="193"/>
      <c r="T322" s="193"/>
      <c r="U322" s="239"/>
      <c r="V322" s="239"/>
      <c r="W322" s="65"/>
      <c r="X322" s="65"/>
    </row>
    <row r="323" spans="2:63">
      <c r="B323" s="252"/>
      <c r="C323" s="192"/>
      <c r="D323" s="65"/>
      <c r="E323" s="236"/>
      <c r="F323" s="193"/>
      <c r="G323" s="65"/>
      <c r="H323" s="65"/>
      <c r="I323" s="65"/>
      <c r="J323" s="65"/>
      <c r="K323" s="65"/>
      <c r="L323" s="194"/>
      <c r="M323" s="237"/>
      <c r="N323" s="238"/>
      <c r="O323" s="193"/>
      <c r="P323" s="193"/>
      <c r="Q323" s="193"/>
      <c r="R323" s="193"/>
      <c r="S323" s="193"/>
      <c r="T323" s="193"/>
      <c r="U323" s="239"/>
      <c r="V323" s="239"/>
      <c r="W323" s="65"/>
      <c r="X323" s="65"/>
      <c r="Y323" s="195"/>
      <c r="Z323" s="195"/>
      <c r="AA323" s="195"/>
      <c r="AB323" s="195"/>
      <c r="AC323" s="195"/>
      <c r="AD323" s="195"/>
      <c r="AE323" s="195"/>
      <c r="AF323" s="195"/>
      <c r="AG323" s="195"/>
      <c r="AH323" s="195"/>
      <c r="AI323" s="195"/>
      <c r="AJ323" s="195"/>
      <c r="AK323" s="195"/>
      <c r="AL323" s="195"/>
      <c r="AM323" s="195"/>
      <c r="AN323" s="195"/>
    </row>
    <row r="324" spans="2:63">
      <c r="B324" s="252"/>
      <c r="C324" s="192"/>
      <c r="D324" s="65"/>
      <c r="E324" s="236"/>
      <c r="F324" s="193"/>
      <c r="G324" s="65"/>
      <c r="H324" s="65"/>
      <c r="I324" s="65"/>
      <c r="J324" s="65"/>
      <c r="K324" s="65"/>
      <c r="L324" s="194"/>
      <c r="M324" s="237"/>
      <c r="N324" s="238"/>
      <c r="O324" s="193"/>
      <c r="P324" s="193"/>
      <c r="Q324" s="193"/>
      <c r="R324" s="193"/>
      <c r="S324" s="193"/>
      <c r="T324" s="193"/>
      <c r="U324" s="239"/>
      <c r="V324" s="239"/>
      <c r="W324" s="65"/>
      <c r="X324" s="65"/>
    </row>
    <row r="325" spans="2:63">
      <c r="B325" s="252"/>
      <c r="C325" s="192"/>
      <c r="D325" s="65"/>
      <c r="E325" s="236"/>
      <c r="F325" s="193"/>
      <c r="G325" s="65"/>
      <c r="H325" s="65"/>
      <c r="I325" s="65"/>
      <c r="J325" s="65"/>
      <c r="K325" s="65"/>
      <c r="L325" s="194"/>
      <c r="M325" s="237"/>
      <c r="N325" s="238"/>
      <c r="O325" s="193"/>
      <c r="P325" s="193"/>
      <c r="Q325" s="193"/>
      <c r="R325" s="193"/>
      <c r="S325" s="193"/>
      <c r="T325" s="193"/>
      <c r="U325" s="239"/>
      <c r="V325" s="239"/>
      <c r="W325" s="65"/>
      <c r="X325" s="65"/>
    </row>
    <row r="326" spans="2:63">
      <c r="B326" s="252"/>
      <c r="C326" s="192"/>
      <c r="D326" s="65"/>
      <c r="E326" s="236"/>
      <c r="F326" s="193"/>
      <c r="G326" s="65"/>
      <c r="H326" s="65"/>
      <c r="I326" s="65"/>
      <c r="J326" s="65"/>
      <c r="K326" s="65"/>
      <c r="L326" s="194"/>
      <c r="M326" s="237"/>
      <c r="N326" s="238"/>
      <c r="O326" s="193"/>
      <c r="P326" s="193"/>
      <c r="Q326" s="193"/>
      <c r="R326" s="193"/>
      <c r="S326" s="193"/>
      <c r="T326" s="193"/>
      <c r="U326" s="239"/>
      <c r="V326" s="239"/>
      <c r="W326" s="65"/>
      <c r="X326" s="65"/>
    </row>
    <row r="327" spans="2:63">
      <c r="B327" s="252"/>
      <c r="C327" s="192"/>
      <c r="D327" s="65"/>
      <c r="E327" s="236"/>
      <c r="F327" s="193"/>
      <c r="G327" s="65"/>
      <c r="H327" s="65"/>
      <c r="I327" s="65"/>
      <c r="J327" s="65"/>
      <c r="K327" s="65"/>
      <c r="L327" s="194"/>
      <c r="M327" s="237"/>
      <c r="N327" s="238"/>
      <c r="O327" s="193"/>
      <c r="P327" s="193"/>
      <c r="Q327" s="193"/>
      <c r="R327" s="193"/>
      <c r="S327" s="193"/>
      <c r="T327" s="193"/>
      <c r="U327" s="239"/>
      <c r="V327" s="239"/>
      <c r="W327" s="65"/>
      <c r="X327" s="65"/>
    </row>
    <row r="328" spans="2:63">
      <c r="B328" s="252"/>
      <c r="C328" s="192"/>
      <c r="D328" s="65"/>
      <c r="E328" s="236"/>
      <c r="F328" s="193"/>
      <c r="G328" s="65"/>
      <c r="H328" s="65"/>
      <c r="I328" s="65"/>
      <c r="J328" s="65"/>
      <c r="K328" s="65"/>
      <c r="L328" s="194"/>
      <c r="M328" s="237"/>
      <c r="N328" s="238"/>
      <c r="O328" s="193"/>
      <c r="P328" s="193"/>
      <c r="Q328" s="193"/>
      <c r="R328" s="193"/>
      <c r="S328" s="193"/>
      <c r="T328" s="193"/>
      <c r="U328" s="239"/>
      <c r="V328" s="239"/>
      <c r="W328" s="65"/>
      <c r="X328" s="65"/>
    </row>
    <row r="329" spans="2:63">
      <c r="B329" s="252"/>
      <c r="C329" s="192"/>
      <c r="D329" s="65"/>
      <c r="E329" s="236"/>
      <c r="F329" s="193"/>
      <c r="G329" s="65"/>
      <c r="H329" s="65"/>
      <c r="I329" s="65"/>
      <c r="J329" s="65"/>
      <c r="K329" s="65"/>
      <c r="L329" s="194"/>
      <c r="M329" s="237"/>
      <c r="N329" s="238"/>
      <c r="O329" s="193"/>
      <c r="P329" s="193"/>
      <c r="Q329" s="193"/>
      <c r="R329" s="193"/>
      <c r="S329" s="193"/>
      <c r="T329" s="193"/>
      <c r="U329" s="239"/>
      <c r="V329" s="239"/>
      <c r="W329" s="65"/>
      <c r="X329" s="65"/>
    </row>
    <row r="330" spans="2:63">
      <c r="B330" s="252"/>
      <c r="C330" s="192"/>
      <c r="D330" s="65"/>
      <c r="E330" s="236"/>
      <c r="F330" s="193"/>
      <c r="G330" s="65"/>
      <c r="H330" s="65"/>
      <c r="I330" s="65"/>
      <c r="J330" s="65"/>
      <c r="K330" s="65"/>
      <c r="L330" s="194"/>
      <c r="M330" s="237"/>
      <c r="N330" s="238"/>
      <c r="O330" s="193"/>
      <c r="P330" s="193"/>
      <c r="Q330" s="193"/>
      <c r="R330" s="193"/>
      <c r="S330" s="193"/>
      <c r="T330" s="193"/>
      <c r="U330" s="239"/>
      <c r="V330" s="239"/>
      <c r="W330" s="65"/>
      <c r="X330" s="65"/>
    </row>
    <row r="331" spans="2:63">
      <c r="B331" s="252"/>
      <c r="C331" s="192"/>
      <c r="D331" s="65"/>
      <c r="E331" s="236"/>
      <c r="F331" s="193"/>
      <c r="G331" s="65"/>
      <c r="H331" s="65"/>
      <c r="I331" s="65"/>
      <c r="J331" s="65"/>
      <c r="K331" s="65"/>
      <c r="L331" s="194"/>
      <c r="M331" s="237"/>
      <c r="N331" s="238"/>
      <c r="O331" s="193"/>
      <c r="P331" s="193"/>
      <c r="Q331" s="193"/>
      <c r="R331" s="193"/>
      <c r="S331" s="193"/>
      <c r="T331" s="193"/>
      <c r="U331" s="239"/>
      <c r="V331" s="239"/>
      <c r="W331" s="65"/>
      <c r="X331" s="65"/>
    </row>
    <row r="332" spans="2:63">
      <c r="B332" s="252"/>
      <c r="C332" s="192"/>
      <c r="D332" s="65"/>
      <c r="E332" s="236"/>
      <c r="F332" s="193"/>
      <c r="G332" s="65"/>
      <c r="H332" s="65"/>
      <c r="I332" s="65"/>
      <c r="J332" s="65"/>
      <c r="K332" s="65"/>
      <c r="L332" s="194"/>
      <c r="M332" s="237"/>
      <c r="N332" s="238"/>
      <c r="O332" s="193"/>
      <c r="P332" s="193"/>
      <c r="Q332" s="193"/>
      <c r="R332" s="193"/>
      <c r="S332" s="193"/>
      <c r="T332" s="193"/>
      <c r="U332" s="239"/>
      <c r="V332" s="239"/>
      <c r="W332" s="65"/>
      <c r="X332" s="65"/>
    </row>
    <row r="333" spans="2:63">
      <c r="B333" s="252"/>
      <c r="C333" s="192"/>
      <c r="D333" s="65"/>
      <c r="E333" s="236"/>
      <c r="F333" s="193"/>
      <c r="G333" s="65"/>
      <c r="H333" s="65"/>
      <c r="I333" s="65"/>
      <c r="J333" s="65"/>
      <c r="K333" s="65"/>
      <c r="L333" s="194"/>
      <c r="M333" s="237"/>
      <c r="N333" s="238"/>
      <c r="O333" s="193"/>
      <c r="P333" s="193"/>
      <c r="Q333" s="193"/>
      <c r="R333" s="193"/>
      <c r="S333" s="193"/>
      <c r="T333" s="193"/>
      <c r="U333" s="239"/>
      <c r="V333" s="239"/>
      <c r="W333" s="65"/>
      <c r="X333" s="65"/>
    </row>
    <row r="334" spans="2:63">
      <c r="B334" s="252"/>
      <c r="C334" s="192"/>
      <c r="D334" s="65"/>
      <c r="E334" s="236"/>
      <c r="F334" s="193"/>
      <c r="G334" s="65"/>
      <c r="H334" s="65"/>
      <c r="I334" s="65"/>
      <c r="J334" s="65"/>
      <c r="K334" s="65"/>
      <c r="L334" s="194"/>
      <c r="M334" s="237"/>
      <c r="N334" s="238"/>
      <c r="O334" s="193"/>
      <c r="P334" s="193"/>
      <c r="Q334" s="193"/>
      <c r="R334" s="193"/>
      <c r="S334" s="193"/>
      <c r="T334" s="193"/>
      <c r="U334" s="239"/>
      <c r="V334" s="239"/>
      <c r="W334" s="65"/>
      <c r="X334" s="65"/>
    </row>
    <row r="335" spans="2:63">
      <c r="B335" s="252"/>
      <c r="C335" s="192"/>
      <c r="D335" s="65"/>
      <c r="E335" s="236"/>
      <c r="F335" s="193"/>
      <c r="G335" s="65"/>
      <c r="H335" s="65"/>
      <c r="I335" s="65"/>
      <c r="J335" s="65"/>
      <c r="K335" s="65"/>
      <c r="L335" s="194"/>
      <c r="M335" s="237"/>
      <c r="N335" s="238"/>
      <c r="O335" s="193"/>
      <c r="P335" s="193"/>
      <c r="Q335" s="193"/>
      <c r="R335" s="193"/>
      <c r="S335" s="193"/>
      <c r="T335" s="193"/>
      <c r="U335" s="239"/>
      <c r="V335" s="239"/>
      <c r="W335" s="65"/>
      <c r="X335" s="65"/>
    </row>
    <row r="336" spans="2:63">
      <c r="B336" s="252"/>
      <c r="C336" s="192"/>
      <c r="D336" s="65"/>
      <c r="E336" s="236"/>
      <c r="F336" s="193"/>
      <c r="G336" s="65"/>
      <c r="H336" s="65"/>
      <c r="I336" s="65"/>
      <c r="J336" s="65"/>
      <c r="K336" s="65"/>
      <c r="L336" s="194"/>
      <c r="M336" s="237"/>
      <c r="N336" s="238"/>
      <c r="O336" s="193"/>
      <c r="P336" s="193"/>
      <c r="Q336" s="193"/>
      <c r="R336" s="193"/>
      <c r="S336" s="193"/>
      <c r="T336" s="193"/>
      <c r="U336" s="239"/>
      <c r="V336" s="239"/>
      <c r="W336" s="65"/>
      <c r="X336" s="65"/>
    </row>
    <row r="337" spans="2:24">
      <c r="B337" s="252"/>
      <c r="C337" s="192"/>
      <c r="D337" s="65"/>
      <c r="E337" s="236"/>
      <c r="F337" s="193"/>
      <c r="G337" s="65"/>
      <c r="H337" s="65"/>
      <c r="I337" s="65"/>
      <c r="J337" s="65"/>
      <c r="K337" s="65"/>
      <c r="L337" s="194"/>
      <c r="M337" s="237"/>
      <c r="N337" s="238"/>
      <c r="O337" s="193"/>
      <c r="P337" s="193"/>
      <c r="Q337" s="193"/>
      <c r="R337" s="193"/>
      <c r="S337" s="193"/>
      <c r="T337" s="193"/>
      <c r="U337" s="239"/>
      <c r="V337" s="239"/>
      <c r="W337" s="65"/>
      <c r="X337" s="65"/>
    </row>
    <row r="338" spans="2:24">
      <c r="B338" s="252"/>
      <c r="C338" s="192"/>
      <c r="D338" s="65"/>
      <c r="E338" s="236"/>
      <c r="F338" s="193"/>
      <c r="G338" s="65"/>
      <c r="H338" s="65"/>
      <c r="I338" s="65"/>
      <c r="J338" s="65"/>
      <c r="K338" s="65"/>
      <c r="L338" s="194"/>
      <c r="M338" s="237"/>
      <c r="N338" s="238"/>
      <c r="O338" s="193"/>
      <c r="P338" s="193"/>
      <c r="Q338" s="193"/>
      <c r="R338" s="193"/>
      <c r="S338" s="193"/>
      <c r="T338" s="193"/>
      <c r="U338" s="239"/>
      <c r="V338" s="239"/>
      <c r="W338" s="65"/>
      <c r="X338" s="65"/>
    </row>
  </sheetData>
  <sheetProtection formatCells="0" formatColumns="0" formatRows="0" insertColumns="0" insertRows="0" insertHyperlinks="0" deleteColumns="0" deleteRows="0" sort="0" autoFilter="0" pivotTables="0"/>
  <sortState xmlns:xlrd2="http://schemas.microsoft.com/office/spreadsheetml/2017/richdata2" ref="B5:X5">
    <sortCondition ref="B6"/>
  </sortState>
  <phoneticPr fontId="49" type="noConversion"/>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UploadButton">
              <controlPr defaultSize="0" autoFill="0" autoPict="0" macro="[0]!LoadFile" altText="Browse file source">
                <anchor moveWithCells="1">
                  <from>
                    <xdr:col>13</xdr:col>
                    <xdr:colOff>457200</xdr:colOff>
                    <xdr:row>1</xdr:row>
                    <xdr:rowOff>171450</xdr:rowOff>
                  </from>
                  <to>
                    <xdr:col>13</xdr:col>
                    <xdr:colOff>733425</xdr:colOff>
                    <xdr:row>3</xdr:row>
                    <xdr:rowOff>47625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AB15D-D002-4E69-BFF8-C1CA6A6DD746}">
  <sheetPr codeName="Sheet3"/>
  <dimension ref="A1:AB40"/>
  <sheetViews>
    <sheetView showGridLines="0" showRowColHeaders="0" zoomScaleNormal="100" workbookViewId="0">
      <pane ySplit="1" topLeftCell="A2" activePane="bottomLeft" state="frozen"/>
      <selection pane="bottomLeft" activeCell="B16" sqref="B16"/>
    </sheetView>
  </sheetViews>
  <sheetFormatPr defaultColWidth="11.7109375" defaultRowHeight="14.25"/>
  <cols>
    <col min="1" max="1" width="1.7109375" style="26" customWidth="1"/>
    <col min="2" max="2" width="8.7109375" style="26" customWidth="1"/>
    <col min="3" max="3" width="16.7109375" style="26" customWidth="1"/>
    <col min="4" max="4" width="1.7109375" style="26" customWidth="1"/>
    <col min="5" max="6" width="12.7109375" style="26" customWidth="1"/>
    <col min="7" max="7" width="11.7109375" style="26" customWidth="1"/>
    <col min="8" max="8" width="12.7109375" style="26" customWidth="1"/>
    <col min="9" max="9" width="11.7109375" style="26" customWidth="1"/>
    <col min="10" max="10" width="1.7109375" style="26" customWidth="1"/>
    <col min="11" max="13" width="12.7109375" style="26" customWidth="1"/>
    <col min="14" max="15" width="11.7109375" style="26" customWidth="1"/>
    <col min="16" max="16" width="1.7109375" style="26" customWidth="1"/>
    <col min="17" max="17" width="5.7109375" style="26" customWidth="1"/>
    <col min="18" max="18" width="12.7109375" style="26" customWidth="1"/>
    <col min="19" max="19" width="7.7109375" style="26" customWidth="1"/>
    <col min="20" max="20" width="1.7109375" style="27" customWidth="1"/>
    <col min="21" max="16384" width="11.7109375" style="26"/>
  </cols>
  <sheetData>
    <row r="1" spans="1:28" ht="20.25">
      <c r="A1" s="24"/>
      <c r="B1" s="23" t="s">
        <v>560</v>
      </c>
      <c r="C1" s="23"/>
      <c r="D1" s="24"/>
      <c r="E1" s="24"/>
      <c r="F1" s="24"/>
      <c r="G1" s="24"/>
      <c r="H1" s="24"/>
      <c r="I1" s="24"/>
      <c r="J1" s="24"/>
      <c r="K1" s="24"/>
      <c r="L1" s="24"/>
      <c r="M1" s="24"/>
      <c r="N1" s="24"/>
      <c r="O1" s="24"/>
      <c r="P1" s="24"/>
      <c r="Q1" s="24"/>
      <c r="R1" s="24"/>
      <c r="S1" s="25"/>
      <c r="T1" s="25"/>
      <c r="U1" s="25"/>
      <c r="V1" s="25"/>
      <c r="W1" s="25"/>
      <c r="X1" s="25"/>
      <c r="Y1" s="25"/>
      <c r="Z1" s="25"/>
      <c r="AA1" s="25"/>
      <c r="AB1" s="25"/>
    </row>
    <row r="2" spans="1:28" ht="5.0999999999999996" customHeight="1">
      <c r="A2" s="27"/>
      <c r="C2" s="48"/>
      <c r="D2" s="68"/>
      <c r="U2" s="27"/>
      <c r="V2" s="26" t="s">
        <v>198</v>
      </c>
    </row>
    <row r="3" spans="1:28" ht="14.25" customHeight="1">
      <c r="A3" s="27"/>
      <c r="B3" s="412" t="str">
        <f>Season</f>
        <v>Season 2021 / 2021</v>
      </c>
      <c r="C3" s="412"/>
      <c r="D3" s="68"/>
      <c r="U3" s="27"/>
    </row>
    <row r="4" spans="1:28" ht="14.25" customHeight="1">
      <c r="B4" s="48"/>
      <c r="C4" s="48"/>
      <c r="U4" s="27"/>
    </row>
    <row r="5" spans="1:28">
      <c r="U5" s="27"/>
    </row>
    <row r="6" spans="1:28">
      <c r="U6" s="27"/>
    </row>
    <row r="7" spans="1:28">
      <c r="U7" s="27"/>
    </row>
    <row r="8" spans="1:28">
      <c r="U8" s="27"/>
    </row>
    <row r="9" spans="1:28">
      <c r="U9" s="27"/>
    </row>
    <row r="10" spans="1:28">
      <c r="U10" s="27"/>
    </row>
    <row r="11" spans="1:28">
      <c r="U11" s="27"/>
    </row>
    <row r="12" spans="1:28">
      <c r="U12" s="27"/>
    </row>
    <row r="13" spans="1:28">
      <c r="U13" s="27"/>
    </row>
    <row r="14" spans="1:28" ht="18">
      <c r="B14" s="45" t="s">
        <v>38</v>
      </c>
      <c r="C14" s="28"/>
      <c r="D14" s="26" t="s">
        <v>97</v>
      </c>
      <c r="Q14" s="44" t="s">
        <v>199</v>
      </c>
      <c r="R14" s="30"/>
      <c r="S14" s="30"/>
      <c r="U14" s="27"/>
    </row>
    <row r="15" spans="1:28" ht="5.0999999999999996" customHeight="1">
      <c r="B15" s="31"/>
      <c r="C15" s="32"/>
      <c r="D15" s="26" t="s">
        <v>97</v>
      </c>
      <c r="Q15" s="29"/>
      <c r="R15" s="29"/>
      <c r="S15" s="29"/>
    </row>
    <row r="16" spans="1:28" ht="15.75">
      <c r="B16" s="79"/>
      <c r="C16" s="90"/>
      <c r="D16" s="26" t="s">
        <v>97</v>
      </c>
      <c r="Q16" s="33" t="s">
        <v>3</v>
      </c>
      <c r="R16" s="34" t="e">
        <f ca="1">IF(Actual_Week&gt;0,IFERROR(IF(INDEX(INDIRECT("Calendar"),Actual_Week,MATCH(Q16,INDIRECT("Calendar[#Headers]"),0))=0,"Rest",INDEX(INDIRECT("Calendar"),Actual_Week,MATCH(Q16,INDIRECT("Calendar[#Headers]"),0))),""),"")</f>
        <v>#N/A</v>
      </c>
      <c r="S16" s="35" t="e">
        <f ca="1">IF(R16="Rest","",R16)</f>
        <v>#N/A</v>
      </c>
    </row>
    <row r="17" spans="2:21" ht="15.75">
      <c r="B17" s="79"/>
      <c r="C17" s="90"/>
      <c r="D17" s="26" t="s">
        <v>97</v>
      </c>
      <c r="Q17" s="29"/>
      <c r="R17" s="29"/>
      <c r="S17" s="29"/>
    </row>
    <row r="18" spans="2:21" ht="15.75">
      <c r="B18" s="79"/>
      <c r="C18" s="90"/>
      <c r="D18" s="26" t="s">
        <v>97</v>
      </c>
      <c r="Q18" s="33" t="s">
        <v>4</v>
      </c>
      <c r="R18" s="34" t="e">
        <f ca="1">IF(Actual_Week&gt;0,IFERROR(IF(INDEX(INDIRECT("Calendar"),Actual_Week,MATCH(Q18,INDIRECT("Calendar[#Headers]"),0))=0,"Rest",INDEX(INDIRECT("Calendar"),Actual_Week,MATCH(Q18,INDIRECT("Calendar[#Headers]"),0))),""),"")</f>
        <v>#N/A</v>
      </c>
      <c r="S18" s="118" t="e">
        <f ca="1">IF(R18="Rest","",R18)</f>
        <v>#N/A</v>
      </c>
    </row>
    <row r="19" spans="2:21" ht="15.75">
      <c r="B19" s="79"/>
      <c r="C19" s="90"/>
      <c r="D19" s="26" t="s">
        <v>97</v>
      </c>
      <c r="Q19" s="29"/>
      <c r="R19" s="29"/>
      <c r="S19" s="29"/>
    </row>
    <row r="20" spans="2:21" ht="15.75">
      <c r="B20" s="79"/>
      <c r="C20" s="90"/>
      <c r="D20" s="26" t="s">
        <v>97</v>
      </c>
      <c r="Q20" s="33" t="s">
        <v>5</v>
      </c>
      <c r="R20" s="34" t="e">
        <f ca="1">IF(Actual_Week&gt;0,IFERROR(IF(INDEX(INDIRECT("Calendar"),Actual_Week,MATCH(Q20,INDIRECT("Calendar[#Headers]"),0))=0,"Rest",INDEX(INDIRECT("Calendar"),Actual_Week,MATCH(Q20,INDIRECT("Calendar[#Headers]"),0))),""),"")</f>
        <v>#N/A</v>
      </c>
      <c r="S20" s="118" t="e">
        <f ca="1">IF(R20="Rest","",R20)</f>
        <v>#N/A</v>
      </c>
    </row>
    <row r="21" spans="2:21" ht="15.75">
      <c r="B21" s="79"/>
      <c r="C21" s="90"/>
      <c r="D21" s="26" t="s">
        <v>97</v>
      </c>
      <c r="Q21" s="29"/>
      <c r="R21" s="29"/>
      <c r="S21" s="29"/>
      <c r="U21" s="27"/>
    </row>
    <row r="22" spans="2:21" ht="15.75">
      <c r="B22" s="79"/>
      <c r="C22" s="90"/>
      <c r="D22" s="26" t="s">
        <v>97</v>
      </c>
      <c r="Q22" s="33" t="s">
        <v>6</v>
      </c>
      <c r="R22" s="34" t="e">
        <f ca="1">IF(Actual_Week&gt;0,IFERROR(IF(INDEX(INDIRECT("Calendar"),Actual_Week,MATCH(Q22,INDIRECT("Calendar[#Headers]"),0))=0,"Rest",INDEX(INDIRECT("Calendar"),Actual_Week,MATCH(Q22,INDIRECT("Calendar[#Headers]"),0))),""),"")</f>
        <v>#N/A</v>
      </c>
      <c r="S22" s="118" t="e">
        <f ca="1">IF(R22="Rest","",R22)</f>
        <v>#N/A</v>
      </c>
      <c r="U22" s="27"/>
    </row>
    <row r="23" spans="2:21" ht="15.75">
      <c r="B23" s="79"/>
      <c r="C23" s="90"/>
      <c r="D23" s="26" t="s">
        <v>97</v>
      </c>
      <c r="Q23" s="29"/>
      <c r="R23" s="29"/>
      <c r="S23" s="29"/>
      <c r="U23" s="27"/>
    </row>
    <row r="24" spans="2:21" ht="15.75">
      <c r="B24" s="79"/>
      <c r="C24" s="90"/>
      <c r="D24" s="26" t="s">
        <v>97</v>
      </c>
      <c r="Q24" s="33" t="s">
        <v>7</v>
      </c>
      <c r="R24" s="34" t="e">
        <f ca="1">IF(Actual_Week&gt;0,IFERROR(IF(INDEX(INDIRECT("Calendar"),Actual_Week,MATCH(Q24,INDIRECT("Calendar[#Headers]"),0))=0,"Rest",INDEX(INDIRECT("Calendar"),Actual_Week,MATCH(Q24,INDIRECT("Calendar[#Headers]"),0))),""),"")</f>
        <v>#N/A</v>
      </c>
      <c r="S24" s="118" t="e">
        <f ca="1">IF(R24="Rest","",R24)</f>
        <v>#N/A</v>
      </c>
      <c r="U24" s="27"/>
    </row>
    <row r="25" spans="2:21" ht="15.75">
      <c r="B25" s="79"/>
      <c r="C25" s="36"/>
      <c r="D25" s="26" t="s">
        <v>97</v>
      </c>
      <c r="Q25" s="29"/>
      <c r="R25" s="29"/>
      <c r="S25" s="29"/>
      <c r="U25" s="27"/>
    </row>
    <row r="26" spans="2:21" ht="15.75">
      <c r="B26" s="79"/>
      <c r="C26" s="36"/>
      <c r="D26" s="26" t="s">
        <v>97</v>
      </c>
      <c r="Q26" s="33" t="s">
        <v>8</v>
      </c>
      <c r="R26" s="34" t="e">
        <f ca="1">IF(Actual_Week&gt;0,IFERROR(IF(INDEX(INDIRECT("Calendar"),Actual_Week,MATCH(Q26,INDIRECT("Calendar[#Headers]"),0))=0,"Rest",INDEX(INDIRECT("Calendar"),Actual_Week,MATCH(Q26,INDIRECT("Calendar[#Headers]"),0))),""),"")</f>
        <v>#N/A</v>
      </c>
      <c r="S26" s="118" t="e">
        <f ca="1">IF(R26="Rest","",R26)</f>
        <v>#N/A</v>
      </c>
      <c r="U26" s="27"/>
    </row>
    <row r="27" spans="2:21" ht="15.75">
      <c r="B27" s="79"/>
      <c r="C27" s="36"/>
      <c r="D27" s="26" t="s">
        <v>97</v>
      </c>
      <c r="Q27" s="29"/>
      <c r="R27" s="29"/>
      <c r="S27" s="29"/>
      <c r="U27" s="27"/>
    </row>
    <row r="28" spans="2:21" ht="15.75">
      <c r="B28" s="79"/>
      <c r="C28" s="36"/>
      <c r="D28" s="26" t="s">
        <v>97</v>
      </c>
      <c r="Q28" s="69" t="s">
        <v>9</v>
      </c>
      <c r="R28" s="70" t="e">
        <f ca="1">IF(Actual_Week&gt;0,IFERROR(IF(INDEX(INDIRECT("Calendar"),Actual_Week,MATCH(Q28,INDIRECT("Calendar[#Headers]"),0))=0,"Rest",INDEX(INDIRECT("Calendar"),Actual_Week,MATCH(Q28,INDIRECT("Calendar[#Headers]"),0))),""),"")</f>
        <v>#N/A</v>
      </c>
      <c r="S28" s="118" t="e">
        <f ca="1">IF(R28="Rest","",R28)</f>
        <v>#N/A</v>
      </c>
      <c r="U28" s="27"/>
    </row>
    <row r="29" spans="2:21">
      <c r="B29" s="27"/>
      <c r="C29" s="27"/>
      <c r="U29" s="27"/>
    </row>
    <row r="30" spans="2:21">
      <c r="U30" s="27"/>
    </row>
    <row r="31" spans="2:21">
      <c r="U31" s="27"/>
    </row>
    <row r="32" spans="2:21">
      <c r="D32" s="37"/>
      <c r="E32" s="37"/>
      <c r="F32" s="37"/>
      <c r="G32" s="37"/>
      <c r="H32" s="37"/>
      <c r="I32" s="37"/>
      <c r="J32" s="37"/>
      <c r="K32" s="37"/>
      <c r="L32" s="37"/>
      <c r="M32" s="37"/>
      <c r="N32" s="37"/>
      <c r="O32" s="37"/>
      <c r="P32" s="37"/>
      <c r="Q32" s="37"/>
      <c r="R32" s="37"/>
      <c r="S32" s="37"/>
      <c r="U32" s="27"/>
    </row>
    <row r="33" spans="2:21">
      <c r="U33" s="27"/>
    </row>
    <row r="34" spans="2:21">
      <c r="U34" s="27"/>
    </row>
    <row r="35" spans="2:21">
      <c r="B35" s="37"/>
      <c r="C35" s="37"/>
      <c r="U35" s="27"/>
    </row>
    <row r="36" spans="2:21">
      <c r="U36" s="27"/>
    </row>
    <row r="37" spans="2:21">
      <c r="U37" s="27"/>
    </row>
    <row r="38" spans="2:21">
      <c r="U38" s="27"/>
    </row>
    <row r="39" spans="2:21">
      <c r="U39" s="27"/>
    </row>
    <row r="40" spans="2:21">
      <c r="U40" s="27"/>
    </row>
  </sheetData>
  <sheetProtection formatCells="0" formatColumns="0" formatRows="0" insertColumns="0" insertRows="0" insertHyperlinks="0" deleteColumns="0" deleteRows="0" sort="0" autoFilter="0" pivotTables="0"/>
  <mergeCells count="1">
    <mergeCell ref="B3:C3"/>
  </mergeCells>
  <conditionalFormatting sqref="R20 R26 R28 R24 R22 R18 R16">
    <cfRule type="dataBar" priority="35">
      <dataBar showValue="0">
        <cfvo type="min"/>
        <cfvo type="max"/>
        <color rgb="FFA6A6A6"/>
      </dataBar>
      <extLst>
        <ext xmlns:x14="http://schemas.microsoft.com/office/spreadsheetml/2009/9/main" uri="{B025F937-C7B1-47D3-B67F-A62EFF666E3E}">
          <x14:id>{86AF33A7-F7CC-4B20-A8EF-B1A3FF76852F}</x14:id>
        </ext>
      </extLst>
    </cfRule>
  </conditionalFormatting>
  <pageMargins left="0.7" right="0.7" top="0.75" bottom="0.75" header="0.3" footer="0.3"/>
  <pageSetup orientation="portrait" horizontalDpi="4294967293" verticalDpi="4294967293" r:id="rId1"/>
  <ignoredErrors>
    <ignoredError sqref="R16:S21 B3 R23:S23 R22 R25:S25 R24 R27:S27 R26 R28"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6AF33A7-F7CC-4B20-A8EF-B1A3FF76852F}">
            <x14:dataBar minLength="0" maxLength="100" gradient="0">
              <x14:cfvo type="autoMin"/>
              <x14:cfvo type="autoMax"/>
              <x14:negativeFillColor rgb="FFFF0000"/>
              <x14:axisColor rgb="FF000000"/>
            </x14:dataBar>
          </x14:cfRule>
          <xm:sqref>R20 R26 R28 R24 R22 R18 R16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BC848-B641-41FB-B273-4BAF2333F44E}">
  <sheetPr codeName="Sheet4">
    <pageSetUpPr fitToPage="1"/>
  </sheetPr>
  <dimension ref="A1:AY28"/>
  <sheetViews>
    <sheetView showGridLines="0" showRowColHeaders="0" zoomScaleNormal="100" zoomScaleSheetLayoutView="100" workbookViewId="0">
      <selection activeCell="AI8" sqref="AI8"/>
    </sheetView>
  </sheetViews>
  <sheetFormatPr defaultRowHeight="15.75"/>
  <cols>
    <col min="1" max="1" width="1.7109375" style="111" customWidth="1"/>
    <col min="2" max="17" width="5.7109375" style="111" customWidth="1"/>
    <col min="18" max="18" width="3.7109375" style="111" customWidth="1"/>
    <col min="19" max="31" width="5.7109375" style="111" customWidth="1"/>
    <col min="32" max="35" width="5" style="111" bestFit="1" customWidth="1"/>
    <col min="36" max="36" width="11.7109375" style="111" bestFit="1" customWidth="1"/>
    <col min="37" max="249" width="5" style="111" bestFit="1" customWidth="1"/>
    <col min="250" max="251" width="6" style="111" bestFit="1" customWidth="1"/>
    <col min="252" max="252" width="7.28515625" style="111" bestFit="1" customWidth="1"/>
    <col min="253" max="253" width="11.28515625" style="111" bestFit="1" customWidth="1"/>
    <col min="254" max="16384" width="9.140625" style="111"/>
  </cols>
  <sheetData>
    <row r="1" spans="1:51" ht="20.25">
      <c r="A1" s="196"/>
      <c r="B1" s="119" t="s">
        <v>561</v>
      </c>
      <c r="C1" s="196"/>
      <c r="D1" s="196"/>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c r="AM1" s="196"/>
      <c r="AN1" s="196"/>
      <c r="AO1" s="196"/>
      <c r="AP1" s="196"/>
      <c r="AQ1" s="196"/>
      <c r="AR1" s="196"/>
      <c r="AS1" s="196"/>
      <c r="AT1" s="196"/>
      <c r="AU1" s="196"/>
      <c r="AV1" s="196"/>
      <c r="AW1" s="196"/>
      <c r="AX1" s="196"/>
      <c r="AY1" s="196"/>
    </row>
    <row r="2" spans="1:51" s="162" customFormat="1" ht="5.0999999999999996" customHeight="1">
      <c r="A2" s="141"/>
      <c r="B2" s="136"/>
      <c r="C2" s="141"/>
      <c r="D2" s="141"/>
      <c r="E2" s="141"/>
      <c r="F2" s="141"/>
      <c r="G2" s="141"/>
      <c r="H2" s="141"/>
      <c r="I2" s="141"/>
      <c r="J2" s="141"/>
      <c r="K2" s="141"/>
      <c r="L2" s="141"/>
      <c r="M2" s="141"/>
      <c r="N2" s="141"/>
      <c r="O2" s="141"/>
      <c r="P2" s="141"/>
      <c r="Q2" s="141"/>
      <c r="R2" s="141"/>
      <c r="S2" s="141"/>
      <c r="T2" s="141"/>
      <c r="U2" s="141"/>
      <c r="V2" s="141"/>
      <c r="W2" s="141"/>
      <c r="X2" s="141"/>
      <c r="Y2" s="141"/>
      <c r="Z2" s="141"/>
      <c r="AA2" s="141"/>
      <c r="AB2" s="141"/>
      <c r="AC2" s="141"/>
      <c r="AD2" s="141"/>
      <c r="AE2" s="141"/>
      <c r="AF2" s="141"/>
      <c r="AG2" s="141"/>
    </row>
    <row r="3" spans="1:51">
      <c r="AF3" s="137"/>
      <c r="AG3" s="137"/>
    </row>
    <row r="4" spans="1:51">
      <c r="AF4" s="137"/>
      <c r="AG4" s="137"/>
    </row>
    <row r="5" spans="1:51">
      <c r="AF5" s="137"/>
      <c r="AG5" s="137"/>
    </row>
    <row r="6" spans="1:51">
      <c r="AF6" s="137"/>
      <c r="AG6" s="137"/>
    </row>
    <row r="7" spans="1:51">
      <c r="AF7" s="137"/>
      <c r="AG7" s="137"/>
    </row>
    <row r="8" spans="1:51">
      <c r="AF8" s="137"/>
      <c r="AG8" s="137"/>
    </row>
    <row r="9" spans="1:51">
      <c r="AF9" s="137"/>
      <c r="AG9" s="137"/>
    </row>
    <row r="10" spans="1:51">
      <c r="AF10" s="137"/>
      <c r="AG10" s="137"/>
    </row>
    <row r="11" spans="1:51">
      <c r="AF11" s="137"/>
      <c r="AG11" s="137"/>
    </row>
    <row r="12" spans="1:51">
      <c r="AF12" s="137"/>
      <c r="AG12" s="137"/>
    </row>
    <row r="13" spans="1:51">
      <c r="AF13" s="137"/>
      <c r="AG13" s="137"/>
    </row>
    <row r="14" spans="1:51">
      <c r="C14" s="178"/>
      <c r="AF14" s="137"/>
      <c r="AG14" s="137"/>
    </row>
    <row r="15" spans="1:51">
      <c r="AF15" s="137"/>
      <c r="AG15" s="137"/>
    </row>
    <row r="16" spans="1:51">
      <c r="AF16" s="137"/>
      <c r="AG16" s="137"/>
    </row>
    <row r="17" spans="1:33">
      <c r="AF17" s="137"/>
      <c r="AG17" s="137"/>
    </row>
    <row r="18" spans="1:33">
      <c r="AF18" s="137"/>
      <c r="AG18" s="137"/>
    </row>
    <row r="19" spans="1:33">
      <c r="AF19" s="137"/>
      <c r="AG19" s="137"/>
    </row>
    <row r="20" spans="1:33">
      <c r="AF20" s="137"/>
      <c r="AG20" s="137"/>
    </row>
    <row r="21" spans="1:33">
      <c r="E21" s="197"/>
      <c r="F21" s="197"/>
      <c r="AF21" s="137"/>
      <c r="AG21" s="137"/>
    </row>
    <row r="22" spans="1:33">
      <c r="AF22" s="137"/>
      <c r="AG22" s="137"/>
    </row>
    <row r="23" spans="1:33">
      <c r="AF23" s="137"/>
      <c r="AG23" s="137"/>
    </row>
    <row r="24" spans="1:33">
      <c r="AF24" s="137"/>
      <c r="AG24" s="137"/>
    </row>
    <row r="25" spans="1:33">
      <c r="AF25" s="137"/>
      <c r="AG25" s="137"/>
    </row>
    <row r="26" spans="1:33">
      <c r="AF26" s="137"/>
      <c r="AG26" s="137"/>
    </row>
    <row r="27" spans="1:33">
      <c r="A27" s="137"/>
      <c r="B27" s="137"/>
      <c r="C27" s="137"/>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row>
    <row r="28" spans="1:33">
      <c r="A28" s="137"/>
      <c r="B28" s="137"/>
      <c r="C28" s="137"/>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row>
  </sheetData>
  <pageMargins left="0.25" right="0.25" top="0.75" bottom="0.75" header="0.3" footer="0.3"/>
  <pageSetup scale="70" orientation="landscape" horizontalDpi="4294967293" verticalDpi="4294967293" r:id="rId1"/>
  <drawing r:id="rId2"/>
  <legacyDrawing r:id="rId3"/>
  <controls>
    <mc:AlternateContent xmlns:mc="http://schemas.openxmlformats.org/markup-compatibility/2006">
      <mc:Choice Requires="x14">
        <control shapeId="25617" r:id="rId4" name="Pivot3ComboBox1">
          <controlPr defaultSize="0" autoLine="0" autoPict="0" linkedCell="Analytics3Field1" listFillRange="UploadQueryFields" r:id="rId5">
            <anchor moveWithCells="1">
              <from>
                <xdr:col>1</xdr:col>
                <xdr:colOff>66675</xdr:colOff>
                <xdr:row>17</xdr:row>
                <xdr:rowOff>114300</xdr:rowOff>
              </from>
              <to>
                <xdr:col>5</xdr:col>
                <xdr:colOff>9525</xdr:colOff>
                <xdr:row>18</xdr:row>
                <xdr:rowOff>171450</xdr:rowOff>
              </to>
            </anchor>
          </controlPr>
        </control>
      </mc:Choice>
      <mc:Fallback>
        <control shapeId="25617" r:id="rId4" name="Pivot3ComboBox1"/>
      </mc:Fallback>
    </mc:AlternateContent>
    <mc:AlternateContent xmlns:mc="http://schemas.openxmlformats.org/markup-compatibility/2006">
      <mc:Choice Requires="x14">
        <control shapeId="25616" r:id="rId6" name="Pivot3ComboBox2">
          <controlPr defaultSize="0" autoLine="0" autoPict="0" linkedCell="Analytics3Field2" listFillRange="UploadQueryFields" r:id="rId7">
            <anchor moveWithCells="1">
              <from>
                <xdr:col>1</xdr:col>
                <xdr:colOff>66675</xdr:colOff>
                <xdr:row>19</xdr:row>
                <xdr:rowOff>47625</xdr:rowOff>
              </from>
              <to>
                <xdr:col>5</xdr:col>
                <xdr:colOff>9525</xdr:colOff>
                <xdr:row>20</xdr:row>
                <xdr:rowOff>104775</xdr:rowOff>
              </to>
            </anchor>
          </controlPr>
        </control>
      </mc:Choice>
      <mc:Fallback>
        <control shapeId="25616" r:id="rId6" name="Pivot3ComboBox2"/>
      </mc:Fallback>
    </mc:AlternateContent>
    <mc:AlternateContent xmlns:mc="http://schemas.openxmlformats.org/markup-compatibility/2006">
      <mc:Choice Requires="x14">
        <control shapeId="25614" r:id="rId8" name="Pivot4ComboBox1">
          <controlPr defaultSize="0" autoLine="0" linkedCell="Analytics4Field1" listFillRange="UploadQueryFields" r:id="rId9">
            <anchor moveWithCells="1">
              <from>
                <xdr:col>17</xdr:col>
                <xdr:colOff>38100</xdr:colOff>
                <xdr:row>17</xdr:row>
                <xdr:rowOff>114300</xdr:rowOff>
              </from>
              <to>
                <xdr:col>21</xdr:col>
                <xdr:colOff>19050</xdr:colOff>
                <xdr:row>18</xdr:row>
                <xdr:rowOff>171450</xdr:rowOff>
              </to>
            </anchor>
          </controlPr>
        </control>
      </mc:Choice>
      <mc:Fallback>
        <control shapeId="25614" r:id="rId8" name="Pivot4ComboBox1"/>
      </mc:Fallback>
    </mc:AlternateContent>
    <mc:AlternateContent xmlns:mc="http://schemas.openxmlformats.org/markup-compatibility/2006">
      <mc:Choice Requires="x14">
        <control shapeId="25613" r:id="rId10" name="Pivot2ComboBox2">
          <controlPr defaultSize="0" autoLine="0" linkedCell="Analytics2Field2" listFillRange="UploadQueryFields" r:id="rId11">
            <anchor moveWithCells="1">
              <from>
                <xdr:col>17</xdr:col>
                <xdr:colOff>38100</xdr:colOff>
                <xdr:row>10</xdr:row>
                <xdr:rowOff>47625</xdr:rowOff>
              </from>
              <to>
                <xdr:col>21</xdr:col>
                <xdr:colOff>19050</xdr:colOff>
                <xdr:row>11</xdr:row>
                <xdr:rowOff>104775</xdr:rowOff>
              </to>
            </anchor>
          </controlPr>
        </control>
      </mc:Choice>
      <mc:Fallback>
        <control shapeId="25613" r:id="rId10" name="Pivot2ComboBox2"/>
      </mc:Fallback>
    </mc:AlternateContent>
    <mc:AlternateContent xmlns:mc="http://schemas.openxmlformats.org/markup-compatibility/2006">
      <mc:Choice Requires="x14">
        <control shapeId="25612" r:id="rId12" name="Pivot1ComboBox2">
          <controlPr defaultSize="0" autoLine="0" autoPict="0" linkedCell="Analytics1Field2" listFillRange="UploadQueryFields" r:id="rId13">
            <anchor moveWithCells="1">
              <from>
                <xdr:col>1</xdr:col>
                <xdr:colOff>66675</xdr:colOff>
                <xdr:row>10</xdr:row>
                <xdr:rowOff>47625</xdr:rowOff>
              </from>
              <to>
                <xdr:col>5</xdr:col>
                <xdr:colOff>9525</xdr:colOff>
                <xdr:row>11</xdr:row>
                <xdr:rowOff>104775</xdr:rowOff>
              </to>
            </anchor>
          </controlPr>
        </control>
      </mc:Choice>
      <mc:Fallback>
        <control shapeId="25612" r:id="rId12" name="Pivot1ComboBox2"/>
      </mc:Fallback>
    </mc:AlternateContent>
    <mc:AlternateContent xmlns:mc="http://schemas.openxmlformats.org/markup-compatibility/2006">
      <mc:Choice Requires="x14">
        <control shapeId="25611" r:id="rId14" name="Pivot1ComboBox1">
          <controlPr defaultSize="0" autoLine="0" autoPict="0" linkedCell="Analytics1Field1" listFillRange="UploadQueryFields" r:id="rId15">
            <anchor moveWithCells="1">
              <from>
                <xdr:col>1</xdr:col>
                <xdr:colOff>66675</xdr:colOff>
                <xdr:row>8</xdr:row>
                <xdr:rowOff>114300</xdr:rowOff>
              </from>
              <to>
                <xdr:col>5</xdr:col>
                <xdr:colOff>9525</xdr:colOff>
                <xdr:row>9</xdr:row>
                <xdr:rowOff>171450</xdr:rowOff>
              </to>
            </anchor>
          </controlPr>
        </control>
      </mc:Choice>
      <mc:Fallback>
        <control shapeId="25611" r:id="rId14" name="Pivot1ComboBox1"/>
      </mc:Fallback>
    </mc:AlternateContent>
    <mc:AlternateContent xmlns:mc="http://schemas.openxmlformats.org/markup-compatibility/2006">
      <mc:Choice Requires="x14">
        <control shapeId="25610" r:id="rId16" name="Pivot2ComboBox1">
          <controlPr defaultSize="0" autoLine="0" linkedCell="Analytics2Field1" listFillRange="UploadQueryFields" r:id="rId17">
            <anchor moveWithCells="1">
              <from>
                <xdr:col>17</xdr:col>
                <xdr:colOff>38100</xdr:colOff>
                <xdr:row>8</xdr:row>
                <xdr:rowOff>114300</xdr:rowOff>
              </from>
              <to>
                <xdr:col>21</xdr:col>
                <xdr:colOff>19050</xdr:colOff>
                <xdr:row>9</xdr:row>
                <xdr:rowOff>171450</xdr:rowOff>
              </to>
            </anchor>
          </controlPr>
        </control>
      </mc:Choice>
      <mc:Fallback>
        <control shapeId="25610" r:id="rId16" name="Pivot2ComboBox1"/>
      </mc:Fallback>
    </mc:AlternateContent>
    <mc:AlternateContent xmlns:mc="http://schemas.openxmlformats.org/markup-compatibility/2006">
      <mc:Choice Requires="x14">
        <control shapeId="25618" r:id="rId18" name="AnalyticsResetButton">
          <controlPr defaultSize="0" autoFill="0" autoPict="0" macro="[0]!AnalyticsResetButton_Click" altText="Reset Analytics Sheet">
            <anchor>
              <from>
                <xdr:col>31</xdr:col>
                <xdr:colOff>161925</xdr:colOff>
                <xdr:row>2</xdr:row>
                <xdr:rowOff>19050</xdr:rowOff>
              </from>
              <to>
                <xdr:col>33</xdr:col>
                <xdr:colOff>47625</xdr:colOff>
                <xdr:row>3</xdr:row>
                <xdr:rowOff>47625</xdr:rowOff>
              </to>
            </anchor>
          </controlPr>
        </control>
      </mc:Choice>
    </mc:AlternateContent>
    <mc:AlternateContent xmlns:mc="http://schemas.openxmlformats.org/markup-compatibility/2006">
      <mc:Choice Requires="x14">
        <control shapeId="25619" r:id="rId19" name="AnalyticsPlanButton">
          <controlPr defaultSize="0" autoFill="0" autoPict="0" macro="[0]!AnalyticsPlanButton_Click" altText="Set Time Period to current plan">
            <anchor>
              <from>
                <xdr:col>31</xdr:col>
                <xdr:colOff>161925</xdr:colOff>
                <xdr:row>3</xdr:row>
                <xdr:rowOff>123825</xdr:rowOff>
              </from>
              <to>
                <xdr:col>33</xdr:col>
                <xdr:colOff>47625</xdr:colOff>
                <xdr:row>4</xdr:row>
                <xdr:rowOff>152400</xdr:rowOff>
              </to>
            </anchor>
          </controlPr>
        </control>
      </mc:Choice>
    </mc:AlternateContent>
    <mc:AlternateContent xmlns:mc="http://schemas.openxmlformats.org/markup-compatibility/2006">
      <mc:Choice Requires="x14">
        <control shapeId="25620" r:id="rId20" name="AnalyticsTopButton">
          <controlPr defaultSize="0" autoFill="0" autoPict="0" macro="[0]!AnalyticsTopButton_Click" altText="Top 10">
            <anchor>
              <from>
                <xdr:col>31</xdr:col>
                <xdr:colOff>161925</xdr:colOff>
                <xdr:row>5</xdr:row>
                <xdr:rowOff>38100</xdr:rowOff>
              </from>
              <to>
                <xdr:col>32</xdr:col>
                <xdr:colOff>57150</xdr:colOff>
                <xdr:row>6</xdr:row>
                <xdr:rowOff>66675</xdr:rowOff>
              </to>
            </anchor>
          </controlPr>
        </control>
      </mc:Choice>
    </mc:AlternateContent>
    <mc:AlternateContent xmlns:mc="http://schemas.openxmlformats.org/markup-compatibility/2006">
      <mc:Choice Requires="x14">
        <control shapeId="25621" r:id="rId21" name="AnalyticsBottomButton">
          <controlPr defaultSize="0" autoFill="0" autoPict="0" macro="[0]!AnalyticsBottomButton_Click" altText="Bottom 10">
            <anchor>
              <from>
                <xdr:col>32</xdr:col>
                <xdr:colOff>152400</xdr:colOff>
                <xdr:row>5</xdr:row>
                <xdr:rowOff>38100</xdr:rowOff>
              </from>
              <to>
                <xdr:col>33</xdr:col>
                <xdr:colOff>47625</xdr:colOff>
                <xdr:row>6</xdr:row>
                <xdr:rowOff>66675</xdr:rowOff>
              </to>
            </anchor>
          </controlPr>
        </control>
      </mc:Choice>
    </mc:AlternateContent>
    <mc:AlternateContent xmlns:mc="http://schemas.openxmlformats.org/markup-compatibility/2006">
      <mc:Choice Requires="x14">
        <control shapeId="25622" r:id="rId22" name="AnalyticsClearButton">
          <controlPr defaultSize="0" autoFill="0" autoPict="0" macro="[0]!AnalyticsClearButton_Click" altText="Set Time Period to current plan">
            <anchor>
              <from>
                <xdr:col>31</xdr:col>
                <xdr:colOff>161925</xdr:colOff>
                <xdr:row>6</xdr:row>
                <xdr:rowOff>142875</xdr:rowOff>
              </from>
              <to>
                <xdr:col>33</xdr:col>
                <xdr:colOff>47625</xdr:colOff>
                <xdr:row>7</xdr:row>
                <xdr:rowOff>171450</xdr:rowOff>
              </to>
            </anchor>
          </controlPr>
        </control>
      </mc:Choice>
    </mc:AlternateContent>
  </controls>
  <extLst>
    <ext xmlns:x15="http://schemas.microsoft.com/office/spreadsheetml/2010/11/main" uri="{7E03D99C-DC04-49d9-9315-930204A7B6E9}">
      <x15:timelineRefs>
        <x15:timelineRef r:id="rId2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09BCA-2E90-41F2-AFD8-761A2B7AC8D2}">
  <sheetPr codeName="Sheet24"/>
  <dimension ref="A1:B3"/>
  <sheetViews>
    <sheetView workbookViewId="0"/>
  </sheetViews>
  <sheetFormatPr defaultRowHeight="15"/>
  <cols>
    <col min="1" max="1" width="13.140625" bestFit="1" customWidth="1"/>
    <col min="2" max="2" width="19" bestFit="1" customWidth="1"/>
    <col min="3" max="3" width="5" bestFit="1" customWidth="1"/>
    <col min="4" max="12" width="5.5703125" bestFit="1" customWidth="1"/>
  </cols>
  <sheetData>
    <row r="1" spans="1:2">
      <c r="A1" s="10" t="s">
        <v>88</v>
      </c>
      <c r="B1" s="396" t="s">
        <v>547</v>
      </c>
    </row>
    <row r="2" spans="1:2">
      <c r="A2" s="248" t="s">
        <v>575</v>
      </c>
      <c r="B2" s="398"/>
    </row>
    <row r="3" spans="1:2">
      <c r="A3" s="123" t="s">
        <v>432</v>
      </c>
      <c r="B3" s="39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CB24E-E23A-488C-B263-C3233B82E55A}">
  <sheetPr codeName="Sheet14"/>
  <dimension ref="A1:U28"/>
  <sheetViews>
    <sheetView showGridLines="0" workbookViewId="0">
      <selection activeCell="B8" sqref="B8"/>
    </sheetView>
  </sheetViews>
  <sheetFormatPr defaultRowHeight="15"/>
  <cols>
    <col min="1" max="1" width="16.28515625" style="81" bestFit="1" customWidth="1"/>
    <col min="2" max="2" width="9.5703125" style="81" bestFit="1" customWidth="1"/>
    <col min="3" max="3" width="42.42578125" style="81" bestFit="1" customWidth="1"/>
    <col min="4" max="4" width="16.140625" style="81" bestFit="1" customWidth="1"/>
    <col min="5" max="5" width="13.28515625" style="81" customWidth="1"/>
    <col min="6" max="16384" width="9.140625" style="81"/>
  </cols>
  <sheetData>
    <row r="1" spans="1:7" ht="15.75">
      <c r="A1" s="80" t="s">
        <v>107</v>
      </c>
      <c r="B1" s="80" t="s">
        <v>104</v>
      </c>
      <c r="C1" s="80" t="s">
        <v>108</v>
      </c>
      <c r="D1" s="80" t="s">
        <v>532</v>
      </c>
      <c r="F1" s="82"/>
    </row>
    <row r="2" spans="1:7" ht="15.75">
      <c r="A2" s="80" t="s">
        <v>103</v>
      </c>
      <c r="B2" s="198">
        <v>2.314814628334716E-5</v>
      </c>
      <c r="D2" s="199">
        <f>SUM(D3:D14)</f>
        <v>1</v>
      </c>
      <c r="F2" s="84"/>
    </row>
    <row r="3" spans="1:7">
      <c r="A3" s="81" t="s">
        <v>409</v>
      </c>
      <c r="B3" s="83">
        <v>0</v>
      </c>
      <c r="C3" s="81" t="s">
        <v>410</v>
      </c>
      <c r="D3" s="85">
        <f t="shared" ref="D3:D6" si="0">B3/TotalTime</f>
        <v>0</v>
      </c>
    </row>
    <row r="4" spans="1:7">
      <c r="A4" s="81" t="s">
        <v>105</v>
      </c>
      <c r="B4" s="83">
        <v>0</v>
      </c>
      <c r="C4" s="81" t="s">
        <v>105</v>
      </c>
      <c r="D4" s="85">
        <f t="shared" si="0"/>
        <v>0</v>
      </c>
    </row>
    <row r="5" spans="1:7">
      <c r="A5" s="81" t="s">
        <v>106</v>
      </c>
      <c r="B5" s="83">
        <v>0</v>
      </c>
      <c r="C5" s="81" t="s">
        <v>411</v>
      </c>
      <c r="D5" s="85">
        <f t="shared" si="0"/>
        <v>0</v>
      </c>
    </row>
    <row r="6" spans="1:7">
      <c r="A6" s="81" t="s">
        <v>109</v>
      </c>
      <c r="B6" s="83">
        <v>1.1574069503694773E-5</v>
      </c>
      <c r="C6" s="81" t="s">
        <v>109</v>
      </c>
      <c r="D6" s="85">
        <f t="shared" si="0"/>
        <v>0.49999984283930288</v>
      </c>
    </row>
    <row r="7" spans="1:7">
      <c r="A7" s="81" t="s">
        <v>412</v>
      </c>
      <c r="B7" s="83">
        <v>0</v>
      </c>
      <c r="C7" s="81" t="s">
        <v>413</v>
      </c>
      <c r="D7" s="85">
        <f>B7/TotalTime</f>
        <v>0</v>
      </c>
    </row>
    <row r="8" spans="1:7">
      <c r="A8" s="81" t="s">
        <v>548</v>
      </c>
      <c r="B8" s="83">
        <v>1.1574076779652387E-5</v>
      </c>
      <c r="C8" s="81" t="s">
        <v>548</v>
      </c>
      <c r="D8" s="85">
        <f>B8/TotalTime</f>
        <v>0.50000015716069712</v>
      </c>
    </row>
    <row r="10" spans="1:7">
      <c r="B10" s="83"/>
      <c r="D10" s="85"/>
    </row>
    <row r="14" spans="1:7">
      <c r="B14" s="83"/>
      <c r="D14" s="85"/>
    </row>
    <row r="15" spans="1:7" ht="15.75">
      <c r="A15" s="86"/>
      <c r="B15" s="87"/>
      <c r="E15" s="88"/>
      <c r="F15" s="88"/>
      <c r="G15" s="88"/>
    </row>
    <row r="28" spans="21:21">
      <c r="U28" s="81">
        <v>0</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E4F16-5B00-4102-8581-62CFFDB1D39A}">
  <sheetPr codeName="Sheet10"/>
  <dimension ref="A1:O49"/>
  <sheetViews>
    <sheetView showGridLines="0" zoomScaleNormal="100" workbookViewId="0">
      <selection activeCell="B9" sqref="B9"/>
    </sheetView>
  </sheetViews>
  <sheetFormatPr defaultColWidth="8.7109375" defaultRowHeight="15"/>
  <cols>
    <col min="1" max="1" width="23.140625" bestFit="1" customWidth="1"/>
    <col min="2" max="2" width="14" bestFit="1" customWidth="1"/>
    <col min="3" max="3" width="14.28515625" bestFit="1" customWidth="1"/>
    <col min="4" max="4" width="10.85546875" bestFit="1" customWidth="1"/>
    <col min="5" max="5" width="11.7109375" bestFit="1" customWidth="1"/>
    <col min="6" max="6" width="18.5703125" bestFit="1" customWidth="1"/>
    <col min="7" max="7" width="13" bestFit="1" customWidth="1"/>
    <col min="13" max="13" width="16.7109375" bestFit="1" customWidth="1"/>
    <col min="14" max="14" width="10.7109375" customWidth="1"/>
  </cols>
  <sheetData>
    <row r="1" spans="1:15" ht="25.5">
      <c r="A1" s="413" t="s">
        <v>48</v>
      </c>
      <c r="B1" s="413"/>
      <c r="C1" s="413"/>
      <c r="D1" s="413"/>
      <c r="E1" s="4"/>
      <c r="F1" s="22"/>
      <c r="G1" s="4"/>
      <c r="H1" s="4"/>
      <c r="I1" s="4"/>
      <c r="J1" s="4"/>
      <c r="K1" s="4"/>
      <c r="L1" s="4"/>
      <c r="M1" s="5" t="s">
        <v>204</v>
      </c>
    </row>
    <row r="2" spans="1:15" ht="15.75">
      <c r="A2" s="4"/>
      <c r="B2" s="4"/>
      <c r="C2" s="4"/>
      <c r="D2" s="4"/>
      <c r="E2" s="4"/>
      <c r="F2" s="4"/>
      <c r="G2" s="4"/>
      <c r="H2" s="4"/>
      <c r="I2" s="4"/>
      <c r="J2" s="4"/>
      <c r="K2" s="4"/>
      <c r="L2" s="4"/>
      <c r="M2" s="7"/>
    </row>
    <row r="3" spans="1:15" ht="15.75">
      <c r="A3" s="6" t="s">
        <v>37</v>
      </c>
      <c r="B3" s="6">
        <f>Total_Weeks_Planned*0.45</f>
        <v>5.4</v>
      </c>
      <c r="C3" s="4">
        <f>Total_Weeks_Planned</f>
        <v>12</v>
      </c>
      <c r="D3" s="4"/>
      <c r="E3" s="4"/>
      <c r="F3" s="92" t="s">
        <v>414</v>
      </c>
      <c r="G3" s="93">
        <v>44277.863078703704</v>
      </c>
      <c r="H3" s="4"/>
      <c r="I3" s="4"/>
      <c r="J3" s="4"/>
      <c r="K3" s="4"/>
      <c r="L3" s="4"/>
      <c r="M3" s="7"/>
      <c r="O3" s="3"/>
    </row>
    <row r="4" spans="1:15" ht="15.75">
      <c r="A4" s="6" t="s">
        <v>28</v>
      </c>
      <c r="B4" s="6" t="e">
        <f ca="1">C4</f>
        <v>#N/A</v>
      </c>
      <c r="C4" s="4" t="e">
        <f ca="1">IF(TodayDate&lt;VLOOKUP(1,INDIRECT("Calendar"),2,FALSE),0,IF(TodayDate&gt;LastWeek,Total_Weeks_Planned,D4))</f>
        <v>#N/A</v>
      </c>
      <c r="D4" s="4">
        <f ca="1">MATCH(MAX(INDIRECT("Calendar[Today Week]")),INDIRECT("Calendar[Today Week]"),0)</f>
        <v>1</v>
      </c>
      <c r="E4" s="22"/>
      <c r="F4" s="4" t="s">
        <v>424</v>
      </c>
      <c r="G4" s="4">
        <f>RIDERHEIGHT(HeightPrimary,HeightSecondary,HeightUnit)</f>
        <v>72</v>
      </c>
      <c r="H4" s="4"/>
      <c r="I4" s="4"/>
      <c r="J4" s="4"/>
      <c r="K4" s="4"/>
      <c r="L4" s="4"/>
      <c r="M4" s="7"/>
    </row>
    <row r="5" spans="1:15" ht="15.75">
      <c r="A5" s="6" t="e">
        <f ca="1">IF(B5&gt;1,"Weeks to Race",IF(B5=1,"Week to Race","Race Week"))</f>
        <v>#N/A</v>
      </c>
      <c r="B5" s="6" t="e">
        <f ca="1">Total_Weeks_Planned-Actual_Week</f>
        <v>#N/A</v>
      </c>
      <c r="C5" s="4" t="e">
        <f ca="1">IF(Weeks_To_Race&gt;0,Weeks_To_Race,_xlfn.UNICHAR(127937))</f>
        <v>#N/A</v>
      </c>
      <c r="D5" s="4"/>
      <c r="E5" s="4"/>
      <c r="F5" s="4"/>
      <c r="G5" s="4"/>
      <c r="H5" s="4"/>
      <c r="I5" s="4"/>
      <c r="J5" s="4"/>
      <c r="K5" s="4"/>
      <c r="L5" s="4"/>
      <c r="M5" s="7"/>
    </row>
    <row r="6" spans="1:15" ht="15.75">
      <c r="A6" s="4"/>
      <c r="B6" s="4"/>
      <c r="C6" s="4"/>
      <c r="D6" s="4"/>
      <c r="E6" s="4"/>
      <c r="F6" s="4"/>
      <c r="G6" s="4"/>
      <c r="H6" s="4"/>
      <c r="I6" s="4"/>
      <c r="J6" s="4"/>
      <c r="K6" s="4"/>
      <c r="L6" s="4"/>
      <c r="M6" s="7"/>
      <c r="O6" s="3"/>
    </row>
    <row r="7" spans="1:15" ht="15.75">
      <c r="A7" s="413" t="s">
        <v>49</v>
      </c>
      <c r="B7" s="413"/>
      <c r="C7" s="413"/>
      <c r="D7" s="413"/>
      <c r="E7" s="4"/>
      <c r="F7" s="4"/>
      <c r="G7" s="4"/>
      <c r="H7" s="4"/>
      <c r="I7" s="4"/>
      <c r="J7" s="4"/>
      <c r="K7" s="4"/>
      <c r="L7" s="4"/>
      <c r="M7" s="7"/>
    </row>
    <row r="8" spans="1:15" ht="15.75">
      <c r="A8" s="6" t="s">
        <v>50</v>
      </c>
      <c r="B8" s="47" t="e">
        <f ca="1">D8</f>
        <v>#N/A</v>
      </c>
      <c r="C8" s="6" t="str">
        <f>WeightUnit</f>
        <v>lb</v>
      </c>
      <c r="D8" s="98" t="e">
        <f ca="1">IFERROR(INDEX(INDIRECT("Calendar"),Actual_Week,MATCH("Weight",INDIRECT("Calendar[#Headers]"),0)),Last_Weight_Update)</f>
        <v>#N/A</v>
      </c>
      <c r="E8" s="4"/>
      <c r="F8" s="4"/>
      <c r="G8" s="4"/>
      <c r="H8" s="4"/>
      <c r="I8" s="4"/>
      <c r="J8" s="4"/>
      <c r="K8" s="4"/>
      <c r="L8" s="4"/>
      <c r="O8" s="3"/>
    </row>
    <row r="9" spans="1:15" ht="15.75">
      <c r="A9" s="4" t="s">
        <v>51</v>
      </c>
      <c r="B9" s="64" t="e">
        <f ca="1">BMIf(Actual_Weight,ActualHeight)</f>
        <v>#N/A</v>
      </c>
      <c r="C9" s="4"/>
      <c r="D9" s="98" t="e">
        <f ca="1">IF(C8="Kg",Actual_Weight/(ActualHeight^2),Actual_Weight/(ActualHeight^2)*703)</f>
        <v>#N/A</v>
      </c>
      <c r="E9" s="4"/>
      <c r="F9" s="4"/>
      <c r="G9" s="4"/>
      <c r="H9" s="4"/>
      <c r="I9" s="4"/>
      <c r="J9" s="4"/>
      <c r="K9" s="4"/>
      <c r="L9" s="4"/>
    </row>
    <row r="10" spans="1:15" ht="15.75">
      <c r="A10" s="4" t="s">
        <v>69</v>
      </c>
      <c r="B10" s="8">
        <f>BMI_min</f>
        <v>21</v>
      </c>
      <c r="C10" s="4"/>
      <c r="D10" s="4"/>
      <c r="E10" s="4"/>
      <c r="F10" s="4" t="s">
        <v>338</v>
      </c>
      <c r="G10" s="4"/>
      <c r="H10" s="4"/>
      <c r="I10" s="4"/>
      <c r="J10" s="4"/>
      <c r="K10" s="4"/>
      <c r="L10" s="4"/>
    </row>
    <row r="11" spans="1:15" ht="15.75">
      <c r="A11" s="4" t="s">
        <v>68</v>
      </c>
      <c r="B11" s="4">
        <f>BMI_max</f>
        <v>22.4</v>
      </c>
      <c r="C11" s="4"/>
      <c r="D11" s="4"/>
      <c r="E11" s="4"/>
      <c r="F11" s="4" t="s">
        <v>339</v>
      </c>
      <c r="G11" s="4"/>
      <c r="H11" s="4"/>
      <c r="I11" s="4"/>
      <c r="J11" s="4"/>
      <c r="K11" s="4"/>
      <c r="L11" s="4"/>
    </row>
    <row r="12" spans="1:15" ht="15.75">
      <c r="A12" s="4" t="s">
        <v>202</v>
      </c>
      <c r="B12" s="4" t="e">
        <f ca="1">MATCH(2,INDEX(1/(INDIRECT("Calendar[Weight]")&lt;&gt;""),0))</f>
        <v>#N/A</v>
      </c>
      <c r="C12" s="4"/>
      <c r="D12" s="4"/>
      <c r="E12" s="4"/>
      <c r="F12" s="4"/>
      <c r="G12" s="4"/>
      <c r="H12" s="4"/>
      <c r="I12" s="4"/>
      <c r="J12" s="4"/>
      <c r="K12" s="4"/>
      <c r="L12" s="4"/>
    </row>
    <row r="13" spans="1:15" ht="15.75">
      <c r="A13" s="4" t="s">
        <v>201</v>
      </c>
      <c r="B13" s="98" t="e">
        <f ca="1">INDEX(INDIRECT("Calendar"),Last_Weight_Week,MATCH("Weight",INDIRECT("Calendar[#Headers]"),0))</f>
        <v>#N/A</v>
      </c>
      <c r="C13" s="4"/>
      <c r="D13" s="4"/>
      <c r="E13" s="4"/>
      <c r="F13" s="4"/>
      <c r="G13" s="4"/>
      <c r="H13" s="4"/>
      <c r="I13" s="4"/>
      <c r="J13" s="4"/>
      <c r="K13" s="4"/>
      <c r="L13" s="4"/>
    </row>
    <row r="14" spans="1:15" ht="15.75">
      <c r="A14" s="4"/>
      <c r="B14" s="4"/>
      <c r="C14" s="4"/>
      <c r="D14" s="4"/>
      <c r="E14" s="4"/>
      <c r="F14" s="4"/>
      <c r="G14" s="4"/>
      <c r="H14" s="4"/>
      <c r="I14" s="4"/>
      <c r="J14" s="4"/>
      <c r="K14" s="4"/>
      <c r="L14" s="4"/>
    </row>
    <row r="15" spans="1:15" ht="15.75">
      <c r="A15" s="6" t="s">
        <v>203</v>
      </c>
      <c r="B15" s="6" t="s">
        <v>75</v>
      </c>
      <c r="C15" s="6" t="s">
        <v>76</v>
      </c>
      <c r="D15" s="6" t="s">
        <v>43</v>
      </c>
      <c r="E15" s="6" t="s">
        <v>42</v>
      </c>
      <c r="F15" s="4"/>
      <c r="G15" s="4"/>
      <c r="H15" s="4"/>
      <c r="I15" s="4"/>
      <c r="J15" s="4"/>
      <c r="K15" s="4"/>
      <c r="L15" s="4"/>
    </row>
    <row r="16" spans="1:15" ht="15.75">
      <c r="A16" s="4" t="s">
        <v>77</v>
      </c>
      <c r="B16" s="8">
        <v>0</v>
      </c>
      <c r="C16" s="8">
        <v>18.399999999999999</v>
      </c>
      <c r="D16" s="8">
        <f>C16-B16</f>
        <v>18.399999999999999</v>
      </c>
      <c r="E16" s="8">
        <f>D16</f>
        <v>18.399999999999999</v>
      </c>
      <c r="F16" s="4"/>
      <c r="G16" s="4"/>
      <c r="H16" s="4"/>
      <c r="I16" s="4"/>
      <c r="J16" s="4"/>
      <c r="K16" s="4"/>
      <c r="L16" s="4"/>
    </row>
    <row r="17" spans="1:13" ht="15.75">
      <c r="A17" s="4" t="s">
        <v>78</v>
      </c>
      <c r="B17" s="8">
        <v>18.5</v>
      </c>
      <c r="C17" s="8"/>
      <c r="D17" s="8">
        <f>(C19-B17)/2</f>
        <v>3.1999999999999993</v>
      </c>
      <c r="E17" s="8">
        <f>B18-B17</f>
        <v>2.5</v>
      </c>
      <c r="F17" s="4"/>
      <c r="G17" s="4"/>
      <c r="H17" s="4"/>
      <c r="I17" s="4"/>
      <c r="J17" s="4"/>
      <c r="K17" s="4"/>
      <c r="L17" s="4"/>
    </row>
    <row r="18" spans="1:13" ht="15.75">
      <c r="A18" s="4" t="s">
        <v>42</v>
      </c>
      <c r="B18" s="8">
        <f>F18</f>
        <v>21</v>
      </c>
      <c r="C18" s="8">
        <f>G18</f>
        <v>22.4</v>
      </c>
      <c r="D18" s="8"/>
      <c r="E18" s="8">
        <f>C18-B18</f>
        <v>1.3999999999999986</v>
      </c>
      <c r="F18" s="4">
        <f>IF(OR(BMI_min&lt;18.5,BMI_min&gt;24.9)=TRUE,18.5,BMI_min)</f>
        <v>21</v>
      </c>
      <c r="G18" s="4">
        <f>IF(OR(BMI_max&lt;18.5,BMI_max&gt;24.9)=TRUE,18.5,BMI_max)</f>
        <v>22.4</v>
      </c>
      <c r="H18" s="7"/>
      <c r="I18" s="7"/>
      <c r="J18" s="7"/>
      <c r="K18" s="7"/>
      <c r="L18" s="7"/>
      <c r="M18" s="7"/>
    </row>
    <row r="19" spans="1:13" ht="15.75">
      <c r="A19" s="4" t="s">
        <v>78</v>
      </c>
      <c r="B19" s="8"/>
      <c r="C19" s="8">
        <v>24.9</v>
      </c>
      <c r="D19" s="8">
        <f>D17</f>
        <v>3.1999999999999993</v>
      </c>
      <c r="E19" s="8">
        <f>C19-C18</f>
        <v>2.5</v>
      </c>
      <c r="F19" s="4"/>
      <c r="G19" s="4"/>
      <c r="H19" s="7"/>
      <c r="I19" s="7"/>
      <c r="J19" s="7"/>
      <c r="K19" s="7"/>
      <c r="L19" s="7"/>
      <c r="M19" s="7"/>
    </row>
    <row r="20" spans="1:13" ht="15.75">
      <c r="A20" s="4" t="s">
        <v>70</v>
      </c>
      <c r="B20" s="8">
        <v>25</v>
      </c>
      <c r="C20" s="8">
        <v>29.9</v>
      </c>
      <c r="D20" s="8">
        <f>C20-B20</f>
        <v>4.8999999999999986</v>
      </c>
      <c r="E20" s="8">
        <f>D20</f>
        <v>4.8999999999999986</v>
      </c>
      <c r="F20" s="4"/>
      <c r="G20" s="4"/>
      <c r="H20" s="7"/>
      <c r="I20" s="7"/>
      <c r="J20" s="7"/>
      <c r="K20" s="7"/>
      <c r="L20" s="7"/>
      <c r="M20" s="7"/>
    </row>
    <row r="21" spans="1:13" ht="15.75">
      <c r="A21" s="4" t="s">
        <v>71</v>
      </c>
      <c r="B21" s="8">
        <v>30</v>
      </c>
      <c r="C21" s="8">
        <f>B21+C16</f>
        <v>48.4</v>
      </c>
      <c r="D21" s="8">
        <f>D16-D20</f>
        <v>13.5</v>
      </c>
      <c r="E21" s="8">
        <f>D21</f>
        <v>13.5</v>
      </c>
      <c r="F21" s="4"/>
      <c r="G21" s="4"/>
      <c r="H21" s="7"/>
      <c r="I21" s="7"/>
      <c r="J21" s="7"/>
      <c r="K21" s="7"/>
      <c r="L21" s="7"/>
      <c r="M21" s="7"/>
    </row>
    <row r="22" spans="1:13" ht="15.75">
      <c r="A22" s="4" t="s">
        <v>72</v>
      </c>
      <c r="B22" s="4"/>
      <c r="C22" s="4"/>
      <c r="D22" s="8">
        <f>SUM(D16:D21)/4</f>
        <v>10.799999999999999</v>
      </c>
      <c r="E22" s="8">
        <f>SUM(E16:E21)/4</f>
        <v>10.799999999999999</v>
      </c>
      <c r="F22" s="4"/>
      <c r="G22" s="4"/>
      <c r="H22" s="7"/>
      <c r="I22" s="7"/>
      <c r="J22" s="7"/>
      <c r="K22" s="7"/>
      <c r="L22" s="7"/>
      <c r="M22" s="7"/>
    </row>
    <row r="23" spans="1:13" ht="15.75">
      <c r="A23" s="4"/>
      <c r="B23" s="8"/>
      <c r="C23" s="8"/>
      <c r="D23" s="4"/>
      <c r="E23" s="4"/>
      <c r="F23" s="4"/>
      <c r="G23" s="4"/>
      <c r="H23" s="7"/>
      <c r="I23" s="7"/>
      <c r="J23" s="7"/>
      <c r="K23" s="7"/>
      <c r="L23" s="7"/>
      <c r="M23" s="7"/>
    </row>
    <row r="24" spans="1:13" ht="15.75">
      <c r="A24" s="49" t="s">
        <v>190</v>
      </c>
      <c r="B24" s="49">
        <v>17.5</v>
      </c>
      <c r="C24" s="49"/>
      <c r="D24" s="49"/>
      <c r="E24" s="49"/>
      <c r="F24" s="42" t="s">
        <v>43</v>
      </c>
      <c r="G24" s="42" t="s">
        <v>194</v>
      </c>
      <c r="H24" s="7"/>
      <c r="I24" s="7"/>
      <c r="J24" s="7"/>
      <c r="K24" s="7"/>
      <c r="L24" s="7"/>
      <c r="M24" s="7"/>
    </row>
    <row r="25" spans="1:13" ht="15.75">
      <c r="A25" s="49" t="s">
        <v>196</v>
      </c>
      <c r="B25" s="51" t="e">
        <f ca="1">C25</f>
        <v>#N/A</v>
      </c>
      <c r="C25" s="51" t="e">
        <f ca="1">G30-G26</f>
        <v>#N/A</v>
      </c>
      <c r="D25" s="49"/>
      <c r="E25" s="49"/>
      <c r="F25" s="52">
        <f>SUM($D$16:$D$22)</f>
        <v>53.999999999999993</v>
      </c>
      <c r="G25" s="49">
        <v>360</v>
      </c>
      <c r="H25" s="7"/>
      <c r="I25" s="7"/>
      <c r="J25" s="7"/>
      <c r="K25" s="7"/>
      <c r="L25" s="7"/>
      <c r="M25" s="7"/>
    </row>
    <row r="26" spans="1:13" ht="15.75">
      <c r="A26" s="49" t="s">
        <v>195</v>
      </c>
      <c r="B26" s="51" t="e">
        <f ca="1">COS(RADIANS(B25))</f>
        <v>#N/A</v>
      </c>
      <c r="C26" s="53"/>
      <c r="D26" s="51"/>
      <c r="E26" s="49"/>
      <c r="F26" s="51" t="e">
        <f ca="1">IF(Actual_BMI&lt;=0,0,IF(Actual_BMI&gt;=43.2,43.2,Actual_BMI))</f>
        <v>#N/A</v>
      </c>
      <c r="G26" s="51" t="e">
        <f ca="1">G25*F26/F25</f>
        <v>#N/A</v>
      </c>
      <c r="H26" s="7"/>
      <c r="I26" s="7"/>
      <c r="J26" s="7"/>
      <c r="K26" s="7"/>
      <c r="L26" s="7"/>
      <c r="M26" s="7"/>
    </row>
    <row r="27" spans="1:13" ht="15.75">
      <c r="A27" s="49" t="s">
        <v>197</v>
      </c>
      <c r="B27" s="51" t="e">
        <f ca="1">SIN(RADIANS(B25))</f>
        <v>#N/A</v>
      </c>
      <c r="C27" s="49"/>
      <c r="D27" s="51"/>
      <c r="E27" s="49"/>
      <c r="F27" s="49"/>
      <c r="G27" s="52"/>
      <c r="H27" s="7"/>
      <c r="I27" s="7"/>
      <c r="J27" s="7"/>
      <c r="K27" s="7"/>
      <c r="L27" s="7"/>
      <c r="M27" s="7"/>
    </row>
    <row r="28" spans="1:13" ht="15.75">
      <c r="A28" s="49" t="s">
        <v>193</v>
      </c>
      <c r="B28" s="54" t="e">
        <f ca="1">radius*B26</f>
        <v>#N/A</v>
      </c>
      <c r="C28" s="49"/>
      <c r="D28" s="49"/>
      <c r="E28" s="49"/>
      <c r="F28" s="52">
        <f>SUM($D$16:$D$22)</f>
        <v>53.999999999999993</v>
      </c>
      <c r="G28" s="49">
        <v>360</v>
      </c>
      <c r="H28" s="43"/>
      <c r="J28" s="7"/>
      <c r="K28" s="7"/>
      <c r="L28" s="7"/>
      <c r="M28" s="7"/>
    </row>
    <row r="29" spans="1:13" ht="16.5" thickBot="1">
      <c r="A29" s="49" t="s">
        <v>192</v>
      </c>
      <c r="B29" s="51" t="e">
        <f ca="1">B27*radius</f>
        <v>#N/A</v>
      </c>
      <c r="C29" s="49"/>
      <c r="D29" s="49"/>
      <c r="E29" s="49"/>
      <c r="F29" s="51">
        <f>D16+D17</f>
        <v>21.599999999999998</v>
      </c>
      <c r="G29" s="51">
        <f>G28*F29/F28</f>
        <v>144</v>
      </c>
      <c r="H29" s="2"/>
      <c r="K29" s="7"/>
      <c r="L29" s="7"/>
      <c r="M29" s="7"/>
    </row>
    <row r="30" spans="1:13" ht="15.75">
      <c r="A30" s="55" t="s">
        <v>200</v>
      </c>
      <c r="B30" s="46" t="s">
        <v>187</v>
      </c>
      <c r="C30" s="56" t="s">
        <v>188</v>
      </c>
      <c r="D30" s="49"/>
      <c r="E30" s="49"/>
      <c r="F30" s="62" t="s">
        <v>205</v>
      </c>
      <c r="G30" s="51" t="e">
        <f ca="1">IF(ActualBMILimit&lt;=0,90+G29-2,IF(OR(ActualBMILimit&lt;21.6,ActualBMILimit&gt;=43.2),90+G29+3,90+G29))</f>
        <v>#N/A</v>
      </c>
      <c r="K30" s="7"/>
      <c r="L30" s="7"/>
      <c r="M30" s="7"/>
    </row>
    <row r="31" spans="1:13" ht="15.75">
      <c r="A31" s="57" t="s">
        <v>189</v>
      </c>
      <c r="B31" s="58">
        <v>25</v>
      </c>
      <c r="C31" s="59">
        <v>25</v>
      </c>
      <c r="D31" s="49"/>
      <c r="E31" s="49"/>
      <c r="F31" s="49"/>
      <c r="G31" s="49"/>
      <c r="J31" s="49"/>
      <c r="K31" s="7"/>
      <c r="L31" s="7"/>
      <c r="M31" s="7"/>
    </row>
    <row r="32" spans="1:13" ht="16.5" thickBot="1">
      <c r="A32" s="60" t="s">
        <v>191</v>
      </c>
      <c r="B32" s="120" t="e">
        <f ca="1">B31+B28</f>
        <v>#N/A</v>
      </c>
      <c r="C32" s="61" t="e">
        <f ca="1">C31+B29</f>
        <v>#N/A</v>
      </c>
      <c r="D32" s="49"/>
      <c r="E32" s="49"/>
      <c r="F32" s="1"/>
      <c r="G32" s="7"/>
      <c r="I32" s="43"/>
      <c r="J32" s="7"/>
      <c r="K32" s="7"/>
      <c r="L32" s="7"/>
      <c r="M32" s="7"/>
    </row>
    <row r="33" spans="1:13" ht="15.75">
      <c r="D33" s="49"/>
      <c r="E33" s="49"/>
      <c r="F33" s="63"/>
      <c r="I33" s="43"/>
      <c r="J33" s="50"/>
      <c r="K33" s="7"/>
      <c r="L33" s="7"/>
      <c r="M33" s="7"/>
    </row>
    <row r="34" spans="1:13" ht="15.75">
      <c r="A34" s="49"/>
      <c r="B34" s="6"/>
      <c r="C34" s="49"/>
      <c r="D34" s="49"/>
      <c r="E34" s="49"/>
      <c r="F34" s="49"/>
      <c r="G34" s="51"/>
      <c r="I34" s="43"/>
      <c r="J34" s="50"/>
      <c r="K34" s="7"/>
      <c r="L34" s="7"/>
      <c r="M34" s="7"/>
    </row>
    <row r="35" spans="1:13" ht="15.75">
      <c r="A35" s="7"/>
      <c r="B35" s="6"/>
      <c r="C35" s="7"/>
      <c r="D35" s="7"/>
      <c r="H35" s="7"/>
      <c r="I35" s="7"/>
      <c r="J35" s="7"/>
      <c r="K35" s="7"/>
      <c r="L35" s="7"/>
      <c r="M35" s="7"/>
    </row>
    <row r="36" spans="1:13" ht="15.75">
      <c r="B36" s="6"/>
    </row>
    <row r="37" spans="1:13" ht="15.75">
      <c r="B37" s="6"/>
    </row>
    <row r="38" spans="1:13" ht="15.75">
      <c r="B38" s="6"/>
    </row>
    <row r="39" spans="1:13" ht="15.75">
      <c r="B39" s="6"/>
    </row>
    <row r="40" spans="1:13" ht="15.75">
      <c r="B40" s="6"/>
    </row>
    <row r="41" spans="1:13" ht="15.75">
      <c r="B41" s="6"/>
    </row>
    <row r="42" spans="1:13" ht="15.75">
      <c r="B42" s="6"/>
    </row>
    <row r="43" spans="1:13" ht="15.75">
      <c r="B43" s="6"/>
    </row>
    <row r="44" spans="1:13" ht="15.75">
      <c r="B44" s="6"/>
    </row>
    <row r="45" spans="1:13" ht="15.75">
      <c r="B45" s="6"/>
    </row>
    <row r="46" spans="1:13" ht="15.75">
      <c r="B46" s="6"/>
    </row>
    <row r="47" spans="1:13" ht="15.75">
      <c r="B47" s="6"/>
    </row>
    <row r="48" spans="1:13" ht="15.75">
      <c r="B48" s="6"/>
    </row>
    <row r="49" spans="2:2" ht="15.75">
      <c r="B49" s="6"/>
    </row>
  </sheetData>
  <sheetProtection formatCells="0" formatColumns="0" formatRows="0" insertColumns="0" insertRows="0" insertHyperlinks="0" deleteColumns="0" deleteRows="0" sort="0" autoFilter="0" pivotTables="0"/>
  <sortState xmlns:xlrd2="http://schemas.microsoft.com/office/spreadsheetml/2017/richdata2" ref="N3:R12">
    <sortCondition descending="1" ref="Q2"/>
  </sortState>
  <mergeCells count="2">
    <mergeCell ref="A1:D1"/>
    <mergeCell ref="A7:D7"/>
  </mergeCells>
  <pageMargins left="0.7" right="0.7" top="0.75" bottom="0.75" header="0.3" footer="0.3"/>
  <pageSetup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9A16-C285-438B-A7C9-22460ED7094A}">
  <sheetPr codeName="Sheet19"/>
  <dimension ref="A1:DG76"/>
  <sheetViews>
    <sheetView showGridLines="0" workbookViewId="0"/>
  </sheetViews>
  <sheetFormatPr defaultRowHeight="15.75"/>
  <cols>
    <col min="1" max="11" width="9.140625" style="95"/>
    <col min="12" max="42" width="9.140625" style="111"/>
    <col min="43" max="43" width="12.140625" style="111" customWidth="1"/>
    <col min="44" max="44" width="6.5703125" style="111" bestFit="1" customWidth="1"/>
    <col min="45" max="45" width="6.85546875" style="111" bestFit="1" customWidth="1"/>
    <col min="46" max="46" width="6.5703125" style="111" bestFit="1" customWidth="1"/>
    <col min="47" max="47" width="9.140625" style="111"/>
    <col min="48" max="48" width="9.28515625" style="111" customWidth="1"/>
    <col min="49" max="49" width="31.28515625" style="111" bestFit="1" customWidth="1"/>
    <col min="50" max="50" width="51.7109375" style="111" bestFit="1" customWidth="1"/>
    <col min="51" max="51" width="9.140625" style="111"/>
    <col min="52" max="52" width="33" style="111" bestFit="1" customWidth="1"/>
    <col min="53" max="53" width="16" style="111" customWidth="1"/>
    <col min="54" max="54" width="31.7109375" style="111" bestFit="1" customWidth="1"/>
    <col min="55" max="55" width="9.140625" style="111"/>
    <col min="56" max="56" width="14.140625" style="111" bestFit="1" customWidth="1"/>
    <col min="57" max="57" width="11" style="111" bestFit="1" customWidth="1"/>
    <col min="58" max="58" width="9.5703125" style="111" bestFit="1" customWidth="1"/>
    <col min="59" max="59" width="15.42578125" style="111" bestFit="1" customWidth="1"/>
    <col min="60" max="60" width="38.5703125" style="111" bestFit="1" customWidth="1"/>
    <col min="61" max="61" width="13.7109375" style="111" bestFit="1" customWidth="1"/>
    <col min="62" max="62" width="15.28515625" style="111" bestFit="1" customWidth="1"/>
    <col min="63" max="65" width="13.7109375" style="111" customWidth="1"/>
    <col min="66" max="66" width="21" style="111" bestFit="1" customWidth="1"/>
    <col min="67" max="67" width="21" style="111" customWidth="1"/>
    <col min="68" max="68" width="170.85546875" style="111" bestFit="1" customWidth="1"/>
    <col min="69" max="69" width="219.42578125" style="111" bestFit="1" customWidth="1"/>
    <col min="70" max="70" width="20" style="111" bestFit="1" customWidth="1"/>
    <col min="71" max="71" width="9.140625" style="111"/>
    <col min="72" max="72" width="12.5703125" style="111" bestFit="1" customWidth="1"/>
    <col min="73" max="73" width="10.5703125" style="111" bestFit="1" customWidth="1"/>
    <col min="74" max="74" width="9.140625" style="111"/>
    <col min="75" max="75" width="14.140625" style="111" bestFit="1" customWidth="1"/>
    <col min="76" max="76" width="9.140625" style="111"/>
    <col min="77" max="77" width="9.140625" style="111" bestFit="1" customWidth="1"/>
    <col min="78" max="78" width="9.140625" style="111"/>
    <col min="79" max="79" width="20.28515625" style="111" customWidth="1"/>
    <col min="80" max="81" width="14.28515625" style="111" bestFit="1" customWidth="1"/>
    <col min="82" max="82" width="14.28515625" style="111" customWidth="1"/>
    <col min="83" max="83" width="9.140625" style="111"/>
    <col min="84" max="84" width="29.42578125" style="111" bestFit="1" customWidth="1"/>
    <col min="85" max="85" width="17.28515625" style="111" bestFit="1" customWidth="1"/>
    <col min="86" max="86" width="9.140625" style="111"/>
    <col min="87" max="87" width="59.85546875" style="111" bestFit="1" customWidth="1"/>
    <col min="88" max="88" width="9.140625" style="111"/>
    <col min="89" max="89" width="17" style="111" customWidth="1"/>
    <col min="90" max="93" width="9.140625" style="111"/>
    <col min="94" max="94" width="10.7109375" style="111" customWidth="1"/>
    <col min="95" max="95" width="35" style="111" bestFit="1" customWidth="1"/>
    <col min="96" max="96" width="9.140625" style="111"/>
    <col min="97" max="97" width="16.5703125" style="111" customWidth="1"/>
    <col min="98" max="98" width="20.28515625" style="111" bestFit="1" customWidth="1"/>
    <col min="99" max="99" width="9.140625" style="111"/>
    <col min="100" max="100" width="18.140625" style="111" bestFit="1" customWidth="1"/>
    <col min="101" max="101" width="13.7109375" style="111" bestFit="1" customWidth="1"/>
    <col min="102" max="102" width="13" style="111" bestFit="1" customWidth="1"/>
    <col min="103" max="109" width="9.140625" style="111"/>
    <col min="110" max="110" width="37.140625" style="111" bestFit="1" customWidth="1"/>
    <col min="111" max="111" width="12.5703125" style="111" customWidth="1"/>
    <col min="112" max="439" width="9.140625" style="111"/>
    <col min="440" max="440" width="11.28515625" style="111" bestFit="1" customWidth="1"/>
    <col min="441" max="16384" width="9.140625" style="111"/>
  </cols>
  <sheetData>
    <row r="1" spans="2:111">
      <c r="AQ1" s="41" t="s">
        <v>33</v>
      </c>
      <c r="AV1" s="41" t="s">
        <v>110</v>
      </c>
      <c r="AZ1" s="41" t="s">
        <v>389</v>
      </c>
      <c r="BD1" s="41" t="s">
        <v>388</v>
      </c>
      <c r="BT1" s="41" t="s">
        <v>390</v>
      </c>
      <c r="BY1" s="41" t="s">
        <v>391</v>
      </c>
      <c r="CA1" s="41" t="s">
        <v>420</v>
      </c>
      <c r="CB1" s="111" t="s">
        <v>421</v>
      </c>
      <c r="CF1" s="41" t="s">
        <v>369</v>
      </c>
      <c r="CI1" s="41" t="s">
        <v>387</v>
      </c>
      <c r="CK1" s="365" t="s">
        <v>63</v>
      </c>
      <c r="CM1" s="111" t="s">
        <v>551</v>
      </c>
      <c r="CQ1" s="41" t="s">
        <v>520</v>
      </c>
      <c r="CS1" s="41" t="s">
        <v>521</v>
      </c>
      <c r="CV1" s="41" t="s">
        <v>526</v>
      </c>
      <c r="CZ1" s="41" t="s">
        <v>551</v>
      </c>
      <c r="DB1" s="41" t="s">
        <v>551</v>
      </c>
      <c r="DD1" s="41" t="s">
        <v>552</v>
      </c>
      <c r="DF1" s="366" t="s">
        <v>550</v>
      </c>
    </row>
    <row r="2" spans="2:111">
      <c r="DF2" s="272"/>
    </row>
    <row r="3" spans="2:111">
      <c r="AQ3" s="39" t="s">
        <v>0</v>
      </c>
      <c r="AR3" s="39" t="s">
        <v>30</v>
      </c>
      <c r="AS3" s="39" t="s">
        <v>31</v>
      </c>
      <c r="AT3" s="39" t="s">
        <v>32</v>
      </c>
      <c r="AV3" s="367" t="s">
        <v>112</v>
      </c>
      <c r="AW3" s="368" t="s">
        <v>111</v>
      </c>
      <c r="AX3" s="367" t="s">
        <v>108</v>
      </c>
      <c r="AZ3" s="369" t="s">
        <v>209</v>
      </c>
      <c r="BA3" s="369" t="s">
        <v>210</v>
      </c>
      <c r="BB3" s="370" t="s">
        <v>353</v>
      </c>
      <c r="BD3" s="369" t="s">
        <v>329</v>
      </c>
      <c r="BE3" s="370" t="s">
        <v>378</v>
      </c>
      <c r="BF3" s="370" t="s">
        <v>377</v>
      </c>
      <c r="BG3" s="370" t="s">
        <v>379</v>
      </c>
      <c r="BH3" s="370" t="s">
        <v>380</v>
      </c>
      <c r="BI3" s="370" t="s">
        <v>396</v>
      </c>
      <c r="BJ3" s="370" t="s">
        <v>398</v>
      </c>
      <c r="BK3" s="370" t="s">
        <v>399</v>
      </c>
      <c r="BL3" s="370" t="s">
        <v>401</v>
      </c>
      <c r="BM3" s="370" t="s">
        <v>403</v>
      </c>
      <c r="BN3" s="370" t="s">
        <v>18</v>
      </c>
      <c r="BO3" s="370" t="s">
        <v>569</v>
      </c>
      <c r="BP3" s="370" t="s">
        <v>395</v>
      </c>
      <c r="BQ3" s="370" t="s">
        <v>385</v>
      </c>
      <c r="BR3" s="370" t="s">
        <v>405</v>
      </c>
      <c r="BT3" s="65" t="s">
        <v>357</v>
      </c>
      <c r="BU3" s="65" t="s">
        <v>330</v>
      </c>
      <c r="BV3" s="65" t="s">
        <v>352</v>
      </c>
      <c r="BW3" s="65" t="s">
        <v>393</v>
      </c>
      <c r="BY3" s="371" t="s">
        <v>375</v>
      </c>
      <c r="CA3" s="372" t="s">
        <v>342</v>
      </c>
      <c r="CB3" s="373" t="s">
        <v>343</v>
      </c>
      <c r="CC3" s="372" t="s">
        <v>346</v>
      </c>
      <c r="CD3" s="372" t="s">
        <v>415</v>
      </c>
      <c r="CF3" s="374" t="s">
        <v>370</v>
      </c>
      <c r="CG3" s="374" t="s">
        <v>112</v>
      </c>
      <c r="CI3" s="111" t="s">
        <v>392</v>
      </c>
      <c r="CK3" s="369" t="s">
        <v>423</v>
      </c>
      <c r="CM3" s="251" t="str">
        <f>_xlfn.UNICHAR(9654)</f>
        <v>▶</v>
      </c>
      <c r="CN3" s="203"/>
      <c r="CQ3" s="375" t="s">
        <v>436</v>
      </c>
      <c r="CS3" s="376" t="s">
        <v>370</v>
      </c>
      <c r="CT3" s="377" t="s">
        <v>112</v>
      </c>
      <c r="CV3" s="41" t="s">
        <v>342</v>
      </c>
      <c r="CW3" s="41" t="s">
        <v>509</v>
      </c>
      <c r="CX3" s="41" t="s">
        <v>510</v>
      </c>
      <c r="CZ3" s="250" t="str">
        <f>_xlfn.UNICHAR(HEX2DEC("1F4C2"))</f>
        <v>📂</v>
      </c>
      <c r="DD3" s="378" t="s">
        <v>112</v>
      </c>
    </row>
    <row r="4" spans="2:111">
      <c r="C4" s="104"/>
      <c r="AQ4" s="39" t="str">
        <f>INDEX(Setup!$B$16:$B$23,ROW()-3)</f>
        <v>Race</v>
      </c>
      <c r="AR4" s="39">
        <v>0</v>
      </c>
      <c r="AS4" s="39">
        <v>255</v>
      </c>
      <c r="AT4" s="39">
        <v>0</v>
      </c>
      <c r="AV4" s="379">
        <v>-4098</v>
      </c>
      <c r="AW4" s="380" t="s">
        <v>113</v>
      </c>
      <c r="AX4" s="380" t="s">
        <v>438</v>
      </c>
      <c r="AZ4" s="204" t="s">
        <v>211</v>
      </c>
      <c r="BA4" s="204" t="s">
        <v>212</v>
      </c>
      <c r="BB4" s="205" t="s">
        <v>386</v>
      </c>
      <c r="BD4" s="206" t="s">
        <v>330</v>
      </c>
      <c r="BE4" s="207" t="str">
        <f>"https://www.bikereg.com/api/"</f>
        <v>https://www.bikereg.com/api/</v>
      </c>
      <c r="BF4" s="208" t="s">
        <v>394</v>
      </c>
      <c r="BG4" s="208"/>
      <c r="BH4" s="208"/>
      <c r="BI4" s="208" t="str">
        <f>VLOOKUP(EventType,EventTypeTable[],MATCH(APITable[[#This Row],[Database]],EventTypeTable[#Headers],0),FALSE)</f>
        <v>Road Race</v>
      </c>
      <c r="BJ4" s="208" t="s">
        <v>397</v>
      </c>
      <c r="BK4" s="208" t="s">
        <v>400</v>
      </c>
      <c r="BL4" s="208" t="s">
        <v>402</v>
      </c>
      <c r="BM4" s="208" t="s">
        <v>404</v>
      </c>
      <c r="BN4" s="208" t="str">
        <f>IF(APITable[[#This Row],[Paramater4]]="year",SeasonSearch,"11%2F01%2F"&amp;SeasonSearch-1)</f>
        <v>2021</v>
      </c>
      <c r="BO4" s="208" t="str">
        <f>"10%2F31%2F"&amp;SeasonSearch</f>
        <v>10%2F31%2F2021</v>
      </c>
      <c r="BP4"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f>
        <v>search?states=NC&amp;eventtype=Road Race&amp;year=2021</v>
      </c>
      <c r="BQ4" s="208" t="str">
        <f>APITable[[#This Row],[URL]]&amp;APITable[[#This Row],[Query]]</f>
        <v>https://www.bikereg.com/api/search?states=NC&amp;eventtype=Road Race&amp;year=2021</v>
      </c>
      <c r="BR4" s="209" t="s">
        <v>406</v>
      </c>
      <c r="BT4" s="65" t="s">
        <v>358</v>
      </c>
      <c r="BU4" s="65" t="s">
        <v>364</v>
      </c>
      <c r="BV4" s="65" t="s">
        <v>361</v>
      </c>
      <c r="BW4" s="65">
        <v>19</v>
      </c>
      <c r="BY4" s="210">
        <f>YEAR(TodayDate)-1</f>
        <v>2020</v>
      </c>
      <c r="CA4" s="381" t="s">
        <v>40</v>
      </c>
      <c r="CB4" s="382" t="s">
        <v>40</v>
      </c>
      <c r="CC4" s="383" t="s">
        <v>508</v>
      </c>
      <c r="CD4" s="384" t="s">
        <v>419</v>
      </c>
      <c r="CF4" s="211" t="s">
        <v>371</v>
      </c>
      <c r="CG4" s="211" t="s">
        <v>393</v>
      </c>
      <c r="CI4" s="111" t="s">
        <v>567</v>
      </c>
      <c r="CK4" s="206" t="s">
        <v>63</v>
      </c>
      <c r="CO4" s="111" t="s">
        <v>63</v>
      </c>
      <c r="CQ4" s="212" t="s">
        <v>40</v>
      </c>
      <c r="CS4" s="213" t="s">
        <v>522</v>
      </c>
      <c r="CT4" s="214" t="s">
        <v>513</v>
      </c>
      <c r="CV4" s="111" t="s">
        <v>40</v>
      </c>
      <c r="CW4" s="111">
        <v>-4157</v>
      </c>
      <c r="CX4" s="111">
        <v>51</v>
      </c>
      <c r="CZ4" s="250" t="str">
        <f>_xlfn.UNICHAR(HEX2DEC("2b61"))</f>
        <v>⭡</v>
      </c>
      <c r="DB4" s="385" t="str">
        <f>UploadURL[Value]</f>
        <v xml:space="preserve"> </v>
      </c>
      <c r="DD4" s="378" t="s">
        <v>331</v>
      </c>
      <c r="DF4" s="245" t="s">
        <v>544</v>
      </c>
      <c r="DG4" s="245" t="s">
        <v>545</v>
      </c>
    </row>
    <row r="5" spans="2:111">
      <c r="B5" s="215"/>
      <c r="C5" s="216"/>
      <c r="D5" s="216"/>
      <c r="E5" s="216"/>
      <c r="G5" s="216"/>
      <c r="H5" s="216"/>
      <c r="I5" s="386"/>
      <c r="AQ5" s="39" t="str">
        <f>INDEX(Setup!$B$16:$B$23,ROW()-3)</f>
        <v>Peak</v>
      </c>
      <c r="AR5" s="39">
        <v>59</v>
      </c>
      <c r="AS5" s="39">
        <v>89</v>
      </c>
      <c r="AT5" s="39">
        <v>152</v>
      </c>
      <c r="AV5" s="379">
        <v>78</v>
      </c>
      <c r="AW5" s="380" t="s">
        <v>114</v>
      </c>
      <c r="AX5" s="380" t="s">
        <v>439</v>
      </c>
      <c r="AZ5" s="217" t="s">
        <v>213</v>
      </c>
      <c r="BA5" s="217" t="s">
        <v>214</v>
      </c>
      <c r="BB5" s="205" t="s">
        <v>386</v>
      </c>
      <c r="BD5" s="206" t="s">
        <v>393</v>
      </c>
      <c r="BE5" s="394" t="s">
        <v>570</v>
      </c>
      <c r="BF5" s="206" t="s">
        <v>394</v>
      </c>
      <c r="BG5" s="206"/>
      <c r="BH5" s="206"/>
      <c r="BI5" s="208">
        <f>VLOOKUP(EventType,EventTypeTable[],MATCH(APITable[[#This Row],[Database]],EventTypeTable[#Headers],0),FALSE)</f>
        <v>19</v>
      </c>
      <c r="BJ5" s="208" t="s">
        <v>571</v>
      </c>
      <c r="BK5" s="208" t="s">
        <v>572</v>
      </c>
      <c r="BL5" s="208" t="s">
        <v>568</v>
      </c>
      <c r="BM5" s="208" t="s">
        <v>573</v>
      </c>
      <c r="BN5" s="208" t="str">
        <f>IF(APITable[[#This Row],[Paramater4]]="year",SeasonSearch,"11%2F01%2F"&amp;SeasonSearch-1)</f>
        <v>11%2F01%2F2020</v>
      </c>
      <c r="BO5" s="208" t="str">
        <f>"10%2F31%2F"&amp;SeasonSearch</f>
        <v>10%2F31%2F2021</v>
      </c>
      <c r="BP5"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f>
        <v>?name=&amp;discipline=19&amp;sub_disciplines=&amp;event_types=&amp;special_calendars=&amp;date_start=11%2F01%2F2020&amp;date_end=10%2F31%2F2021&amp;location=&amp;state=NC</v>
      </c>
      <c r="BQ5" s="208" t="str">
        <f>APITable[[#This Row],[URL]]&amp;APITable[[#This Row],[Query]]</f>
        <v>https://www.usacycling.org/API/events-search?name=&amp;discipline=19&amp;sub_disciplines=&amp;event_types=&amp;special_calendars=&amp;date_start=11%2F01%2F2020&amp;date_end=10%2F31%2F2021&amp;location=&amp;state=NC</v>
      </c>
      <c r="BR5" s="209" t="s">
        <v>407</v>
      </c>
      <c r="BT5" s="65" t="s">
        <v>360</v>
      </c>
      <c r="BU5" s="65" t="s">
        <v>365</v>
      </c>
      <c r="BV5" s="65" t="s">
        <v>362</v>
      </c>
      <c r="BW5" s="65">
        <v>21</v>
      </c>
      <c r="BY5" s="218">
        <f>YEAR(TodayDate)</f>
        <v>2021</v>
      </c>
      <c r="CA5" s="381" t="s">
        <v>79</v>
      </c>
      <c r="CB5" s="382" t="str" cm="1">
        <f t="array" aca="1" ref="CB5" ca="1">IFERROR(INDEX(INDIRECT("UploadQuery[Calories Unit]"),MATCH(TRUE,INDEX((INDIRECT("UploadQuery[Calories Unit]")&lt;&gt;""),),0)),"C")</f>
        <v>C</v>
      </c>
      <c r="CC5" s="382" t="s">
        <v>347</v>
      </c>
      <c r="CD5" s="384" t="s">
        <v>419</v>
      </c>
      <c r="CF5" s="219" t="s">
        <v>372</v>
      </c>
      <c r="CG5" s="220" t="s">
        <v>358</v>
      </c>
      <c r="CK5" s="221" t="s">
        <v>425</v>
      </c>
      <c r="CO5" s="111" t="s">
        <v>425</v>
      </c>
      <c r="CQ5" s="212" t="s">
        <v>79</v>
      </c>
      <c r="CS5" s="222" t="s">
        <v>524</v>
      </c>
      <c r="CT5" s="223" t="s">
        <v>533</v>
      </c>
      <c r="CV5" s="111" t="s">
        <v>79</v>
      </c>
      <c r="CW5" s="111">
        <v>-4157</v>
      </c>
      <c r="CX5" s="111">
        <v>51</v>
      </c>
      <c r="CZ5" s="250" t="str">
        <f>_xlfn.UNICHAR(HEX2DEC("2b63"))</f>
        <v>⭣</v>
      </c>
      <c r="DF5" s="387" t="s">
        <v>535</v>
      </c>
      <c r="DG5" s="388" t="b">
        <v>0</v>
      </c>
    </row>
    <row r="6" spans="2:111">
      <c r="B6" s="215"/>
      <c r="C6" s="216"/>
      <c r="D6" s="216"/>
      <c r="E6" s="216"/>
      <c r="G6" s="216"/>
      <c r="H6" s="216"/>
      <c r="I6" s="389"/>
      <c r="AQ6" s="39" t="str">
        <f>INDEX(Setup!$B$16:$B$23,ROW()-3)</f>
        <v>Build II</v>
      </c>
      <c r="AR6" s="39">
        <v>210</v>
      </c>
      <c r="AS6" s="39">
        <v>31</v>
      </c>
      <c r="AT6" s="39">
        <v>52</v>
      </c>
      <c r="AV6" s="379">
        <v>79</v>
      </c>
      <c r="AW6" s="380" t="s">
        <v>115</v>
      </c>
      <c r="AX6" s="380" t="s">
        <v>440</v>
      </c>
      <c r="AZ6" s="204" t="s">
        <v>215</v>
      </c>
      <c r="BA6" s="204" t="s">
        <v>216</v>
      </c>
      <c r="BB6" s="205" t="s">
        <v>386</v>
      </c>
      <c r="BD6" s="206" t="s">
        <v>352</v>
      </c>
      <c r="BE6" s="111" t="s">
        <v>382</v>
      </c>
      <c r="BF6" s="206" t="s">
        <v>381</v>
      </c>
      <c r="BG6" s="206" t="s">
        <v>383</v>
      </c>
      <c r="BH6" s="206" t="s">
        <v>384</v>
      </c>
      <c r="BI6" s="208" t="str">
        <f>VLOOKUP(EventType,EventTypeTable[],MATCH(APITable[[#This Row],[Database]],EventTypeTable[#Headers],0),FALSE)</f>
        <v>ROA</v>
      </c>
      <c r="BJ6" s="208"/>
      <c r="BK6" s="208"/>
      <c r="BL6" s="208"/>
      <c r="BM6" s="208"/>
      <c r="BN6" s="208" t="str">
        <f>IF(APITable[[#This Row],[Paramater4]]="year",SeasonSearch,"11%2F01%2F"&amp;SeasonSearch-1)</f>
        <v>11%2F01%2F2020</v>
      </c>
      <c r="BO6" s="208" t="str">
        <f>"10%2F31%2F"&amp;SeasonSearch</f>
        <v>10%2F31%2F2021</v>
      </c>
      <c r="BP6"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f>
        <v>ROA&amp;11%2F01%2F2020&amp;10%2F31%2F2021&amp;NC</v>
      </c>
      <c r="BQ6" s="208" t="str">
        <f>APITable[[#This Row],[URL]]&amp;APITable[[#This Row],[Query]]</f>
        <v>https://www.uci.org/web-interface/Base/ExportExcelCalendarROA&amp;11%2F01%2F2020&amp;10%2F31%2F2021&amp;NC</v>
      </c>
      <c r="BR6" s="209" t="s">
        <v>408</v>
      </c>
      <c r="BT6" s="65" t="s">
        <v>359</v>
      </c>
      <c r="BU6" s="65" t="s">
        <v>366</v>
      </c>
      <c r="BV6" s="65" t="s">
        <v>363</v>
      </c>
      <c r="BW6" s="65">
        <v>23</v>
      </c>
      <c r="BY6" s="224">
        <f>YEAR(TodayDate)+1</f>
        <v>2022</v>
      </c>
      <c r="CA6" s="381" t="s">
        <v>511</v>
      </c>
      <c r="CB6" s="382" t="s">
        <v>344</v>
      </c>
      <c r="CC6" s="382" t="s">
        <v>422</v>
      </c>
      <c r="CD6" s="384" t="s">
        <v>416</v>
      </c>
      <c r="CF6" s="211" t="s">
        <v>373</v>
      </c>
      <c r="CG6" s="225" t="s">
        <v>275</v>
      </c>
      <c r="CQ6" s="226" t="s">
        <v>511</v>
      </c>
      <c r="CS6" s="213" t="s">
        <v>523</v>
      </c>
      <c r="CT6" s="227" t="s">
        <v>514</v>
      </c>
      <c r="CV6" s="111" t="s">
        <v>511</v>
      </c>
      <c r="CW6" s="111">
        <v>-4157</v>
      </c>
      <c r="CX6" s="111">
        <v>51</v>
      </c>
      <c r="DF6" s="390" t="s">
        <v>536</v>
      </c>
      <c r="DG6" s="388" t="b">
        <v>1</v>
      </c>
    </row>
    <row r="7" spans="2:111">
      <c r="B7" s="215"/>
      <c r="C7" s="216"/>
      <c r="D7" s="216"/>
      <c r="E7" s="216"/>
      <c r="G7" s="216"/>
      <c r="H7" s="216"/>
      <c r="I7" s="389"/>
      <c r="AQ7" s="39" t="str">
        <f>INDEX(Setup!$B$16:$B$23,ROW()-3)</f>
        <v>Build I</v>
      </c>
      <c r="AR7" s="39">
        <v>166</v>
      </c>
      <c r="AS7" s="39">
        <v>31</v>
      </c>
      <c r="AT7" s="39">
        <v>52</v>
      </c>
      <c r="AV7" s="379">
        <v>60</v>
      </c>
      <c r="AW7" s="380" t="s">
        <v>116</v>
      </c>
      <c r="AX7" s="380" t="s">
        <v>441</v>
      </c>
      <c r="AZ7" s="217" t="s">
        <v>217</v>
      </c>
      <c r="BA7" s="217" t="s">
        <v>218</v>
      </c>
      <c r="BB7" s="205" t="s">
        <v>386</v>
      </c>
      <c r="BT7" s="65" t="s">
        <v>367</v>
      </c>
      <c r="BU7" s="65" t="s">
        <v>367</v>
      </c>
      <c r="BV7" s="65" t="s">
        <v>368</v>
      </c>
      <c r="BW7" s="65">
        <v>20</v>
      </c>
      <c r="CA7" s="381" t="s">
        <v>418</v>
      </c>
      <c r="CB7" s="382" t="s">
        <v>344</v>
      </c>
      <c r="CC7" s="382" t="s">
        <v>422</v>
      </c>
      <c r="CD7" s="384" t="s">
        <v>416</v>
      </c>
      <c r="CF7" s="219" t="s">
        <v>374</v>
      </c>
      <c r="CG7" s="220" t="str">
        <f>VLOOKUP(StateSearch,StateTable[],2,FALSE)</f>
        <v>NC</v>
      </c>
      <c r="CQ7" s="228" t="s">
        <v>514</v>
      </c>
      <c r="CS7" s="222" t="s">
        <v>525</v>
      </c>
      <c r="CT7" s="223" t="s">
        <v>533</v>
      </c>
      <c r="CV7" s="111" t="s">
        <v>514</v>
      </c>
      <c r="CW7" s="111">
        <v>-4106</v>
      </c>
      <c r="CX7" s="111">
        <v>4</v>
      </c>
      <c r="DF7" s="391" t="s">
        <v>537</v>
      </c>
      <c r="DG7" s="388" t="b">
        <v>0</v>
      </c>
    </row>
    <row r="8" spans="2:111">
      <c r="B8" s="215"/>
      <c r="C8" s="216"/>
      <c r="D8" s="216"/>
      <c r="E8" s="216"/>
      <c r="G8" s="216"/>
      <c r="H8" s="216"/>
      <c r="I8" s="389"/>
      <c r="AQ8" s="39" t="str">
        <f>INDEX(Setup!$B$16:$B$23,ROW()-3)</f>
        <v>Base III</v>
      </c>
      <c r="AR8" s="39">
        <v>255</v>
      </c>
      <c r="AS8" s="39">
        <v>170</v>
      </c>
      <c r="AT8" s="39">
        <v>100</v>
      </c>
      <c r="AV8" s="379">
        <v>61</v>
      </c>
      <c r="AW8" s="380" t="s">
        <v>117</v>
      </c>
      <c r="AX8" s="380" t="s">
        <v>442</v>
      </c>
      <c r="AZ8" s="204" t="s">
        <v>219</v>
      </c>
      <c r="BA8" s="204" t="s">
        <v>220</v>
      </c>
      <c r="BB8" s="205" t="s">
        <v>386</v>
      </c>
      <c r="BQ8" s="229"/>
      <c r="BR8" s="229"/>
      <c r="BT8" s="65"/>
      <c r="BU8" s="65"/>
      <c r="BV8" s="65"/>
      <c r="BW8" s="65"/>
      <c r="CA8" s="381" t="s">
        <v>514</v>
      </c>
      <c r="CB8" s="382" t="str" cm="1">
        <f t="array" aca="1" ref="CB8" ca="1">IFERROR(INDEX(INDIRECT("UploadQuery[Cadence Unit]"),MATCH(TRUE,INDEX((INDIRECT("UploadQuery[Cadence Unit]")&lt;&gt;""),),0)),"rpm")</f>
        <v>rpm</v>
      </c>
      <c r="CC8" s="382" t="str" cm="1">
        <f t="array" aca="1" ref="CC8" ca="1">IFERROR(INDEX(INDIRECT("UploadQuery[Cadence Unit]"),MATCH(TRUE,INDEX((INDIRECT("UploadQuery[Cadence Unit]")&lt;&gt;""),),0)),"rpm")</f>
        <v>rpm</v>
      </c>
      <c r="CD8" s="384">
        <v>0</v>
      </c>
      <c r="CF8" s="230" t="s">
        <v>376</v>
      </c>
      <c r="CG8" s="231" t="s">
        <v>564</v>
      </c>
      <c r="CQ8" s="228" t="s">
        <v>533</v>
      </c>
      <c r="CS8" s="232" t="s">
        <v>527</v>
      </c>
      <c r="CT8" s="233" t="s">
        <v>515</v>
      </c>
      <c r="CV8" s="111" t="s">
        <v>533</v>
      </c>
      <c r="CW8" s="111">
        <v>-4106</v>
      </c>
      <c r="CX8" s="111">
        <v>4</v>
      </c>
      <c r="DF8" s="390" t="s">
        <v>538</v>
      </c>
      <c r="DG8" s="388" t="b">
        <v>0</v>
      </c>
    </row>
    <row r="9" spans="2:111">
      <c r="B9" s="215"/>
      <c r="C9" s="216"/>
      <c r="D9" s="216"/>
      <c r="E9" s="216"/>
      <c r="G9" s="216"/>
      <c r="H9" s="216"/>
      <c r="I9" s="389"/>
      <c r="AQ9" s="39" t="str">
        <f>INDEX(Setup!$B$16:$B$23,ROW()-3)</f>
        <v>Base II</v>
      </c>
      <c r="AR9" s="39">
        <v>255</v>
      </c>
      <c r="AS9" s="39">
        <v>128</v>
      </c>
      <c r="AT9" s="39">
        <v>80</v>
      </c>
      <c r="AV9" s="379">
        <v>62</v>
      </c>
      <c r="AW9" s="380" t="s">
        <v>118</v>
      </c>
      <c r="AX9" s="380" t="s">
        <v>443</v>
      </c>
      <c r="AZ9" s="217" t="s">
        <v>221</v>
      </c>
      <c r="BA9" s="217" t="s">
        <v>222</v>
      </c>
      <c r="BB9" s="205" t="s">
        <v>386</v>
      </c>
      <c r="BQ9" s="75"/>
      <c r="BR9" s="75"/>
      <c r="CA9" s="381" t="s">
        <v>345</v>
      </c>
      <c r="CB9" s="382" t="str" cm="1">
        <f t="array" aca="1" ref="CB9" ca="1">IFERROR(INDEX(INDIRECT("UploadQuery[Cadence Unit]"),MATCH(TRUE,INDEX((INDIRECT("UploadQuery[Cadence Unit]")&lt;&gt;""),),0)),"rpm")</f>
        <v>rpm</v>
      </c>
      <c r="CC9" s="382" t="str" cm="1">
        <f t="array" aca="1" ref="CC9" ca="1">IFERROR(INDEX(INDIRECT("UploadQuery[Cadence Unit]"),MATCH(TRUE,INDEX((INDIRECT("UploadQuery[Cadence Unit]")&lt;&gt;""),),0)),"rpm")</f>
        <v>rpm</v>
      </c>
      <c r="CD9" s="384">
        <v>0</v>
      </c>
      <c r="CQ9" s="228" t="s">
        <v>101</v>
      </c>
      <c r="CS9" s="222" t="s">
        <v>528</v>
      </c>
      <c r="CT9" s="222" t="s">
        <v>79</v>
      </c>
      <c r="CV9" s="111" t="s">
        <v>101</v>
      </c>
      <c r="CW9" s="111">
        <v>-4106</v>
      </c>
      <c r="CX9" s="111">
        <v>4</v>
      </c>
      <c r="DF9" s="388" t="s">
        <v>539</v>
      </c>
      <c r="DG9" s="388" t="b">
        <v>0</v>
      </c>
    </row>
    <row r="10" spans="2:111">
      <c r="B10" s="215"/>
      <c r="C10" s="216"/>
      <c r="D10" s="216"/>
      <c r="E10" s="216"/>
      <c r="G10" s="216"/>
      <c r="H10" s="216"/>
      <c r="I10" s="389"/>
      <c r="AQ10" s="39" t="str">
        <f>INDEX(Setup!$B$16:$B$23,ROW()-3)</f>
        <v>Base I</v>
      </c>
      <c r="AR10" s="39">
        <v>255</v>
      </c>
      <c r="AS10" s="39">
        <v>128</v>
      </c>
      <c r="AT10" s="39">
        <v>0</v>
      </c>
      <c r="AV10" s="379">
        <v>-4100</v>
      </c>
      <c r="AW10" s="380" t="s">
        <v>119</v>
      </c>
      <c r="AX10" s="380" t="s">
        <v>444</v>
      </c>
      <c r="AZ10" s="204" t="s">
        <v>223</v>
      </c>
      <c r="BA10" s="204" t="s">
        <v>224</v>
      </c>
      <c r="BB10" s="205" t="s">
        <v>386</v>
      </c>
      <c r="CA10" s="381" t="s">
        <v>25</v>
      </c>
      <c r="CB10" s="382" t="str" cm="1">
        <f t="array" aca="1" ref="CB10" ca="1">IFERROR(INDEX(INDIRECT("UploadQuery[Calories Unit]"),MATCH(TRUE,INDEX((INDIRECT("UploadQuery[Calories Unit]")&lt;&gt;""),),0)),"C")</f>
        <v>C</v>
      </c>
      <c r="CC10" s="382" t="s">
        <v>347</v>
      </c>
      <c r="CD10" s="384" t="s">
        <v>419</v>
      </c>
      <c r="CQ10" s="228" t="s">
        <v>100</v>
      </c>
      <c r="CS10" s="232" t="s">
        <v>529</v>
      </c>
      <c r="CT10" s="233" t="s">
        <v>533</v>
      </c>
      <c r="CV10" s="111" t="s">
        <v>100</v>
      </c>
      <c r="CW10" s="111">
        <v>-4157</v>
      </c>
      <c r="CX10" s="111">
        <v>51</v>
      </c>
      <c r="DF10" s="388" t="s">
        <v>540</v>
      </c>
      <c r="DG10" s="388" t="b">
        <v>0</v>
      </c>
    </row>
    <row r="11" spans="2:111">
      <c r="B11" s="215"/>
      <c r="C11" s="216"/>
      <c r="D11" s="216"/>
      <c r="E11" s="216"/>
      <c r="G11" s="216"/>
      <c r="H11" s="216"/>
      <c r="I11" s="389"/>
      <c r="AQ11" s="39" t="str">
        <f>INDEX(Setup!$B$16:$B$23,ROW()-3)</f>
        <v>Prep.</v>
      </c>
      <c r="AR11" s="39">
        <v>255</v>
      </c>
      <c r="AS11" s="39">
        <v>200</v>
      </c>
      <c r="AT11" s="39">
        <v>0</v>
      </c>
      <c r="AV11" s="379">
        <v>54</v>
      </c>
      <c r="AW11" s="380" t="s">
        <v>120</v>
      </c>
      <c r="AX11" s="380" t="s">
        <v>445</v>
      </c>
      <c r="AZ11" s="217" t="s">
        <v>225</v>
      </c>
      <c r="BA11" s="217" t="s">
        <v>226</v>
      </c>
      <c r="BB11" s="205" t="s">
        <v>386</v>
      </c>
      <c r="BQ11" s="88"/>
      <c r="BR11" s="88"/>
      <c r="CA11" s="381" t="s">
        <v>26</v>
      </c>
      <c r="CB11" s="382" t="str" cm="1">
        <f t="array" aca="1" ref="CB11" ca="1">IFERROR(INDEX(INDIRECT("UploadQuery[Calories Unit]"),MATCH(TRUE,INDEX((INDIRECT("UploadQuery[Calories Unit]")&lt;&gt;""),),0)),"C")</f>
        <v>C</v>
      </c>
      <c r="CC11" s="382" t="s">
        <v>347</v>
      </c>
      <c r="CD11" s="384" t="s">
        <v>419</v>
      </c>
      <c r="CQ11" s="228" t="s">
        <v>512</v>
      </c>
      <c r="CS11" s="222" t="s">
        <v>530</v>
      </c>
      <c r="CT11" s="222"/>
      <c r="CV11" s="111" t="s">
        <v>512</v>
      </c>
      <c r="CW11" s="111">
        <v>-4157</v>
      </c>
      <c r="CX11" s="111">
        <v>1</v>
      </c>
      <c r="DF11" s="388" t="s">
        <v>541</v>
      </c>
      <c r="DG11" s="388" t="b">
        <v>0</v>
      </c>
    </row>
    <row r="12" spans="2:111">
      <c r="B12" s="215"/>
      <c r="C12" s="216"/>
      <c r="D12" s="216"/>
      <c r="E12" s="216"/>
      <c r="G12" s="216"/>
      <c r="H12" s="216"/>
      <c r="I12" s="389"/>
      <c r="AQ12" s="39" t="s">
        <v>90</v>
      </c>
      <c r="AR12" s="39">
        <v>255</v>
      </c>
      <c r="AS12" s="39">
        <v>128</v>
      </c>
      <c r="AT12" s="39">
        <v>0</v>
      </c>
      <c r="AV12" s="379">
        <v>55</v>
      </c>
      <c r="AW12" s="380" t="s">
        <v>121</v>
      </c>
      <c r="AX12" s="380" t="s">
        <v>446</v>
      </c>
      <c r="AZ12" s="204" t="s">
        <v>227</v>
      </c>
      <c r="BA12" s="204" t="s">
        <v>228</v>
      </c>
      <c r="BB12" s="205" t="s">
        <v>386</v>
      </c>
      <c r="CA12" s="381" t="s">
        <v>332</v>
      </c>
      <c r="CB12" s="382" t="str" cm="1">
        <f t="array" aca="1" ref="CB12" ca="1">IFERROR(INDEX(INDIRECT("UploadQuery[Calories Unit]"),MATCH(TRUE,INDEX((INDIRECT("UploadQuery[Calories Unit]")&lt;&gt;""),),0)),"C")</f>
        <v>C</v>
      </c>
      <c r="CC12" s="382" t="s">
        <v>347</v>
      </c>
      <c r="CD12" s="384" t="s">
        <v>419</v>
      </c>
      <c r="CQ12" s="228" t="s">
        <v>513</v>
      </c>
      <c r="CV12" s="111" t="s">
        <v>513</v>
      </c>
      <c r="CW12" s="111">
        <v>-4106</v>
      </c>
      <c r="CX12" s="111">
        <v>4</v>
      </c>
      <c r="DF12" s="388" t="s">
        <v>542</v>
      </c>
      <c r="DG12" s="388" t="b">
        <v>0</v>
      </c>
    </row>
    <row r="13" spans="2:111">
      <c r="B13" s="215"/>
      <c r="C13" s="216"/>
      <c r="D13" s="216"/>
      <c r="E13" s="216"/>
      <c r="G13" s="216"/>
      <c r="H13" s="216"/>
      <c r="I13" s="389"/>
      <c r="AQ13" s="39" t="s">
        <v>333</v>
      </c>
      <c r="AR13" s="39">
        <v>166</v>
      </c>
      <c r="AS13" s="39">
        <v>166</v>
      </c>
      <c r="AT13" s="39">
        <v>166</v>
      </c>
      <c r="AV13" s="379">
        <v>56</v>
      </c>
      <c r="AW13" s="380" t="s">
        <v>122</v>
      </c>
      <c r="AX13" s="380" t="s">
        <v>447</v>
      </c>
      <c r="AZ13" s="217" t="s">
        <v>229</v>
      </c>
      <c r="BA13" s="217" t="s">
        <v>230</v>
      </c>
      <c r="BB13" s="205" t="s">
        <v>386</v>
      </c>
      <c r="CA13" s="381" t="s">
        <v>533</v>
      </c>
      <c r="CB13" s="382" t="str">
        <f>UnitsTable[[#This Row],[Field]]</f>
        <v>Cal/hour</v>
      </c>
      <c r="CC13" s="382" t="str">
        <f>UnitsTable[[#This Row],[Field]]</f>
        <v>Cal/hour</v>
      </c>
      <c r="CD13" s="384">
        <v>0</v>
      </c>
      <c r="CQ13" s="228" t="s">
        <v>515</v>
      </c>
      <c r="CV13" s="111" t="s">
        <v>515</v>
      </c>
      <c r="CW13" s="111">
        <v>-4106</v>
      </c>
      <c r="CX13" s="111">
        <v>4</v>
      </c>
      <c r="DF13" s="388" t="s">
        <v>543</v>
      </c>
      <c r="DG13" s="388" t="b">
        <v>0</v>
      </c>
    </row>
    <row r="14" spans="2:111">
      <c r="B14" s="215"/>
      <c r="C14" s="216"/>
      <c r="D14" s="216"/>
      <c r="E14" s="216"/>
      <c r="G14" s="216"/>
      <c r="H14" s="216"/>
      <c r="I14" s="389"/>
      <c r="AQ14" s="39" t="s">
        <v>91</v>
      </c>
      <c r="AR14" s="39">
        <v>0</v>
      </c>
      <c r="AS14" s="39">
        <v>255</v>
      </c>
      <c r="AT14" s="39">
        <v>0</v>
      </c>
      <c r="AV14" s="379">
        <v>-4101</v>
      </c>
      <c r="AW14" s="380" t="s">
        <v>123</v>
      </c>
      <c r="AX14" s="380" t="s">
        <v>448</v>
      </c>
      <c r="AZ14" s="204" t="s">
        <v>231</v>
      </c>
      <c r="BA14" s="204" t="s">
        <v>232</v>
      </c>
      <c r="BB14" s="205" t="s">
        <v>386</v>
      </c>
      <c r="BQ14" s="234"/>
      <c r="BR14" s="234"/>
      <c r="CA14" s="381" t="s">
        <v>101</v>
      </c>
      <c r="CB14" s="382" t="str">
        <f>UnitsTable[[#This Row],[Field]]</f>
        <v>Climber Index</v>
      </c>
      <c r="CC14" s="382" t="str">
        <f>UnitsTable[[#This Row],[Field]]</f>
        <v>Climber Index</v>
      </c>
      <c r="CD14" s="384">
        <v>0</v>
      </c>
      <c r="CQ14" s="228" t="s">
        <v>47</v>
      </c>
      <c r="CV14" s="111" t="s">
        <v>47</v>
      </c>
      <c r="CW14" s="111">
        <v>-4106</v>
      </c>
      <c r="CX14" s="111">
        <v>4</v>
      </c>
      <c r="DF14" s="388" t="s">
        <v>546</v>
      </c>
      <c r="DG14" s="388" t="b">
        <v>0</v>
      </c>
    </row>
    <row r="15" spans="2:111">
      <c r="G15" s="216"/>
      <c r="AQ15" s="39" t="s">
        <v>92</v>
      </c>
      <c r="AR15" s="39">
        <v>166</v>
      </c>
      <c r="AS15" s="39">
        <v>166</v>
      </c>
      <c r="AT15" s="39">
        <v>166</v>
      </c>
      <c r="AV15" s="379">
        <v>-4102</v>
      </c>
      <c r="AW15" s="380" t="s">
        <v>124</v>
      </c>
      <c r="AX15" s="380" t="s">
        <v>449</v>
      </c>
      <c r="AZ15" s="217" t="s">
        <v>233</v>
      </c>
      <c r="BA15" s="217" t="s">
        <v>234</v>
      </c>
      <c r="BB15" s="205" t="s">
        <v>386</v>
      </c>
      <c r="BQ15" s="234"/>
      <c r="BR15" s="234"/>
      <c r="CA15" s="381" t="s">
        <v>100</v>
      </c>
      <c r="CB15" s="382" t="str" cm="1">
        <f t="array" aca="1" ref="CB15" ca="1">IFERROR(INDEX(INDIRECT("UploadQuery[Distance Unit]"),MATCH(TRUE,INDEX((INDIRECT("UploadQuery[Distance Unit]")&lt;&gt;""),),0)),"mi")</f>
        <v>mi</v>
      </c>
      <c r="CC15" s="382" t="str" cm="1">
        <f t="array" aca="1" ref="CC15" ca="1">IFERROR(INDEX(INDIRECT("UploadQuery[Distance Unit]"),MATCH(TRUE,INDEX((INDIRECT("UploadQuery[Distance Unit]")&lt;&gt;""),),0)),"mi")</f>
        <v>mi</v>
      </c>
      <c r="CD15" s="384" t="s">
        <v>419</v>
      </c>
      <c r="CQ15" s="228" t="s">
        <v>46</v>
      </c>
      <c r="CV15" s="111" t="s">
        <v>46</v>
      </c>
      <c r="CW15" s="111">
        <v>-4106</v>
      </c>
      <c r="CX15" s="111">
        <v>4</v>
      </c>
      <c r="DF15" s="388" t="s">
        <v>549</v>
      </c>
      <c r="DG15" s="388" t="b">
        <v>1</v>
      </c>
    </row>
    <row r="16" spans="2:111">
      <c r="G16" s="216"/>
      <c r="AQ16" s="39" t="s">
        <v>94</v>
      </c>
      <c r="AR16" s="39">
        <v>0</v>
      </c>
      <c r="AS16" s="39">
        <v>0</v>
      </c>
      <c r="AT16" s="39">
        <v>255</v>
      </c>
      <c r="AV16" s="379">
        <v>70</v>
      </c>
      <c r="AW16" s="380" t="s">
        <v>125</v>
      </c>
      <c r="AX16" s="380" t="s">
        <v>450</v>
      </c>
      <c r="AZ16" s="204" t="s">
        <v>235</v>
      </c>
      <c r="BA16" s="204" t="s">
        <v>236</v>
      </c>
      <c r="BB16" s="205" t="s">
        <v>386</v>
      </c>
      <c r="BQ16" s="91"/>
      <c r="BR16" s="91"/>
      <c r="CA16" s="381" t="s">
        <v>512</v>
      </c>
      <c r="CB16" s="382" t="str" cm="1">
        <f t="array" aca="1" ref="CB16" ca="1">IFERROR(INDEX(INDIRECT("UploadQuery[Elevation Unit]"),MATCH(TRUE,INDEX((INDIRECT("UploadQuery[Elevation Unit]")&lt;&gt;""),),0)),"ft")</f>
        <v>ft</v>
      </c>
      <c r="CC16" s="382" t="str" cm="1">
        <f t="array" aca="1" ref="CC16" ca="1">IFERROR(INDEX(INDIRECT("UploadQuery[Elevation Unit]"),MATCH(TRUE,INDEX((INDIRECT("UploadQuery[Elevation Unit]")&lt;&gt;""),),0)),"ft")</f>
        <v>ft</v>
      </c>
      <c r="CD16" s="384" t="s">
        <v>419</v>
      </c>
      <c r="CP16" s="137"/>
      <c r="CQ16" s="235"/>
      <c r="CR16" s="137"/>
      <c r="CS16" s="137"/>
    </row>
    <row r="17" spans="7:97">
      <c r="G17" s="216"/>
      <c r="AQ17" s="39" t="s">
        <v>93</v>
      </c>
      <c r="AR17" s="39">
        <v>255</v>
      </c>
      <c r="AS17" s="39">
        <v>0</v>
      </c>
      <c r="AT17" s="39">
        <v>0</v>
      </c>
      <c r="AV17" s="379">
        <v>1</v>
      </c>
      <c r="AW17" s="380" t="s">
        <v>126</v>
      </c>
      <c r="AX17" s="380" t="s">
        <v>127</v>
      </c>
      <c r="AZ17" s="217" t="s">
        <v>237</v>
      </c>
      <c r="BA17" s="217" t="s">
        <v>238</v>
      </c>
      <c r="BB17" s="205" t="s">
        <v>386</v>
      </c>
      <c r="BQ17" s="91"/>
      <c r="BR17" s="91"/>
      <c r="CA17" s="381" t="s">
        <v>95</v>
      </c>
      <c r="CB17" s="382" t="str" cm="1">
        <f t="array" aca="1" ref="CB17" ca="1">IFERROR(INDEX(INDIRECT("UploadQuery[Elevation Unit]"),MATCH(TRUE,INDEX((INDIRECT("UploadQuery[Elevation Unit]")&lt;&gt;""),),0)),"ft")</f>
        <v>ft</v>
      </c>
      <c r="CC17" s="382" t="str" cm="1">
        <f t="array" aca="1" ref="CC17" ca="1">IFERROR(INDEX(INDIRECT("UploadQuery[Elevation Unit]"),MATCH(TRUE,INDEX((INDIRECT("UploadQuery[Elevation Unit]")&lt;&gt;""),),0)),"ft")</f>
        <v>ft</v>
      </c>
      <c r="CD17" s="384" t="s">
        <v>419</v>
      </c>
      <c r="CP17" s="137"/>
      <c r="CQ17" s="137"/>
      <c r="CR17" s="137"/>
      <c r="CS17" s="137"/>
    </row>
    <row r="18" spans="7:97">
      <c r="G18" s="216"/>
      <c r="AQ18" s="39" t="s">
        <v>102</v>
      </c>
      <c r="AR18" s="39">
        <v>225</v>
      </c>
      <c r="AS18" s="39">
        <v>104</v>
      </c>
      <c r="AT18" s="39">
        <v>75</v>
      </c>
      <c r="AV18" s="379">
        <v>76</v>
      </c>
      <c r="AW18" s="380" t="s">
        <v>128</v>
      </c>
      <c r="AX18" s="380" t="s">
        <v>451</v>
      </c>
      <c r="AZ18" s="204" t="s">
        <v>239</v>
      </c>
      <c r="BA18" s="204" t="s">
        <v>240</v>
      </c>
      <c r="BB18" s="205" t="s">
        <v>386</v>
      </c>
      <c r="CA18" s="381" t="s">
        <v>513</v>
      </c>
      <c r="CB18" s="382" t="str" cm="1">
        <f t="array" aca="1" ref="CB18" ca="1">IFERROR(INDEX(INDIRECT("UploadQuery[Heart Rate Unit]"),MATCH(TRUE,INDEX((INDIRECT("UploadQuery[Heart Rate Unit]")&lt;&gt;""),),0)),"bpm")</f>
        <v>bpm</v>
      </c>
      <c r="CC18" s="382" t="str" cm="1">
        <f t="array" aca="1" ref="CC18" ca="1">IFERROR(INDEX(INDIRECT("UploadQuery[Heart Rate Unit]"),MATCH(TRUE,INDEX((INDIRECT("UploadQuery[Heart Rate Unit]")&lt;&gt;""),),0)),"bpm")</f>
        <v>bpm</v>
      </c>
      <c r="CD18" s="384">
        <v>0</v>
      </c>
    </row>
    <row r="19" spans="7:97">
      <c r="G19" s="216"/>
      <c r="AQ19" s="39" t="s">
        <v>534</v>
      </c>
      <c r="AR19" s="39">
        <v>255</v>
      </c>
      <c r="AS19" s="39">
        <v>255</v>
      </c>
      <c r="AT19" s="39">
        <v>0</v>
      </c>
      <c r="AV19" s="379">
        <v>77</v>
      </c>
      <c r="AW19" s="380" t="s">
        <v>129</v>
      </c>
      <c r="AX19" s="380" t="s">
        <v>440</v>
      </c>
      <c r="AZ19" s="217" t="s">
        <v>241</v>
      </c>
      <c r="BA19" s="217" t="s">
        <v>242</v>
      </c>
      <c r="BB19" s="205" t="s">
        <v>386</v>
      </c>
      <c r="CA19" s="381" t="s">
        <v>39</v>
      </c>
      <c r="CB19" s="382" t="str" cm="1">
        <f t="array" aca="1" ref="CB19" ca="1">IFERROR(INDEX(INDIRECT("UploadQuery[Heart Rate Unit]"),MATCH(TRUE,INDEX((INDIRECT("UploadQuery[Heart Rate Unit]")&lt;&gt;""),),0)),"bpm")</f>
        <v>bpm</v>
      </c>
      <c r="CC19" s="382" t="str" cm="1">
        <f t="array" aca="1" ref="CC19" ca="1">IFERROR(INDEX(INDIRECT("UploadQuery[Heart Rate Unit]"),MATCH(TRUE,INDEX((INDIRECT("UploadQuery[Heart Rate Unit]")&lt;&gt;""),),0)),"bpm")</f>
        <v>bpm</v>
      </c>
      <c r="CD19" s="384">
        <v>0</v>
      </c>
    </row>
    <row r="20" spans="7:97">
      <c r="G20" s="216"/>
      <c r="AQ20" s="111" t="s">
        <v>44</v>
      </c>
      <c r="AR20" s="111">
        <v>166</v>
      </c>
      <c r="AS20" s="111">
        <v>166</v>
      </c>
      <c r="AT20" s="111">
        <v>166</v>
      </c>
      <c r="AV20" s="379">
        <v>57</v>
      </c>
      <c r="AW20" s="380" t="s">
        <v>130</v>
      </c>
      <c r="AX20" s="380" t="s">
        <v>452</v>
      </c>
      <c r="AZ20" s="204" t="s">
        <v>243</v>
      </c>
      <c r="BA20" s="204" t="s">
        <v>244</v>
      </c>
      <c r="BB20" s="205" t="s">
        <v>386</v>
      </c>
      <c r="CA20" s="381" t="s">
        <v>45</v>
      </c>
      <c r="CB20" s="382" t="str" cm="1">
        <f t="array" aca="1" ref="CB20" ca="1">IFERROR(INDEX(INDIRECT("UploadQuery[Heart Rate Unit]"),MATCH(TRUE,INDEX((INDIRECT("UploadQuery[Heart Rate Unit]")&lt;&gt;""),),0)),"bpm")</f>
        <v>bpm</v>
      </c>
      <c r="CC20" s="382" t="str" cm="1">
        <f t="array" aca="1" ref="CC20" ca="1">IFERROR(INDEX(INDIRECT("UploadQuery[Heart Rate Unit]"),MATCH(TRUE,INDEX((INDIRECT("UploadQuery[Heart Rate Unit]")&lt;&gt;""),),0)),"bpm")</f>
        <v>bpm</v>
      </c>
      <c r="CD20" s="384">
        <v>0</v>
      </c>
    </row>
    <row r="21" spans="7:97">
      <c r="G21" s="216"/>
      <c r="AQ21" s="111" t="s">
        <v>36</v>
      </c>
      <c r="AR21" s="111">
        <v>125</v>
      </c>
      <c r="AS21" s="111">
        <v>255</v>
      </c>
      <c r="AT21" s="111">
        <v>125</v>
      </c>
      <c r="AV21" s="379">
        <v>71</v>
      </c>
      <c r="AW21" s="380" t="s">
        <v>131</v>
      </c>
      <c r="AX21" s="380" t="s">
        <v>453</v>
      </c>
      <c r="AZ21" s="217" t="s">
        <v>245</v>
      </c>
      <c r="BA21" s="217" t="s">
        <v>246</v>
      </c>
      <c r="BB21" s="205" t="s">
        <v>386</v>
      </c>
      <c r="CA21" s="381" t="s">
        <v>515</v>
      </c>
      <c r="CB21" s="382" t="s">
        <v>344</v>
      </c>
      <c r="CC21" s="382" t="s">
        <v>506</v>
      </c>
      <c r="CD21" s="384" t="s">
        <v>416</v>
      </c>
    </row>
    <row r="22" spans="7:97">
      <c r="G22" s="216"/>
      <c r="AQ22" s="111" t="s">
        <v>99</v>
      </c>
      <c r="AV22" s="379">
        <v>58</v>
      </c>
      <c r="AW22" s="380" t="s">
        <v>132</v>
      </c>
      <c r="AX22" s="380" t="s">
        <v>454</v>
      </c>
      <c r="AZ22" s="204" t="s">
        <v>247</v>
      </c>
      <c r="BA22" s="204" t="s">
        <v>248</v>
      </c>
      <c r="BB22" s="205" t="s">
        <v>386</v>
      </c>
      <c r="CA22" s="381" t="str">
        <f>WeightUnit</f>
        <v>lb</v>
      </c>
      <c r="CB22" s="382" t="str">
        <f>UnitsTable[[#This Row],[Field]]</f>
        <v>lb</v>
      </c>
      <c r="CC22" s="383" t="str">
        <f>UnitsTable[[#This Row],[Unit]]</f>
        <v>lb</v>
      </c>
      <c r="CD22" s="384" t="str">
        <f>"0.0"</f>
        <v>0.0</v>
      </c>
    </row>
    <row r="23" spans="7:97">
      <c r="G23" s="216"/>
      <c r="AQ23" s="111" t="s">
        <v>42</v>
      </c>
      <c r="AR23" s="111">
        <v>166</v>
      </c>
      <c r="AS23" s="111">
        <v>166</v>
      </c>
      <c r="AT23" s="111">
        <v>166</v>
      </c>
      <c r="AV23" s="379">
        <v>59</v>
      </c>
      <c r="AW23" s="380" t="s">
        <v>133</v>
      </c>
      <c r="AX23" s="380" t="s">
        <v>455</v>
      </c>
      <c r="AZ23" s="217" t="s">
        <v>249</v>
      </c>
      <c r="BA23" s="217" t="s">
        <v>250</v>
      </c>
      <c r="BB23" s="205" t="s">
        <v>386</v>
      </c>
      <c r="CA23" s="381" t="s">
        <v>341</v>
      </c>
      <c r="CB23" s="382" t="s">
        <v>344</v>
      </c>
      <c r="CC23" s="382" t="s">
        <v>422</v>
      </c>
      <c r="CD23" s="384" t="s">
        <v>416</v>
      </c>
    </row>
    <row r="24" spans="7:97">
      <c r="G24" s="216"/>
      <c r="AQ24" s="39" t="s">
        <v>335</v>
      </c>
      <c r="AR24" s="111">
        <v>166</v>
      </c>
      <c r="AS24" s="111">
        <v>166</v>
      </c>
      <c r="AT24" s="111">
        <v>166</v>
      </c>
      <c r="AV24" s="379">
        <v>15</v>
      </c>
      <c r="AW24" s="380" t="s">
        <v>134</v>
      </c>
      <c r="AX24" s="380" t="s">
        <v>456</v>
      </c>
      <c r="AZ24" s="204" t="s">
        <v>251</v>
      </c>
      <c r="BA24" s="204" t="s">
        <v>252</v>
      </c>
      <c r="BB24" s="205" t="s">
        <v>386</v>
      </c>
      <c r="CA24" s="381" t="s">
        <v>417</v>
      </c>
      <c r="CB24" s="382" t="s">
        <v>344</v>
      </c>
      <c r="CC24" s="382" t="s">
        <v>422</v>
      </c>
      <c r="CD24" s="384" t="s">
        <v>416</v>
      </c>
    </row>
    <row r="25" spans="7:97">
      <c r="G25" s="216"/>
      <c r="AQ25" s="111" t="s">
        <v>336</v>
      </c>
      <c r="AR25" s="111">
        <v>255</v>
      </c>
      <c r="AS25" s="111">
        <v>0</v>
      </c>
      <c r="AT25" s="111">
        <v>0</v>
      </c>
      <c r="AV25" s="379">
        <v>87</v>
      </c>
      <c r="AW25" s="380" t="s">
        <v>135</v>
      </c>
      <c r="AX25" s="380" t="s">
        <v>457</v>
      </c>
      <c r="AZ25" s="217" t="s">
        <v>253</v>
      </c>
      <c r="BA25" s="217" t="s">
        <v>254</v>
      </c>
      <c r="BB25" s="205" t="s">
        <v>386</v>
      </c>
      <c r="CA25" s="381" t="s">
        <v>47</v>
      </c>
      <c r="CB25" s="382" t="str">
        <f ca="1">IFERROR(INDEX(INDIRECT("UploadQuery[Power Unit]"),MATCH(TRUE,INDEX((INDIRECT("UploadQuery[Power Unit]")&lt;&gt;""),),0)),"W")</f>
        <v>W</v>
      </c>
      <c r="CC25" s="382" t="s">
        <v>348</v>
      </c>
      <c r="CD25" s="384" t="s">
        <v>419</v>
      </c>
    </row>
    <row r="26" spans="7:97">
      <c r="G26" s="216"/>
      <c r="AQ26" s="111" t="s">
        <v>337</v>
      </c>
      <c r="AR26" s="111">
        <v>166</v>
      </c>
      <c r="AS26" s="111">
        <v>166</v>
      </c>
      <c r="AT26" s="111">
        <v>166</v>
      </c>
      <c r="AV26" s="379">
        <v>51</v>
      </c>
      <c r="AW26" s="380" t="s">
        <v>136</v>
      </c>
      <c r="AX26" s="380" t="s">
        <v>458</v>
      </c>
      <c r="AZ26" s="204" t="s">
        <v>255</v>
      </c>
      <c r="BA26" s="204" t="s">
        <v>256</v>
      </c>
      <c r="BB26" s="205" t="s">
        <v>386</v>
      </c>
      <c r="CA26" s="381" t="s">
        <v>334</v>
      </c>
      <c r="CB26" s="382" t="str">
        <f ca="1">IFERROR(INDEX(INDIRECT("UploadQuery[Power Unit]"),MATCH(TRUE,INDEX((INDIRECT("UploadQuery[Power Unit]")&lt;&gt;""),),0)),"W")</f>
        <v>W</v>
      </c>
      <c r="CC26" s="382" t="s">
        <v>348</v>
      </c>
      <c r="CD26" s="384" t="s">
        <v>419</v>
      </c>
    </row>
    <row r="27" spans="7:97">
      <c r="G27" s="216"/>
      <c r="AQ27" s="39" t="s">
        <v>25</v>
      </c>
      <c r="AR27" s="39">
        <v>255</v>
      </c>
      <c r="AS27" s="39">
        <v>128</v>
      </c>
      <c r="AT27" s="39">
        <v>0</v>
      </c>
      <c r="AV27" s="379">
        <v>52</v>
      </c>
      <c r="AW27" s="380" t="s">
        <v>137</v>
      </c>
      <c r="AX27" s="380" t="s">
        <v>459</v>
      </c>
      <c r="AZ27" s="217" t="s">
        <v>257</v>
      </c>
      <c r="BA27" s="217" t="s">
        <v>258</v>
      </c>
      <c r="BB27" s="205" t="s">
        <v>386</v>
      </c>
      <c r="CA27" s="381" t="s">
        <v>46</v>
      </c>
      <c r="CB27" s="382" t="str" cm="1">
        <f t="array" aca="1" ref="CB27" ca="1">IFERROR(INDEX(INDIRECT("UploadQuery[Speed Unit]"),MATCH(TRUE,INDEX((INDIRECT("UploadQuery[Speed Unit]")&lt;&gt;""),),0)),"mph")</f>
        <v>mph</v>
      </c>
      <c r="CC27" s="382" t="str" cm="1">
        <f t="array" aca="1" ref="CC27" ca="1">IFERROR(INDEX(INDIRECT("UploadQuery[Speed Unit]"),MATCH(TRUE,INDEX((INDIRECT("UploadQuery[Speed Unit]")&lt;&gt;""),),0)),"mph")</f>
        <v>mph</v>
      </c>
      <c r="CD27" s="384" t="str">
        <f>"0.0"</f>
        <v>0.0</v>
      </c>
    </row>
    <row r="28" spans="7:97">
      <c r="G28" s="216"/>
      <c r="AQ28" s="39" t="s">
        <v>17</v>
      </c>
      <c r="AR28" s="39">
        <v>0</v>
      </c>
      <c r="AS28" s="39">
        <v>255</v>
      </c>
      <c r="AT28" s="39">
        <v>0</v>
      </c>
      <c r="AV28" s="379">
        <v>53</v>
      </c>
      <c r="AW28" s="380" t="s">
        <v>138</v>
      </c>
      <c r="AX28" s="380" t="s">
        <v>460</v>
      </c>
      <c r="AZ28" s="204" t="s">
        <v>259</v>
      </c>
      <c r="BA28" s="204" t="s">
        <v>260</v>
      </c>
      <c r="BB28" s="205" t="s">
        <v>386</v>
      </c>
      <c r="CA28" s="381" t="s">
        <v>34</v>
      </c>
      <c r="CB28" s="382" t="s">
        <v>344</v>
      </c>
      <c r="CC28" s="382" t="s">
        <v>422</v>
      </c>
      <c r="CD28" s="384" t="s">
        <v>416</v>
      </c>
    </row>
    <row r="29" spans="7:97">
      <c r="G29" s="216"/>
      <c r="AQ29" s="39" t="s">
        <v>39</v>
      </c>
      <c r="AR29" s="39">
        <v>0</v>
      </c>
      <c r="AS29" s="39">
        <v>0</v>
      </c>
      <c r="AT29" s="39">
        <v>255</v>
      </c>
      <c r="AV29" s="379">
        <v>102</v>
      </c>
      <c r="AW29" s="380" t="s">
        <v>139</v>
      </c>
      <c r="AX29" s="380" t="s">
        <v>461</v>
      </c>
      <c r="AZ29" s="217" t="s">
        <v>261</v>
      </c>
      <c r="BA29" s="217" t="s">
        <v>262</v>
      </c>
      <c r="BB29" s="205" t="s">
        <v>386</v>
      </c>
      <c r="CA29" s="381" t="s">
        <v>17</v>
      </c>
      <c r="CB29" s="382" t="str">
        <f>WeightUnit</f>
        <v>lb</v>
      </c>
      <c r="CC29" s="382" t="str">
        <f>WeightUnit</f>
        <v>lb</v>
      </c>
      <c r="CD29" s="384" t="str">
        <f>"0.0"</f>
        <v>0.0</v>
      </c>
    </row>
    <row r="30" spans="7:97">
      <c r="G30" s="216"/>
      <c r="AQ30" s="39" t="s">
        <v>46</v>
      </c>
      <c r="AR30" s="39">
        <v>255</v>
      </c>
      <c r="AS30" s="39">
        <v>0</v>
      </c>
      <c r="AT30" s="39">
        <v>0</v>
      </c>
      <c r="AV30" s="379">
        <v>103</v>
      </c>
      <c r="AW30" s="380" t="s">
        <v>140</v>
      </c>
      <c r="AX30" s="380" t="s">
        <v>462</v>
      </c>
      <c r="AZ30" s="204" t="s">
        <v>263</v>
      </c>
      <c r="BA30" s="204" t="s">
        <v>264</v>
      </c>
      <c r="BB30" s="205" t="s">
        <v>386</v>
      </c>
      <c r="CA30" s="381" t="s">
        <v>19</v>
      </c>
      <c r="CB30" s="382" t="str">
        <f>WeightUnit</f>
        <v>lb</v>
      </c>
      <c r="CC30" s="382" t="str">
        <f>WeightUnit</f>
        <v>lb</v>
      </c>
      <c r="CD30" s="384" t="str">
        <f>"0.0"</f>
        <v>0.0</v>
      </c>
    </row>
    <row r="31" spans="7:97">
      <c r="G31" s="216"/>
      <c r="AQ31" s="39" t="s">
        <v>101</v>
      </c>
      <c r="AR31" s="39">
        <v>225</v>
      </c>
      <c r="AS31" s="39">
        <v>104</v>
      </c>
      <c r="AT31" s="39">
        <v>75</v>
      </c>
      <c r="AV31" s="379">
        <v>104</v>
      </c>
      <c r="AW31" s="380" t="s">
        <v>141</v>
      </c>
      <c r="AX31" s="380" t="s">
        <v>463</v>
      </c>
      <c r="AZ31" s="217" t="s">
        <v>265</v>
      </c>
      <c r="BA31" s="217" t="s">
        <v>266</v>
      </c>
      <c r="BB31" s="205" t="s">
        <v>386</v>
      </c>
    </row>
    <row r="32" spans="7:97">
      <c r="G32" s="216"/>
      <c r="AQ32" s="39" t="s">
        <v>533</v>
      </c>
      <c r="AR32" s="39">
        <v>255</v>
      </c>
      <c r="AS32" s="39">
        <v>255</v>
      </c>
      <c r="AT32" s="39">
        <v>0</v>
      </c>
      <c r="AV32" s="379">
        <v>105</v>
      </c>
      <c r="AW32" s="380" t="s">
        <v>142</v>
      </c>
      <c r="AX32" s="380" t="s">
        <v>464</v>
      </c>
      <c r="AZ32" s="204" t="s">
        <v>267</v>
      </c>
      <c r="BA32" s="204" t="s">
        <v>268</v>
      </c>
      <c r="BB32" s="205" t="s">
        <v>386</v>
      </c>
      <c r="CA32" s="392"/>
      <c r="CD32" s="384"/>
    </row>
    <row r="33" spans="7:81">
      <c r="G33" s="216"/>
      <c r="AQ33" s="111" t="s">
        <v>553</v>
      </c>
      <c r="AR33" s="111">
        <v>166</v>
      </c>
      <c r="AS33" s="111">
        <v>166</v>
      </c>
      <c r="AT33" s="111">
        <v>166</v>
      </c>
      <c r="AV33" s="379">
        <v>99</v>
      </c>
      <c r="AW33" s="380" t="s">
        <v>143</v>
      </c>
      <c r="AX33" s="380" t="s">
        <v>465</v>
      </c>
      <c r="AZ33" s="217" t="s">
        <v>269</v>
      </c>
      <c r="BA33" s="217" t="s">
        <v>270</v>
      </c>
      <c r="BB33" s="205" t="s">
        <v>386</v>
      </c>
      <c r="CA33" s="392"/>
      <c r="CB33" s="384"/>
      <c r="CC33" s="393"/>
    </row>
    <row r="34" spans="7:81">
      <c r="G34" s="216"/>
      <c r="AQ34" s="111" t="s">
        <v>40</v>
      </c>
      <c r="AV34" s="379">
        <v>100</v>
      </c>
      <c r="AW34" s="380" t="s">
        <v>144</v>
      </c>
      <c r="AX34" s="380" t="s">
        <v>466</v>
      </c>
      <c r="AZ34" s="204" t="s">
        <v>271</v>
      </c>
      <c r="BA34" s="204" t="s">
        <v>272</v>
      </c>
      <c r="BB34" s="205" t="s">
        <v>386</v>
      </c>
      <c r="CA34" s="392"/>
      <c r="CB34" s="384"/>
      <c r="CC34" s="393"/>
    </row>
    <row r="35" spans="7:81">
      <c r="G35" s="216"/>
      <c r="AQ35" s="111" t="s">
        <v>511</v>
      </c>
      <c r="AV35" s="379">
        <v>101</v>
      </c>
      <c r="AW35" s="380" t="s">
        <v>145</v>
      </c>
      <c r="AX35" s="380" t="s">
        <v>467</v>
      </c>
      <c r="AZ35" s="217" t="s">
        <v>273</v>
      </c>
      <c r="BA35" s="217" t="s">
        <v>274</v>
      </c>
      <c r="BB35" s="205" t="s">
        <v>386</v>
      </c>
      <c r="CA35" s="392"/>
      <c r="CB35" s="384"/>
      <c r="CC35" s="393"/>
    </row>
    <row r="36" spans="7:81">
      <c r="G36" s="216"/>
      <c r="AQ36" s="111" t="s">
        <v>35</v>
      </c>
      <c r="AV36" s="379">
        <v>95</v>
      </c>
      <c r="AW36" s="380" t="s">
        <v>146</v>
      </c>
      <c r="AX36" s="380" t="s">
        <v>468</v>
      </c>
      <c r="AZ36" s="204" t="s">
        <v>275</v>
      </c>
      <c r="BA36" s="204" t="s">
        <v>276</v>
      </c>
      <c r="BB36" s="205" t="s">
        <v>386</v>
      </c>
      <c r="CA36" s="392"/>
      <c r="CB36" s="384"/>
      <c r="CC36" s="393"/>
    </row>
    <row r="37" spans="7:81">
      <c r="G37" s="216"/>
      <c r="AQ37" s="111" t="s">
        <v>514</v>
      </c>
      <c r="AV37" s="379">
        <v>96</v>
      </c>
      <c r="AW37" s="380" t="s">
        <v>147</v>
      </c>
      <c r="AX37" s="380" t="s">
        <v>469</v>
      </c>
      <c r="AZ37" s="217" t="s">
        <v>277</v>
      </c>
      <c r="BA37" s="217" t="s">
        <v>278</v>
      </c>
      <c r="BB37" s="205" t="s">
        <v>386</v>
      </c>
      <c r="CA37" s="392"/>
      <c r="CB37" s="384"/>
      <c r="CC37" s="393"/>
    </row>
    <row r="38" spans="7:81">
      <c r="G38" s="216"/>
      <c r="AQ38" s="111" t="s">
        <v>42</v>
      </c>
      <c r="AR38" s="111">
        <v>166</v>
      </c>
      <c r="AS38" s="111">
        <v>166</v>
      </c>
      <c r="AT38" s="111">
        <v>166</v>
      </c>
      <c r="AV38" s="379">
        <v>97</v>
      </c>
      <c r="AW38" s="380" t="s">
        <v>148</v>
      </c>
      <c r="AX38" s="380" t="s">
        <v>470</v>
      </c>
      <c r="AZ38" s="204" t="s">
        <v>279</v>
      </c>
      <c r="BA38" s="204" t="s">
        <v>280</v>
      </c>
      <c r="BB38" s="205" t="s">
        <v>386</v>
      </c>
      <c r="CA38" s="392"/>
      <c r="CB38" s="384"/>
      <c r="CC38" s="393"/>
    </row>
    <row r="39" spans="7:81">
      <c r="G39" s="216"/>
      <c r="AQ39" s="111" t="s">
        <v>101</v>
      </c>
      <c r="AV39" s="379">
        <v>98</v>
      </c>
      <c r="AW39" s="380" t="s">
        <v>149</v>
      </c>
      <c r="AX39" s="380" t="s">
        <v>471</v>
      </c>
      <c r="AZ39" s="217" t="s">
        <v>281</v>
      </c>
      <c r="BA39" s="217" t="s">
        <v>282</v>
      </c>
      <c r="BB39" s="205" t="s">
        <v>386</v>
      </c>
      <c r="CA39" s="392"/>
      <c r="CB39" s="384"/>
      <c r="CC39" s="393"/>
    </row>
    <row r="40" spans="7:81">
      <c r="G40" s="216"/>
      <c r="AQ40" s="111" t="s">
        <v>47</v>
      </c>
      <c r="AR40" s="111">
        <v>255</v>
      </c>
      <c r="AS40" s="111">
        <v>0</v>
      </c>
      <c r="AT40" s="111">
        <v>0</v>
      </c>
      <c r="AV40" s="379">
        <v>92</v>
      </c>
      <c r="AW40" s="380" t="s">
        <v>150</v>
      </c>
      <c r="AX40" s="380" t="s">
        <v>465</v>
      </c>
      <c r="AZ40" s="204" t="s">
        <v>283</v>
      </c>
      <c r="BA40" s="204" t="s">
        <v>284</v>
      </c>
      <c r="BB40" s="205" t="s">
        <v>386</v>
      </c>
    </row>
    <row r="41" spans="7:81">
      <c r="G41" s="216"/>
      <c r="AQ41" s="111" t="s">
        <v>100</v>
      </c>
      <c r="AV41" s="379">
        <v>93</v>
      </c>
      <c r="AW41" s="380" t="s">
        <v>151</v>
      </c>
      <c r="AX41" s="380" t="s">
        <v>466</v>
      </c>
      <c r="AZ41" s="217" t="s">
        <v>285</v>
      </c>
      <c r="BA41" s="217" t="s">
        <v>286</v>
      </c>
      <c r="BB41" s="205" t="s">
        <v>386</v>
      </c>
    </row>
    <row r="42" spans="7:81">
      <c r="G42" s="216"/>
      <c r="AQ42" s="111" t="s">
        <v>515</v>
      </c>
      <c r="AV42" s="379">
        <v>94</v>
      </c>
      <c r="AW42" s="380" t="s">
        <v>152</v>
      </c>
      <c r="AX42" s="380" t="s">
        <v>472</v>
      </c>
      <c r="AZ42" s="204" t="s">
        <v>287</v>
      </c>
      <c r="BA42" s="204" t="s">
        <v>288</v>
      </c>
      <c r="BB42" s="205" t="s">
        <v>386</v>
      </c>
    </row>
    <row r="43" spans="7:81">
      <c r="G43" s="216"/>
      <c r="AQ43" s="111" t="s">
        <v>512</v>
      </c>
      <c r="AV43" s="379">
        <v>-4120</v>
      </c>
      <c r="AW43" s="380" t="s">
        <v>153</v>
      </c>
      <c r="AX43" s="380" t="s">
        <v>473</v>
      </c>
      <c r="AZ43" s="217" t="s">
        <v>289</v>
      </c>
      <c r="BA43" s="217" t="s">
        <v>290</v>
      </c>
      <c r="BB43" s="205" t="s">
        <v>386</v>
      </c>
    </row>
    <row r="44" spans="7:81">
      <c r="G44" s="216"/>
      <c r="AV44" s="379">
        <v>80</v>
      </c>
      <c r="AW44" s="380" t="s">
        <v>154</v>
      </c>
      <c r="AX44" s="380" t="s">
        <v>474</v>
      </c>
      <c r="AZ44" s="204" t="s">
        <v>291</v>
      </c>
      <c r="BA44" s="204" t="s">
        <v>292</v>
      </c>
      <c r="BB44" s="205" t="s">
        <v>386</v>
      </c>
    </row>
    <row r="45" spans="7:81">
      <c r="G45" s="216"/>
      <c r="AV45" s="379">
        <v>4</v>
      </c>
      <c r="AW45" s="380" t="s">
        <v>155</v>
      </c>
      <c r="AX45" s="380" t="s">
        <v>475</v>
      </c>
      <c r="AZ45" s="217" t="s">
        <v>293</v>
      </c>
      <c r="BA45" s="217" t="s">
        <v>294</v>
      </c>
      <c r="BB45" s="205" t="s">
        <v>386</v>
      </c>
    </row>
    <row r="46" spans="7:81">
      <c r="G46" s="216"/>
      <c r="AV46" s="379">
        <v>65</v>
      </c>
      <c r="AW46" s="380" t="s">
        <v>156</v>
      </c>
      <c r="AX46" s="380" t="s">
        <v>476</v>
      </c>
      <c r="AZ46" s="204" t="s">
        <v>295</v>
      </c>
      <c r="BA46" s="204" t="s">
        <v>296</v>
      </c>
      <c r="BB46" s="205" t="s">
        <v>386</v>
      </c>
    </row>
    <row r="47" spans="7:81">
      <c r="AV47" s="379">
        <v>66</v>
      </c>
      <c r="AW47" s="380" t="s">
        <v>157</v>
      </c>
      <c r="AX47" s="380" t="s">
        <v>477</v>
      </c>
      <c r="AZ47" s="217" t="s">
        <v>297</v>
      </c>
      <c r="BA47" s="217" t="s">
        <v>298</v>
      </c>
      <c r="BB47" s="205" t="s">
        <v>386</v>
      </c>
    </row>
    <row r="48" spans="7:81">
      <c r="AV48" s="379">
        <v>67</v>
      </c>
      <c r="AW48" s="380" t="s">
        <v>158</v>
      </c>
      <c r="AX48" s="380" t="s">
        <v>478</v>
      </c>
      <c r="AZ48" s="204" t="s">
        <v>299</v>
      </c>
      <c r="BA48" s="204" t="s">
        <v>300</v>
      </c>
      <c r="BB48" s="205" t="s">
        <v>386</v>
      </c>
    </row>
    <row r="49" spans="48:54">
      <c r="AV49" s="379">
        <v>63</v>
      </c>
      <c r="AW49" s="380" t="s">
        <v>159</v>
      </c>
      <c r="AX49" s="380" t="s">
        <v>479</v>
      </c>
      <c r="AZ49" s="217" t="s">
        <v>301</v>
      </c>
      <c r="BA49" s="217" t="s">
        <v>302</v>
      </c>
      <c r="BB49" s="205" t="s">
        <v>386</v>
      </c>
    </row>
    <row r="50" spans="48:54">
      <c r="AV50" s="379">
        <v>64</v>
      </c>
      <c r="AW50" s="380" t="s">
        <v>160</v>
      </c>
      <c r="AX50" s="380" t="s">
        <v>480</v>
      </c>
      <c r="AZ50" s="204" t="s">
        <v>303</v>
      </c>
      <c r="BA50" s="204" t="s">
        <v>304</v>
      </c>
      <c r="BB50" s="205" t="s">
        <v>386</v>
      </c>
    </row>
    <row r="51" spans="48:54">
      <c r="AV51" s="379">
        <v>5</v>
      </c>
      <c r="AW51" s="380" t="s">
        <v>161</v>
      </c>
      <c r="AX51" s="380" t="s">
        <v>481</v>
      </c>
      <c r="AZ51" s="217" t="s">
        <v>305</v>
      </c>
      <c r="BA51" s="217" t="s">
        <v>306</v>
      </c>
      <c r="BB51" s="205" t="s">
        <v>386</v>
      </c>
    </row>
    <row r="52" spans="48:54">
      <c r="AV52" s="379">
        <v>69</v>
      </c>
      <c r="AW52" s="380" t="s">
        <v>162</v>
      </c>
      <c r="AX52" s="380" t="s">
        <v>482</v>
      </c>
      <c r="AZ52" s="204" t="s">
        <v>307</v>
      </c>
      <c r="BA52" s="204" t="s">
        <v>308</v>
      </c>
      <c r="BB52" s="205" t="s">
        <v>386</v>
      </c>
    </row>
    <row r="53" spans="48:54">
      <c r="AV53" s="379">
        <v>68</v>
      </c>
      <c r="AW53" s="380" t="s">
        <v>163</v>
      </c>
      <c r="AX53" s="380" t="s">
        <v>483</v>
      </c>
      <c r="AZ53" s="217" t="s">
        <v>309</v>
      </c>
      <c r="BA53" s="217" t="s">
        <v>310</v>
      </c>
      <c r="BB53" s="205" t="s">
        <v>386</v>
      </c>
    </row>
    <row r="54" spans="48:54">
      <c r="AV54" s="379">
        <v>109</v>
      </c>
      <c r="AW54" s="380" t="s">
        <v>164</v>
      </c>
      <c r="AX54" s="380" t="s">
        <v>484</v>
      </c>
      <c r="AZ54" s="204" t="s">
        <v>311</v>
      </c>
      <c r="BA54" s="204" t="s">
        <v>312</v>
      </c>
      <c r="BB54" s="205" t="s">
        <v>386</v>
      </c>
    </row>
    <row r="55" spans="48:54">
      <c r="AV55" s="379">
        <v>110</v>
      </c>
      <c r="AW55" s="380" t="s">
        <v>165</v>
      </c>
      <c r="AX55" s="380" t="s">
        <v>485</v>
      </c>
      <c r="AZ55" s="217" t="s">
        <v>313</v>
      </c>
      <c r="BA55" s="217" t="s">
        <v>314</v>
      </c>
      <c r="BB55" s="205" t="s">
        <v>386</v>
      </c>
    </row>
    <row r="56" spans="48:54">
      <c r="AV56" s="379">
        <v>111</v>
      </c>
      <c r="AW56" s="380" t="s">
        <v>166</v>
      </c>
      <c r="AX56" s="380" t="s">
        <v>486</v>
      </c>
      <c r="AZ56" s="204" t="s">
        <v>315</v>
      </c>
      <c r="BA56" s="204" t="s">
        <v>316</v>
      </c>
      <c r="BB56" s="205" t="s">
        <v>386</v>
      </c>
    </row>
    <row r="57" spans="48:54">
      <c r="AV57" s="379">
        <v>112</v>
      </c>
      <c r="AW57" s="380" t="s">
        <v>167</v>
      </c>
      <c r="AX57" s="380" t="s">
        <v>487</v>
      </c>
      <c r="AZ57" s="217" t="s">
        <v>317</v>
      </c>
      <c r="BA57" s="217" t="s">
        <v>318</v>
      </c>
      <c r="BB57" s="205" t="s">
        <v>386</v>
      </c>
    </row>
    <row r="58" spans="48:54">
      <c r="AV58" s="379">
        <v>106</v>
      </c>
      <c r="AW58" s="380" t="s">
        <v>168</v>
      </c>
      <c r="AX58" s="380" t="s">
        <v>488</v>
      </c>
      <c r="AZ58" s="204" t="s">
        <v>319</v>
      </c>
      <c r="BA58" s="204" t="s">
        <v>320</v>
      </c>
      <c r="BB58" s="205" t="s">
        <v>386</v>
      </c>
    </row>
    <row r="59" spans="48:54">
      <c r="AV59" s="379">
        <v>107</v>
      </c>
      <c r="AW59" s="380" t="s">
        <v>169</v>
      </c>
      <c r="AX59" s="380" t="s">
        <v>489</v>
      </c>
      <c r="AZ59" s="217" t="s">
        <v>321</v>
      </c>
      <c r="BA59" s="217" t="s">
        <v>322</v>
      </c>
      <c r="BB59" s="205" t="s">
        <v>386</v>
      </c>
    </row>
    <row r="60" spans="48:54">
      <c r="AV60" s="379">
        <v>108</v>
      </c>
      <c r="AW60" s="380" t="s">
        <v>170</v>
      </c>
      <c r="AX60" s="380" t="s">
        <v>490</v>
      </c>
      <c r="AZ60" s="204" t="s">
        <v>323</v>
      </c>
      <c r="BA60" s="204" t="s">
        <v>324</v>
      </c>
      <c r="BB60" s="205" t="s">
        <v>386</v>
      </c>
    </row>
    <row r="61" spans="48:54">
      <c r="AV61" s="379">
        <v>-4151</v>
      </c>
      <c r="AW61" s="380" t="s">
        <v>171</v>
      </c>
      <c r="AX61" s="380" t="s">
        <v>491</v>
      </c>
      <c r="AZ61" s="217" t="s">
        <v>325</v>
      </c>
      <c r="BA61" s="217" t="s">
        <v>326</v>
      </c>
      <c r="BB61" s="205" t="s">
        <v>386</v>
      </c>
    </row>
    <row r="62" spans="48:54">
      <c r="AV62" s="379">
        <v>82</v>
      </c>
      <c r="AW62" s="380" t="s">
        <v>172</v>
      </c>
      <c r="AX62" s="380" t="s">
        <v>492</v>
      </c>
      <c r="AZ62" s="204" t="s">
        <v>327</v>
      </c>
      <c r="BA62" s="204" t="s">
        <v>328</v>
      </c>
      <c r="BB62" s="205" t="s">
        <v>386</v>
      </c>
    </row>
    <row r="63" spans="48:54">
      <c r="AV63" s="379">
        <v>81</v>
      </c>
      <c r="AW63" s="380" t="s">
        <v>173</v>
      </c>
      <c r="AX63" s="380" t="s">
        <v>493</v>
      </c>
    </row>
    <row r="64" spans="48:54">
      <c r="AV64" s="379">
        <v>88</v>
      </c>
      <c r="AW64" s="380" t="s">
        <v>174</v>
      </c>
      <c r="AX64" s="380" t="s">
        <v>494</v>
      </c>
    </row>
    <row r="65" spans="48:50">
      <c r="AV65" s="379">
        <v>89</v>
      </c>
      <c r="AW65" s="380" t="s">
        <v>175</v>
      </c>
      <c r="AX65" s="380" t="s">
        <v>495</v>
      </c>
    </row>
    <row r="66" spans="48:50">
      <c r="AV66" s="379">
        <v>90</v>
      </c>
      <c r="AW66" s="380" t="s">
        <v>176</v>
      </c>
      <c r="AX66" s="380" t="s">
        <v>496</v>
      </c>
    </row>
    <row r="67" spans="48:50">
      <c r="AV67" s="379">
        <v>91</v>
      </c>
      <c r="AW67" s="380" t="s">
        <v>177</v>
      </c>
      <c r="AX67" s="380" t="s">
        <v>497</v>
      </c>
    </row>
    <row r="68" spans="48:50">
      <c r="AV68" s="379">
        <v>83</v>
      </c>
      <c r="AW68" s="380" t="s">
        <v>178</v>
      </c>
      <c r="AX68" s="380" t="s">
        <v>498</v>
      </c>
    </row>
    <row r="69" spans="48:50">
      <c r="AV69" s="379">
        <v>85</v>
      </c>
      <c r="AW69" s="380" t="s">
        <v>179</v>
      </c>
      <c r="AX69" s="380" t="s">
        <v>499</v>
      </c>
    </row>
    <row r="70" spans="48:50">
      <c r="AV70" s="379">
        <v>86</v>
      </c>
      <c r="AW70" s="380" t="s">
        <v>180</v>
      </c>
      <c r="AX70" s="380" t="s">
        <v>500</v>
      </c>
    </row>
    <row r="71" spans="48:50">
      <c r="AV71" s="379">
        <v>84</v>
      </c>
      <c r="AW71" s="380" t="s">
        <v>181</v>
      </c>
      <c r="AX71" s="380" t="s">
        <v>501</v>
      </c>
    </row>
    <row r="72" spans="48:50">
      <c r="AV72" s="379">
        <v>-4169</v>
      </c>
      <c r="AW72" s="380" t="s">
        <v>182</v>
      </c>
      <c r="AX72" s="380" t="s">
        <v>502</v>
      </c>
    </row>
    <row r="73" spans="48:50">
      <c r="AV73" s="379">
        <v>74</v>
      </c>
      <c r="AW73" s="380" t="s">
        <v>183</v>
      </c>
      <c r="AX73" s="380" t="s">
        <v>503</v>
      </c>
    </row>
    <row r="74" spans="48:50">
      <c r="AV74" s="379">
        <v>75</v>
      </c>
      <c r="AW74" s="380" t="s">
        <v>184</v>
      </c>
      <c r="AX74" s="380" t="s">
        <v>504</v>
      </c>
    </row>
    <row r="75" spans="48:50">
      <c r="AV75" s="379">
        <v>72</v>
      </c>
      <c r="AW75" s="380" t="s">
        <v>185</v>
      </c>
      <c r="AX75" s="380" t="s">
        <v>505</v>
      </c>
    </row>
    <row r="76" spans="48:50">
      <c r="AV76" s="379">
        <v>73</v>
      </c>
      <c r="AW76" s="380" t="s">
        <v>186</v>
      </c>
      <c r="AX76" s="380" t="s">
        <v>437</v>
      </c>
    </row>
  </sheetData>
  <sheetProtection algorithmName="SHA-512" hashValue="IAWqgI42qcu1oVbHXeAK1u3o028RRmW7QCbDNobRBJ6gMhju+QuzqkNJiCz1GXWDr/sLXo2KKgMPB14dy8rQfA==" saltValue="ylQ3YludtaEUVgxzigxeuA==" spinCount="100000" sheet="1" selectLockedCells="1" selectUnlockedCells="1"/>
  <sortState xmlns:xlrd2="http://schemas.microsoft.com/office/spreadsheetml/2017/richdata2" ref="CV4:CX15">
    <sortCondition ref="CV4"/>
  </sortState>
  <phoneticPr fontId="49" type="noConversion"/>
  <dataValidations disablePrompts="1" count="1">
    <dataValidation allowBlank="1" showInputMessage="1" showErrorMessage="1" errorTitle="Invalid unit!" error="Unit must be Kg or lb" sqref="CK1" xr:uid="{55CBBBDD-5851-4B95-98B7-B604322509D4}"/>
  </dataValidations>
  <hyperlinks>
    <hyperlink ref="BE5" r:id="rId1" xr:uid="{03CA7609-1EB4-4C65-89F2-607D53787F94}"/>
  </hyperlinks>
  <pageMargins left="0.7" right="0.7" top="0.75" bottom="0.75" header="0.3" footer="0.3"/>
  <pageSetup orientation="portrait" horizontalDpi="4294967293" verticalDpi="4294967293" r:id="rId2"/>
  <tableParts count="11">
    <tablePart r:id="rId3"/>
    <tablePart r:id="rId4"/>
    <tablePart r:id="rId5"/>
    <tablePart r:id="rId6"/>
    <tablePart r:id="rId7"/>
    <tablePart r:id="rId8"/>
    <tablePart r:id="rId9"/>
    <tablePart r:id="rId10"/>
    <tablePart r:id="rId11"/>
    <tablePart r:id="rId12"/>
    <tablePart r:id="rId1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2422-A716-499A-8304-D0ED306CC3C8}">
  <sheetPr codeName="Sheet25"/>
  <dimension ref="A1:H3"/>
  <sheetViews>
    <sheetView workbookViewId="0"/>
  </sheetViews>
  <sheetFormatPr defaultRowHeight="15"/>
  <cols>
    <col min="1" max="1" width="13.140625" bestFit="1" customWidth="1"/>
    <col min="2" max="2" width="17.5703125" bestFit="1" customWidth="1"/>
    <col min="3" max="3" width="19.42578125" bestFit="1" customWidth="1"/>
    <col min="4" max="4" width="16" bestFit="1" customWidth="1"/>
    <col min="5" max="5" width="15.28515625" bestFit="1" customWidth="1"/>
    <col min="6" max="6" width="21.85546875" bestFit="1" customWidth="1"/>
    <col min="7" max="7" width="22.28515625" bestFit="1" customWidth="1"/>
    <col min="8" max="8" width="15.85546875" bestFit="1" customWidth="1"/>
  </cols>
  <sheetData>
    <row r="1" spans="1:8">
      <c r="A1" s="9"/>
      <c r="B1" s="10" t="s">
        <v>89</v>
      </c>
      <c r="C1" s="11"/>
      <c r="D1" s="11"/>
      <c r="E1" s="11"/>
      <c r="F1" s="11"/>
      <c r="G1" s="11"/>
      <c r="H1" s="12"/>
    </row>
    <row r="2" spans="1:8">
      <c r="A2" s="10" t="s">
        <v>88</v>
      </c>
      <c r="B2" s="9" t="s">
        <v>433</v>
      </c>
      <c r="C2" s="13" t="s">
        <v>516</v>
      </c>
      <c r="D2" s="13" t="s">
        <v>434</v>
      </c>
      <c r="E2" s="13" t="s">
        <v>517</v>
      </c>
      <c r="F2" s="13" t="s">
        <v>518</v>
      </c>
      <c r="G2" s="13" t="s">
        <v>435</v>
      </c>
      <c r="H2" s="15" t="s">
        <v>519</v>
      </c>
    </row>
    <row r="3" spans="1:8">
      <c r="A3" s="123" t="s">
        <v>432</v>
      </c>
      <c r="B3" s="121"/>
      <c r="C3" s="124"/>
      <c r="D3" s="122"/>
      <c r="E3" s="122"/>
      <c r="F3" s="124"/>
      <c r="G3" s="122"/>
      <c r="H3" s="12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2C5B-19D5-40F5-A8FD-DD20471E1154}">
  <sheetPr codeName="Sheet21"/>
  <dimension ref="A1:C3"/>
  <sheetViews>
    <sheetView workbookViewId="0">
      <selection activeCell="B12" sqref="B12"/>
    </sheetView>
  </sheetViews>
  <sheetFormatPr defaultRowHeight="15"/>
  <cols>
    <col min="1" max="1" width="13.140625" bestFit="1" customWidth="1"/>
    <col min="2" max="2" width="20.5703125" bestFit="1" customWidth="1"/>
    <col min="3" max="3" width="19" bestFit="1" customWidth="1"/>
    <col min="4" max="4" width="27.7109375" bestFit="1" customWidth="1"/>
    <col min="5" max="5" width="20.85546875" bestFit="1" customWidth="1"/>
    <col min="6" max="307" width="16.28515625" bestFit="1" customWidth="1"/>
    <col min="308" max="308" width="11.28515625" bestFit="1" customWidth="1"/>
  </cols>
  <sheetData>
    <row r="1" spans="1:3">
      <c r="A1" s="9"/>
      <c r="B1" s="10" t="s">
        <v>89</v>
      </c>
      <c r="C1" s="12"/>
    </row>
    <row r="2" spans="1:3">
      <c r="A2" s="10" t="s">
        <v>88</v>
      </c>
      <c r="B2" s="9" t="s">
        <v>574</v>
      </c>
      <c r="C2" s="15" t="s">
        <v>547</v>
      </c>
    </row>
    <row r="3" spans="1:3">
      <c r="A3" s="123" t="s">
        <v>432</v>
      </c>
      <c r="B3" s="359"/>
      <c r="C3" s="139"/>
    </row>
  </sheetData>
  <pageMargins left="0.7" right="0.7" top="0.75" bottom="0.75" header="0.3" footer="0.3"/>
  <pageSetup orientation="portrait" horizontalDpi="4294967293" verticalDpi="4294967293"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DBDA-C248-45E2-8299-5805AE8E2F8C}">
  <sheetPr codeName="Sheet22"/>
  <dimension ref="A1:C3"/>
  <sheetViews>
    <sheetView workbookViewId="0"/>
  </sheetViews>
  <sheetFormatPr defaultRowHeight="15"/>
  <cols>
    <col min="1" max="1" width="13.140625" bestFit="1" customWidth="1"/>
    <col min="2" max="2" width="23.28515625" bestFit="1" customWidth="1"/>
    <col min="3" max="3" width="19" bestFit="1" customWidth="1"/>
    <col min="4" max="4" width="26" bestFit="1" customWidth="1"/>
  </cols>
  <sheetData>
    <row r="1" spans="1:3">
      <c r="A1" s="9"/>
      <c r="B1" s="10" t="s">
        <v>89</v>
      </c>
      <c r="C1" s="12"/>
    </row>
    <row r="2" spans="1:3">
      <c r="A2" s="10" t="s">
        <v>88</v>
      </c>
      <c r="B2" s="9" t="s">
        <v>566</v>
      </c>
      <c r="C2" s="15" t="s">
        <v>547</v>
      </c>
    </row>
    <row r="3" spans="1:3">
      <c r="A3" s="123" t="s">
        <v>432</v>
      </c>
      <c r="B3" s="359"/>
      <c r="C3" s="13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E60A7-D241-4EF8-823D-B4DFED4C1881}">
  <sheetPr codeName="Sheet23"/>
  <dimension ref="A1:C3"/>
  <sheetViews>
    <sheetView topLeftCell="A2" workbookViewId="0">
      <selection activeCell="B11" sqref="B11"/>
    </sheetView>
  </sheetViews>
  <sheetFormatPr defaultRowHeight="15"/>
  <cols>
    <col min="1" max="1" width="13.140625" bestFit="1" customWidth="1"/>
    <col min="2" max="2" width="21.85546875" bestFit="1" customWidth="1"/>
    <col min="3" max="3" width="22.28515625" bestFit="1" customWidth="1"/>
  </cols>
  <sheetData>
    <row r="1" spans="1:3">
      <c r="A1" s="9"/>
      <c r="B1" s="10" t="s">
        <v>89</v>
      </c>
      <c r="C1" s="12"/>
    </row>
    <row r="2" spans="1:3">
      <c r="A2" s="10" t="s">
        <v>88</v>
      </c>
      <c r="B2" s="9" t="s">
        <v>518</v>
      </c>
      <c r="C2" s="15" t="s">
        <v>435</v>
      </c>
    </row>
    <row r="3" spans="1:3">
      <c r="A3" s="123" t="s">
        <v>432</v>
      </c>
      <c r="B3" s="138"/>
      <c r="C3" s="125"/>
    </row>
  </sheetData>
  <pageMargins left="0.7" right="0.7" top="0.75" bottom="0.75" header="0.3" footer="0.3"/>
  <pageSetup orientation="portrait" horizontalDpi="4294967293" verticalDpi="4294967293"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0585F-AA80-42D1-A47A-22C9E4C41EBF}">
  <sheetPr codeName="Sheet6"/>
  <dimension ref="A1:P21"/>
  <sheetViews>
    <sheetView showGridLines="0" workbookViewId="0">
      <selection activeCell="D14" sqref="D14"/>
    </sheetView>
  </sheetViews>
  <sheetFormatPr defaultRowHeight="15"/>
  <cols>
    <col min="1" max="1" width="13.140625" bestFit="1" customWidth="1"/>
    <col min="2" max="2" width="18.7109375" bestFit="1" customWidth="1"/>
    <col min="3" max="6" width="7.28515625" bestFit="1" customWidth="1"/>
    <col min="7" max="7" width="17.7109375" bestFit="1" customWidth="1"/>
    <col min="8" max="8" width="6.5703125" bestFit="1" customWidth="1"/>
    <col min="9" max="9" width="7.140625" bestFit="1" customWidth="1"/>
    <col min="10" max="11" width="5.5703125" bestFit="1" customWidth="1"/>
    <col min="12" max="12" width="20.7109375" bestFit="1" customWidth="1"/>
    <col min="13" max="13" width="6.5703125" bestFit="1" customWidth="1"/>
    <col min="14" max="14" width="7.140625" bestFit="1" customWidth="1"/>
    <col min="15" max="16" width="6.5703125" bestFit="1" customWidth="1"/>
    <col min="17" max="17" width="6.7109375" bestFit="1" customWidth="1"/>
    <col min="18" max="18" width="7.28515625" bestFit="1" customWidth="1"/>
    <col min="19" max="19" width="6.5703125" bestFit="1" customWidth="1"/>
    <col min="20" max="20" width="7.140625" bestFit="1" customWidth="1"/>
    <col min="21" max="22" width="6.5703125" bestFit="1" customWidth="1"/>
    <col min="23" max="23" width="7.140625" bestFit="1" customWidth="1"/>
    <col min="24" max="27" width="6.5703125" bestFit="1" customWidth="1"/>
    <col min="28" max="28" width="7.28515625" bestFit="1" customWidth="1"/>
  </cols>
  <sheetData>
    <row r="1" spans="1:16">
      <c r="A1" s="9"/>
      <c r="B1" s="10" t="s">
        <v>24</v>
      </c>
      <c r="C1" s="11"/>
      <c r="D1" s="11"/>
      <c r="E1" s="11"/>
      <c r="F1" s="11"/>
      <c r="G1" s="11"/>
      <c r="H1" s="11"/>
      <c r="I1" s="11"/>
      <c r="J1" s="11"/>
      <c r="K1" s="11"/>
      <c r="L1" s="11"/>
      <c r="M1" s="11"/>
      <c r="N1" s="11"/>
      <c r="O1" s="11"/>
      <c r="P1" s="12"/>
    </row>
    <row r="2" spans="1:16">
      <c r="A2" s="129"/>
      <c r="B2" s="9" t="s">
        <v>99</v>
      </c>
      <c r="C2" s="11"/>
      <c r="D2" s="11"/>
      <c r="E2" s="11"/>
      <c r="F2" s="11"/>
      <c r="G2" s="9" t="s">
        <v>576</v>
      </c>
      <c r="H2" s="11"/>
      <c r="I2" s="11"/>
      <c r="J2" s="11"/>
      <c r="K2" s="11"/>
      <c r="L2" s="9" t="s">
        <v>577</v>
      </c>
      <c r="M2" s="11"/>
      <c r="N2" s="11"/>
      <c r="O2" s="11"/>
      <c r="P2" s="12"/>
    </row>
    <row r="3" spans="1:16">
      <c r="A3" s="10" t="s">
        <v>88</v>
      </c>
      <c r="B3" s="9" t="s">
        <v>23</v>
      </c>
      <c r="C3" s="13" t="s">
        <v>12</v>
      </c>
      <c r="D3" s="13" t="s">
        <v>11</v>
      </c>
      <c r="E3" s="13" t="s">
        <v>1</v>
      </c>
      <c r="F3" s="13" t="s">
        <v>2</v>
      </c>
      <c r="G3" s="9" t="s">
        <v>23</v>
      </c>
      <c r="H3" s="13" t="s">
        <v>12</v>
      </c>
      <c r="I3" s="13" t="s">
        <v>11</v>
      </c>
      <c r="J3" s="13" t="s">
        <v>1</v>
      </c>
      <c r="K3" s="13" t="s">
        <v>2</v>
      </c>
      <c r="L3" s="9" t="s">
        <v>23</v>
      </c>
      <c r="M3" s="13" t="s">
        <v>12</v>
      </c>
      <c r="N3" s="13" t="s">
        <v>11</v>
      </c>
      <c r="O3" s="13" t="s">
        <v>1</v>
      </c>
      <c r="P3" s="15" t="s">
        <v>2</v>
      </c>
    </row>
    <row r="4" spans="1:16">
      <c r="A4" s="14" t="s">
        <v>23</v>
      </c>
      <c r="B4" s="414"/>
      <c r="C4" s="415"/>
      <c r="D4" s="415"/>
      <c r="E4" s="415"/>
      <c r="F4" s="415"/>
      <c r="G4" s="414"/>
      <c r="H4" s="415"/>
      <c r="I4" s="415"/>
      <c r="J4" s="415"/>
      <c r="K4" s="415"/>
      <c r="L4" s="414"/>
      <c r="M4" s="415"/>
      <c r="N4" s="415"/>
      <c r="O4" s="415"/>
      <c r="P4" s="416"/>
    </row>
    <row r="5" spans="1:16">
      <c r="A5" s="130">
        <v>44277</v>
      </c>
      <c r="B5" s="417">
        <v>0.4375</v>
      </c>
      <c r="C5" s="418"/>
      <c r="D5" s="418"/>
      <c r="E5" s="418"/>
      <c r="F5" s="418"/>
      <c r="G5" s="417" t="e">
        <v>#N/A</v>
      </c>
      <c r="H5" s="418"/>
      <c r="I5" s="418"/>
      <c r="J5" s="418"/>
      <c r="K5" s="418"/>
      <c r="L5" s="417">
        <v>0.35416666666666669</v>
      </c>
      <c r="M5" s="418"/>
      <c r="N5" s="418"/>
      <c r="O5" s="418"/>
      <c r="P5" s="419"/>
    </row>
    <row r="6" spans="1:16">
      <c r="A6" s="420" t="s">
        <v>12</v>
      </c>
      <c r="B6" s="417"/>
      <c r="C6" s="418"/>
      <c r="D6" s="418"/>
      <c r="E6" s="418"/>
      <c r="F6" s="418"/>
      <c r="G6" s="417"/>
      <c r="H6" s="418"/>
      <c r="I6" s="418"/>
      <c r="J6" s="418"/>
      <c r="K6" s="418"/>
      <c r="L6" s="417"/>
      <c r="M6" s="418"/>
      <c r="N6" s="418"/>
      <c r="O6" s="418"/>
      <c r="P6" s="419"/>
    </row>
    <row r="7" spans="1:16">
      <c r="A7" s="130">
        <v>44284</v>
      </c>
      <c r="B7" s="417"/>
      <c r="C7" s="418">
        <v>-1</v>
      </c>
      <c r="D7" s="418"/>
      <c r="E7" s="418"/>
      <c r="F7" s="418"/>
      <c r="G7" s="417"/>
      <c r="H7" s="418" t="e">
        <v>#N/A</v>
      </c>
      <c r="I7" s="418"/>
      <c r="J7" s="418"/>
      <c r="K7" s="418"/>
      <c r="L7" s="417"/>
      <c r="M7" s="418">
        <v>0.41666666666666663</v>
      </c>
      <c r="N7" s="418"/>
      <c r="O7" s="418"/>
      <c r="P7" s="419"/>
    </row>
    <row r="8" spans="1:16">
      <c r="A8" s="130">
        <v>44291</v>
      </c>
      <c r="B8" s="417"/>
      <c r="C8" s="418">
        <v>-1</v>
      </c>
      <c r="D8" s="418"/>
      <c r="E8" s="418"/>
      <c r="F8" s="418"/>
      <c r="G8" s="417"/>
      <c r="H8" s="418" t="e">
        <v>#N/A</v>
      </c>
      <c r="I8" s="418"/>
      <c r="J8" s="418"/>
      <c r="K8" s="418"/>
      <c r="L8" s="417"/>
      <c r="M8" s="418">
        <v>0.41666666666666663</v>
      </c>
      <c r="N8" s="418"/>
      <c r="O8" s="418"/>
      <c r="P8" s="419"/>
    </row>
    <row r="9" spans="1:16">
      <c r="A9" s="130">
        <v>44298</v>
      </c>
      <c r="B9" s="417"/>
      <c r="C9" s="418">
        <v>-1</v>
      </c>
      <c r="D9" s="418"/>
      <c r="E9" s="418"/>
      <c r="F9" s="418"/>
      <c r="G9" s="417"/>
      <c r="H9" s="418" t="e">
        <v>#N/A</v>
      </c>
      <c r="I9" s="418"/>
      <c r="J9" s="418"/>
      <c r="K9" s="418"/>
      <c r="L9" s="417"/>
      <c r="M9" s="418">
        <v>0.41666666666666663</v>
      </c>
      <c r="N9" s="418"/>
      <c r="O9" s="418"/>
      <c r="P9" s="419"/>
    </row>
    <row r="10" spans="1:16">
      <c r="A10" s="130">
        <v>44305</v>
      </c>
      <c r="B10" s="417"/>
      <c r="C10" s="418">
        <v>-1</v>
      </c>
      <c r="D10" s="418"/>
      <c r="E10" s="418"/>
      <c r="F10" s="418"/>
      <c r="G10" s="417"/>
      <c r="H10" s="418" t="e">
        <v>#N/A</v>
      </c>
      <c r="I10" s="418"/>
      <c r="J10" s="418"/>
      <c r="K10" s="418"/>
      <c r="L10" s="417"/>
      <c r="M10" s="418">
        <v>0.20833333333333331</v>
      </c>
      <c r="N10" s="418"/>
      <c r="O10" s="418"/>
      <c r="P10" s="419"/>
    </row>
    <row r="11" spans="1:16">
      <c r="A11" s="420" t="s">
        <v>11</v>
      </c>
      <c r="B11" s="417"/>
      <c r="C11" s="418"/>
      <c r="D11" s="418"/>
      <c r="E11" s="418"/>
      <c r="F11" s="418"/>
      <c r="G11" s="417"/>
      <c r="H11" s="418"/>
      <c r="I11" s="418"/>
      <c r="J11" s="418"/>
      <c r="K11" s="418"/>
      <c r="L11" s="417"/>
      <c r="M11" s="418"/>
      <c r="N11" s="418"/>
      <c r="O11" s="418"/>
      <c r="P11" s="419"/>
    </row>
    <row r="12" spans="1:16">
      <c r="A12" s="130">
        <v>44312</v>
      </c>
      <c r="B12" s="417"/>
      <c r="C12" s="418"/>
      <c r="D12" s="418">
        <v>-1</v>
      </c>
      <c r="E12" s="418"/>
      <c r="F12" s="418"/>
      <c r="G12" s="417"/>
      <c r="H12" s="418"/>
      <c r="I12" s="418" t="e">
        <v>#N/A</v>
      </c>
      <c r="J12" s="418"/>
      <c r="K12" s="418"/>
      <c r="L12" s="417"/>
      <c r="M12" s="418"/>
      <c r="N12" s="418">
        <v>0.35416666666666669</v>
      </c>
      <c r="O12" s="418"/>
      <c r="P12" s="419"/>
    </row>
    <row r="13" spans="1:16">
      <c r="A13" s="130">
        <v>44319</v>
      </c>
      <c r="B13" s="417"/>
      <c r="C13" s="418"/>
      <c r="D13" s="418">
        <v>-1</v>
      </c>
      <c r="E13" s="418"/>
      <c r="F13" s="418"/>
      <c r="G13" s="417"/>
      <c r="H13" s="418"/>
      <c r="I13" s="418" t="e">
        <v>#N/A</v>
      </c>
      <c r="J13" s="418"/>
      <c r="K13" s="418"/>
      <c r="L13" s="417"/>
      <c r="M13" s="418"/>
      <c r="N13" s="418">
        <v>0.35416666666666669</v>
      </c>
      <c r="O13" s="418"/>
      <c r="P13" s="419"/>
    </row>
    <row r="14" spans="1:16">
      <c r="A14" s="130">
        <v>44326</v>
      </c>
      <c r="B14" s="417"/>
      <c r="C14" s="418"/>
      <c r="D14" s="418">
        <v>-1</v>
      </c>
      <c r="E14" s="418"/>
      <c r="F14" s="418"/>
      <c r="G14" s="417"/>
      <c r="H14" s="418"/>
      <c r="I14" s="418" t="e">
        <v>#N/A</v>
      </c>
      <c r="J14" s="418"/>
      <c r="K14" s="418"/>
      <c r="L14" s="417"/>
      <c r="M14" s="418"/>
      <c r="N14" s="418">
        <v>0.35416666666666669</v>
      </c>
      <c r="O14" s="418"/>
      <c r="P14" s="419"/>
    </row>
    <row r="15" spans="1:16">
      <c r="A15" s="130">
        <v>44333</v>
      </c>
      <c r="B15" s="417"/>
      <c r="C15" s="418"/>
      <c r="D15" s="418">
        <v>-1</v>
      </c>
      <c r="E15" s="418"/>
      <c r="F15" s="418"/>
      <c r="G15" s="417"/>
      <c r="H15" s="418"/>
      <c r="I15" s="418" t="e">
        <v>#N/A</v>
      </c>
      <c r="J15" s="418"/>
      <c r="K15" s="418"/>
      <c r="L15" s="417"/>
      <c r="M15" s="418"/>
      <c r="N15" s="418">
        <v>0.19791666666666666</v>
      </c>
      <c r="O15" s="418"/>
      <c r="P15" s="419"/>
    </row>
    <row r="16" spans="1:16">
      <c r="A16" s="420" t="s">
        <v>1</v>
      </c>
      <c r="B16" s="417"/>
      <c r="C16" s="418"/>
      <c r="D16" s="418"/>
      <c r="E16" s="418"/>
      <c r="F16" s="418"/>
      <c r="G16" s="417"/>
      <c r="H16" s="418"/>
      <c r="I16" s="418"/>
      <c r="J16" s="418"/>
      <c r="K16" s="418"/>
      <c r="L16" s="417"/>
      <c r="M16" s="418"/>
      <c r="N16" s="418"/>
      <c r="O16" s="418"/>
      <c r="P16" s="419"/>
    </row>
    <row r="17" spans="1:16">
      <c r="A17" s="130">
        <v>44340</v>
      </c>
      <c r="B17" s="417"/>
      <c r="C17" s="418"/>
      <c r="D17" s="418"/>
      <c r="E17" s="418">
        <v>-1</v>
      </c>
      <c r="F17" s="418"/>
      <c r="G17" s="417"/>
      <c r="H17" s="418"/>
      <c r="I17" s="418"/>
      <c r="J17" s="418" t="e">
        <v>#N/A</v>
      </c>
      <c r="K17" s="418"/>
      <c r="L17" s="417"/>
      <c r="M17" s="418"/>
      <c r="N17" s="418"/>
      <c r="O17" s="418">
        <v>0.35416666666666669</v>
      </c>
      <c r="P17" s="419"/>
    </row>
    <row r="18" spans="1:16">
      <c r="A18" s="130">
        <v>44347</v>
      </c>
      <c r="B18" s="417"/>
      <c r="C18" s="418"/>
      <c r="D18" s="418"/>
      <c r="E18" s="418">
        <v>-1</v>
      </c>
      <c r="F18" s="418"/>
      <c r="G18" s="417"/>
      <c r="H18" s="418"/>
      <c r="I18" s="418"/>
      <c r="J18" s="418" t="e">
        <v>#N/A</v>
      </c>
      <c r="K18" s="418"/>
      <c r="L18" s="417"/>
      <c r="M18" s="418"/>
      <c r="N18" s="418"/>
      <c r="O18" s="418">
        <v>0.26041666666666669</v>
      </c>
      <c r="P18" s="419"/>
    </row>
    <row r="19" spans="1:16">
      <c r="A19" s="420" t="s">
        <v>2</v>
      </c>
      <c r="B19" s="417"/>
      <c r="C19" s="418"/>
      <c r="D19" s="418"/>
      <c r="E19" s="418"/>
      <c r="F19" s="418"/>
      <c r="G19" s="417"/>
      <c r="H19" s="418"/>
      <c r="I19" s="418"/>
      <c r="J19" s="418"/>
      <c r="K19" s="418"/>
      <c r="L19" s="417"/>
      <c r="M19" s="418"/>
      <c r="N19" s="418"/>
      <c r="O19" s="418"/>
      <c r="P19" s="419"/>
    </row>
    <row r="20" spans="1:16">
      <c r="A20" s="130">
        <v>44354</v>
      </c>
      <c r="B20" s="417"/>
      <c r="C20" s="418"/>
      <c r="D20" s="418"/>
      <c r="E20" s="418"/>
      <c r="F20" s="418">
        <v>-1</v>
      </c>
      <c r="G20" s="417"/>
      <c r="H20" s="418"/>
      <c r="I20" s="418"/>
      <c r="J20" s="418"/>
      <c r="K20" s="418" t="e">
        <v>#N/A</v>
      </c>
      <c r="L20" s="417"/>
      <c r="M20" s="418"/>
      <c r="N20" s="418"/>
      <c r="O20" s="418"/>
      <c r="P20" s="419">
        <v>0.19791666666666666</v>
      </c>
    </row>
    <row r="21" spans="1:16">
      <c r="A21" s="133" t="s">
        <v>432</v>
      </c>
      <c r="B21" s="421">
        <v>0.4375</v>
      </c>
      <c r="C21" s="422">
        <v>-4</v>
      </c>
      <c r="D21" s="422">
        <v>-4</v>
      </c>
      <c r="E21" s="422">
        <v>-2</v>
      </c>
      <c r="F21" s="422">
        <v>-1</v>
      </c>
      <c r="G21" s="421" t="e">
        <v>#N/A</v>
      </c>
      <c r="H21" s="422" t="e">
        <v>#N/A</v>
      </c>
      <c r="I21" s="422" t="e">
        <v>#N/A</v>
      </c>
      <c r="J21" s="422" t="e">
        <v>#N/A</v>
      </c>
      <c r="K21" s="422" t="e">
        <v>#N/A</v>
      </c>
      <c r="L21" s="421">
        <v>0.35416666666666669</v>
      </c>
      <c r="M21" s="422">
        <v>1.4583333333333333</v>
      </c>
      <c r="N21" s="422">
        <v>1.2604166666666667</v>
      </c>
      <c r="O21" s="422">
        <v>0.61458333333333337</v>
      </c>
      <c r="P21" s="423">
        <v>0.19791666666666666</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D07F5-CF37-492B-A3BA-413AF20F974B}">
  <sheetPr codeName="Sheet9"/>
  <dimension ref="A1:D20"/>
  <sheetViews>
    <sheetView showGridLines="0" topLeftCell="A2" workbookViewId="0">
      <selection activeCell="C14" sqref="C14"/>
    </sheetView>
  </sheetViews>
  <sheetFormatPr defaultRowHeight="15"/>
  <cols>
    <col min="1" max="1" width="13.140625" bestFit="1" customWidth="1"/>
    <col min="2" max="2" width="10.85546875" bestFit="1" customWidth="1"/>
    <col min="3" max="3" width="20.7109375" bestFit="1" customWidth="1"/>
    <col min="4" max="4" width="15.42578125" bestFit="1" customWidth="1"/>
    <col min="5" max="5" width="18.7109375" bestFit="1" customWidth="1"/>
    <col min="6" max="6" width="13.7109375" bestFit="1" customWidth="1"/>
    <col min="7" max="7" width="15.42578125" bestFit="1" customWidth="1"/>
    <col min="8" max="8" width="10.85546875" bestFit="1" customWidth="1"/>
    <col min="9" max="9" width="15.42578125" bestFit="1" customWidth="1"/>
    <col min="10" max="10" width="10.85546875" bestFit="1" customWidth="1"/>
    <col min="11" max="11" width="15.42578125" bestFit="1" customWidth="1"/>
    <col min="12" max="12" width="10.85546875" bestFit="1" customWidth="1"/>
    <col min="13" max="13" width="15.42578125" bestFit="1" customWidth="1"/>
    <col min="14" max="14" width="11.42578125" bestFit="1" customWidth="1"/>
    <col min="15" max="15" width="15.42578125" bestFit="1" customWidth="1"/>
    <col min="16" max="16" width="10.85546875" bestFit="1" customWidth="1"/>
    <col min="17" max="17" width="15.42578125" bestFit="1" customWidth="1"/>
    <col min="18" max="25" width="19" bestFit="1" customWidth="1"/>
  </cols>
  <sheetData>
    <row r="1" spans="1:4">
      <c r="A1" s="9"/>
      <c r="B1" s="10" t="s">
        <v>89</v>
      </c>
      <c r="C1" s="11"/>
      <c r="D1" s="12"/>
    </row>
    <row r="2" spans="1:4">
      <c r="A2" s="10" t="s">
        <v>88</v>
      </c>
      <c r="B2" s="9" t="s">
        <v>90</v>
      </c>
      <c r="C2" s="13" t="s">
        <v>333</v>
      </c>
      <c r="D2" s="15" t="s">
        <v>534</v>
      </c>
    </row>
    <row r="3" spans="1:4">
      <c r="A3" s="14" t="s">
        <v>23</v>
      </c>
      <c r="B3" s="18"/>
      <c r="C3" s="20"/>
      <c r="D3" s="126"/>
    </row>
    <row r="4" spans="1:4">
      <c r="A4" s="130">
        <v>44277</v>
      </c>
      <c r="B4" s="19" t="e">
        <v>#N/A</v>
      </c>
      <c r="C4" s="21" t="e">
        <v>#N/A</v>
      </c>
      <c r="D4" s="127" t="e">
        <v>#N/A</v>
      </c>
    </row>
    <row r="5" spans="1:4">
      <c r="A5" s="420" t="s">
        <v>12</v>
      </c>
      <c r="B5" s="19"/>
      <c r="C5" s="21"/>
      <c r="D5" s="127"/>
    </row>
    <row r="6" spans="1:4">
      <c r="A6" s="130">
        <v>44284</v>
      </c>
      <c r="B6" s="19" t="e">
        <v>#N/A</v>
      </c>
      <c r="C6" s="21" t="e">
        <v>#N/A</v>
      </c>
      <c r="D6" s="127" t="e">
        <v>#N/A</v>
      </c>
    </row>
    <row r="7" spans="1:4">
      <c r="A7" s="130">
        <v>44291</v>
      </c>
      <c r="B7" s="19" t="e">
        <v>#N/A</v>
      </c>
      <c r="C7" s="21" t="e">
        <v>#N/A</v>
      </c>
      <c r="D7" s="127" t="e">
        <v>#N/A</v>
      </c>
    </row>
    <row r="8" spans="1:4">
      <c r="A8" s="130">
        <v>44298</v>
      </c>
      <c r="B8" s="19" t="e">
        <v>#N/A</v>
      </c>
      <c r="C8" s="21" t="e">
        <v>#N/A</v>
      </c>
      <c r="D8" s="127" t="e">
        <v>#N/A</v>
      </c>
    </row>
    <row r="9" spans="1:4">
      <c r="A9" s="130">
        <v>44305</v>
      </c>
      <c r="B9" s="19" t="e">
        <v>#N/A</v>
      </c>
      <c r="C9" s="21" t="e">
        <v>#N/A</v>
      </c>
      <c r="D9" s="127" t="e">
        <v>#N/A</v>
      </c>
    </row>
    <row r="10" spans="1:4">
      <c r="A10" s="420" t="s">
        <v>11</v>
      </c>
      <c r="B10" s="19"/>
      <c r="C10" s="21"/>
      <c r="D10" s="127"/>
    </row>
    <row r="11" spans="1:4">
      <c r="A11" s="130">
        <v>44312</v>
      </c>
      <c r="B11" s="19" t="e">
        <v>#N/A</v>
      </c>
      <c r="C11" s="21" t="e">
        <v>#N/A</v>
      </c>
      <c r="D11" s="127" t="e">
        <v>#N/A</v>
      </c>
    </row>
    <row r="12" spans="1:4">
      <c r="A12" s="130">
        <v>44319</v>
      </c>
      <c r="B12" s="19" t="e">
        <v>#N/A</v>
      </c>
      <c r="C12" s="21" t="e">
        <v>#N/A</v>
      </c>
      <c r="D12" s="127" t="e">
        <v>#N/A</v>
      </c>
    </row>
    <row r="13" spans="1:4">
      <c r="A13" s="130">
        <v>44326</v>
      </c>
      <c r="B13" s="19" t="e">
        <v>#N/A</v>
      </c>
      <c r="C13" s="21" t="e">
        <v>#N/A</v>
      </c>
      <c r="D13" s="127" t="e">
        <v>#N/A</v>
      </c>
    </row>
    <row r="14" spans="1:4">
      <c r="A14" s="130">
        <v>44333</v>
      </c>
      <c r="B14" s="19" t="e">
        <v>#N/A</v>
      </c>
      <c r="C14" s="21" t="e">
        <v>#N/A</v>
      </c>
      <c r="D14" s="127" t="e">
        <v>#N/A</v>
      </c>
    </row>
    <row r="15" spans="1:4">
      <c r="A15" s="420" t="s">
        <v>1</v>
      </c>
      <c r="B15" s="19"/>
      <c r="C15" s="21"/>
      <c r="D15" s="127"/>
    </row>
    <row r="16" spans="1:4">
      <c r="A16" s="130">
        <v>44340</v>
      </c>
      <c r="B16" s="19" t="e">
        <v>#N/A</v>
      </c>
      <c r="C16" s="21" t="e">
        <v>#N/A</v>
      </c>
      <c r="D16" s="127" t="e">
        <v>#N/A</v>
      </c>
    </row>
    <row r="17" spans="1:4">
      <c r="A17" s="130">
        <v>44347</v>
      </c>
      <c r="B17" s="19" t="e">
        <v>#N/A</v>
      </c>
      <c r="C17" s="21" t="e">
        <v>#N/A</v>
      </c>
      <c r="D17" s="127" t="e">
        <v>#N/A</v>
      </c>
    </row>
    <row r="18" spans="1:4">
      <c r="A18" s="420" t="s">
        <v>2</v>
      </c>
      <c r="B18" s="19"/>
      <c r="C18" s="21"/>
      <c r="D18" s="127"/>
    </row>
    <row r="19" spans="1:4">
      <c r="A19" s="130">
        <v>44354</v>
      </c>
      <c r="B19" s="19" t="e">
        <v>#N/A</v>
      </c>
      <c r="C19" s="21" t="e">
        <v>#N/A</v>
      </c>
      <c r="D19" s="127" t="e">
        <v>#N/A</v>
      </c>
    </row>
    <row r="20" spans="1:4">
      <c r="A20" s="133" t="s">
        <v>432</v>
      </c>
      <c r="B20" s="121" t="e">
        <v>#N/A</v>
      </c>
      <c r="C20" s="122" t="e">
        <v>#N/A</v>
      </c>
      <c r="D20" s="128"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1BA19-02C7-48A3-9D38-37A80066CAB0}">
  <sheetPr codeName="Sheet12"/>
  <dimension ref="A1:C20"/>
  <sheetViews>
    <sheetView showGridLines="0" topLeftCell="A2" workbookViewId="0">
      <selection activeCell="A2" sqref="A2"/>
    </sheetView>
  </sheetViews>
  <sheetFormatPr defaultRowHeight="15"/>
  <cols>
    <col min="1" max="1" width="13.140625" bestFit="1" customWidth="1"/>
    <col min="2" max="2" width="13.28515625" bestFit="1" customWidth="1"/>
    <col min="3" max="3" width="20.28515625" bestFit="1" customWidth="1"/>
    <col min="4" max="4" width="20.42578125" bestFit="1" customWidth="1"/>
    <col min="5" max="5" width="10" bestFit="1" customWidth="1"/>
    <col min="6" max="6" width="13.28515625" bestFit="1" customWidth="1"/>
    <col min="7" max="7" width="10" bestFit="1" customWidth="1"/>
    <col min="8" max="8" width="13.28515625" bestFit="1" customWidth="1"/>
    <col min="9" max="9" width="10" bestFit="1" customWidth="1"/>
    <col min="10" max="10" width="13.28515625" bestFit="1" customWidth="1"/>
    <col min="11" max="11" width="10" bestFit="1" customWidth="1"/>
    <col min="12" max="12" width="13.28515625" bestFit="1" customWidth="1"/>
    <col min="13" max="13" width="10" bestFit="1" customWidth="1"/>
    <col min="14" max="14" width="13.28515625" bestFit="1" customWidth="1"/>
    <col min="15" max="15" width="10" bestFit="1" customWidth="1"/>
    <col min="16" max="16" width="13.28515625" bestFit="1" customWidth="1"/>
    <col min="17" max="17" width="10" bestFit="1" customWidth="1"/>
  </cols>
  <sheetData>
    <row r="1" spans="1:3">
      <c r="A1" s="9"/>
      <c r="B1" s="10" t="s">
        <v>89</v>
      </c>
      <c r="C1" s="12"/>
    </row>
    <row r="2" spans="1:3">
      <c r="A2" s="10" t="s">
        <v>88</v>
      </c>
      <c r="B2" s="9" t="s">
        <v>93</v>
      </c>
      <c r="C2" s="15" t="s">
        <v>102</v>
      </c>
    </row>
    <row r="3" spans="1:3">
      <c r="A3" s="14" t="s">
        <v>23</v>
      </c>
      <c r="B3" s="131"/>
      <c r="C3" s="16"/>
    </row>
    <row r="4" spans="1:3">
      <c r="A4" s="130">
        <v>44277</v>
      </c>
      <c r="B4" s="132" t="e">
        <v>#N/A</v>
      </c>
      <c r="C4" s="17" t="e">
        <v>#N/A</v>
      </c>
    </row>
    <row r="5" spans="1:3">
      <c r="A5" s="420" t="s">
        <v>12</v>
      </c>
      <c r="B5" s="132"/>
      <c r="C5" s="17"/>
    </row>
    <row r="6" spans="1:3">
      <c r="A6" s="130">
        <v>44284</v>
      </c>
      <c r="B6" s="132" t="e">
        <v>#N/A</v>
      </c>
      <c r="C6" s="17" t="e">
        <v>#N/A</v>
      </c>
    </row>
    <row r="7" spans="1:3">
      <c r="A7" s="130">
        <v>44291</v>
      </c>
      <c r="B7" s="132" t="e">
        <v>#N/A</v>
      </c>
      <c r="C7" s="17" t="e">
        <v>#N/A</v>
      </c>
    </row>
    <row r="8" spans="1:3">
      <c r="A8" s="130">
        <v>44298</v>
      </c>
      <c r="B8" s="132" t="e">
        <v>#N/A</v>
      </c>
      <c r="C8" s="17" t="e">
        <v>#N/A</v>
      </c>
    </row>
    <row r="9" spans="1:3">
      <c r="A9" s="130">
        <v>44305</v>
      </c>
      <c r="B9" s="132" t="e">
        <v>#N/A</v>
      </c>
      <c r="C9" s="17" t="e">
        <v>#N/A</v>
      </c>
    </row>
    <row r="10" spans="1:3">
      <c r="A10" s="420" t="s">
        <v>11</v>
      </c>
      <c r="B10" s="132"/>
      <c r="C10" s="17"/>
    </row>
    <row r="11" spans="1:3">
      <c r="A11" s="130">
        <v>44312</v>
      </c>
      <c r="B11" s="132" t="e">
        <v>#N/A</v>
      </c>
      <c r="C11" s="17" t="e">
        <v>#N/A</v>
      </c>
    </row>
    <row r="12" spans="1:3">
      <c r="A12" s="130">
        <v>44319</v>
      </c>
      <c r="B12" s="132" t="e">
        <v>#N/A</v>
      </c>
      <c r="C12" s="17" t="e">
        <v>#N/A</v>
      </c>
    </row>
    <row r="13" spans="1:3">
      <c r="A13" s="130">
        <v>44326</v>
      </c>
      <c r="B13" s="132" t="e">
        <v>#N/A</v>
      </c>
      <c r="C13" s="17" t="e">
        <v>#N/A</v>
      </c>
    </row>
    <row r="14" spans="1:3">
      <c r="A14" s="130">
        <v>44333</v>
      </c>
      <c r="B14" s="132" t="e">
        <v>#N/A</v>
      </c>
      <c r="C14" s="17" t="e">
        <v>#N/A</v>
      </c>
    </row>
    <row r="15" spans="1:3">
      <c r="A15" s="420" t="s">
        <v>1</v>
      </c>
      <c r="B15" s="132"/>
      <c r="C15" s="17"/>
    </row>
    <row r="16" spans="1:3">
      <c r="A16" s="130">
        <v>44340</v>
      </c>
      <c r="B16" s="132" t="e">
        <v>#N/A</v>
      </c>
      <c r="C16" s="17" t="e">
        <v>#N/A</v>
      </c>
    </row>
    <row r="17" spans="1:3">
      <c r="A17" s="130">
        <v>44347</v>
      </c>
      <c r="B17" s="132" t="e">
        <v>#N/A</v>
      </c>
      <c r="C17" s="17" t="e">
        <v>#N/A</v>
      </c>
    </row>
    <row r="18" spans="1:3">
      <c r="A18" s="420" t="s">
        <v>2</v>
      </c>
      <c r="B18" s="132"/>
      <c r="C18" s="17"/>
    </row>
    <row r="19" spans="1:3">
      <c r="A19" s="130">
        <v>44354</v>
      </c>
      <c r="B19" s="132" t="e">
        <v>#N/A</v>
      </c>
      <c r="C19" s="17" t="e">
        <v>#N/A</v>
      </c>
    </row>
    <row r="20" spans="1:3">
      <c r="A20" s="133" t="s">
        <v>432</v>
      </c>
      <c r="B20" s="134" t="e">
        <v>#N/A</v>
      </c>
      <c r="C20"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DF70B-EED5-4DDE-B2AA-704BE3462B42}">
  <sheetPr codeName="Sheet13"/>
  <dimension ref="A1:C20"/>
  <sheetViews>
    <sheetView showGridLines="0" workbookViewId="0">
      <selection activeCell="B9" sqref="B9"/>
    </sheetView>
  </sheetViews>
  <sheetFormatPr defaultRowHeight="15"/>
  <cols>
    <col min="1" max="1" width="13.140625" bestFit="1" customWidth="1"/>
    <col min="2" max="2" width="14.140625" bestFit="1" customWidth="1"/>
    <col min="3" max="4" width="10" bestFit="1" customWidth="1"/>
  </cols>
  <sheetData>
    <row r="1" spans="1:3">
      <c r="A1" s="9"/>
      <c r="B1" s="10" t="s">
        <v>89</v>
      </c>
      <c r="C1" s="12"/>
    </row>
    <row r="2" spans="1:3">
      <c r="A2" s="10" t="s">
        <v>88</v>
      </c>
      <c r="B2" s="9" t="s">
        <v>91</v>
      </c>
      <c r="C2" s="15" t="s">
        <v>94</v>
      </c>
    </row>
    <row r="3" spans="1:3">
      <c r="A3" s="14" t="s">
        <v>23</v>
      </c>
      <c r="B3" s="131"/>
      <c r="C3" s="16"/>
    </row>
    <row r="4" spans="1:3">
      <c r="A4" s="130">
        <v>44277</v>
      </c>
      <c r="B4" s="132" t="e">
        <v>#N/A</v>
      </c>
      <c r="C4" s="17" t="e">
        <v>#N/A</v>
      </c>
    </row>
    <row r="5" spans="1:3">
      <c r="A5" s="420" t="s">
        <v>12</v>
      </c>
      <c r="B5" s="132"/>
      <c r="C5" s="17"/>
    </row>
    <row r="6" spans="1:3">
      <c r="A6" s="130">
        <v>44284</v>
      </c>
      <c r="B6" s="132" t="e">
        <v>#N/A</v>
      </c>
      <c r="C6" s="17" t="e">
        <v>#N/A</v>
      </c>
    </row>
    <row r="7" spans="1:3">
      <c r="A7" s="130">
        <v>44291</v>
      </c>
      <c r="B7" s="132" t="e">
        <v>#N/A</v>
      </c>
      <c r="C7" s="17" t="e">
        <v>#N/A</v>
      </c>
    </row>
    <row r="8" spans="1:3">
      <c r="A8" s="130">
        <v>44298</v>
      </c>
      <c r="B8" s="132" t="e">
        <v>#N/A</v>
      </c>
      <c r="C8" s="17" t="e">
        <v>#N/A</v>
      </c>
    </row>
    <row r="9" spans="1:3">
      <c r="A9" s="130">
        <v>44305</v>
      </c>
      <c r="B9" s="132" t="e">
        <v>#N/A</v>
      </c>
      <c r="C9" s="17" t="e">
        <v>#N/A</v>
      </c>
    </row>
    <row r="10" spans="1:3">
      <c r="A10" s="420" t="s">
        <v>11</v>
      </c>
      <c r="B10" s="132"/>
      <c r="C10" s="17"/>
    </row>
    <row r="11" spans="1:3">
      <c r="A11" s="130">
        <v>44312</v>
      </c>
      <c r="B11" s="132" t="e">
        <v>#N/A</v>
      </c>
      <c r="C11" s="17" t="e">
        <v>#N/A</v>
      </c>
    </row>
    <row r="12" spans="1:3">
      <c r="A12" s="130">
        <v>44319</v>
      </c>
      <c r="B12" s="132" t="e">
        <v>#N/A</v>
      </c>
      <c r="C12" s="17" t="e">
        <v>#N/A</v>
      </c>
    </row>
    <row r="13" spans="1:3">
      <c r="A13" s="130">
        <v>44326</v>
      </c>
      <c r="B13" s="132" t="e">
        <v>#N/A</v>
      </c>
      <c r="C13" s="17" t="e">
        <v>#N/A</v>
      </c>
    </row>
    <row r="14" spans="1:3">
      <c r="A14" s="130">
        <v>44333</v>
      </c>
      <c r="B14" s="132" t="e">
        <v>#N/A</v>
      </c>
      <c r="C14" s="17" t="e">
        <v>#N/A</v>
      </c>
    </row>
    <row r="15" spans="1:3">
      <c r="A15" s="420" t="s">
        <v>1</v>
      </c>
      <c r="B15" s="132"/>
      <c r="C15" s="17"/>
    </row>
    <row r="16" spans="1:3">
      <c r="A16" s="130">
        <v>44340</v>
      </c>
      <c r="B16" s="132" t="e">
        <v>#N/A</v>
      </c>
      <c r="C16" s="17" t="e">
        <v>#N/A</v>
      </c>
    </row>
    <row r="17" spans="1:3">
      <c r="A17" s="130">
        <v>44347</v>
      </c>
      <c r="B17" s="132" t="e">
        <v>#N/A</v>
      </c>
      <c r="C17" s="17" t="e">
        <v>#N/A</v>
      </c>
    </row>
    <row r="18" spans="1:3">
      <c r="A18" s="420" t="s">
        <v>2</v>
      </c>
      <c r="B18" s="132"/>
      <c r="C18" s="17"/>
    </row>
    <row r="19" spans="1:3">
      <c r="A19" s="130">
        <v>44354</v>
      </c>
      <c r="B19" s="132" t="e">
        <v>#N/A</v>
      </c>
      <c r="C19" s="17" t="e">
        <v>#N/A</v>
      </c>
    </row>
    <row r="20" spans="1:3">
      <c r="A20" s="133" t="s">
        <v>432</v>
      </c>
      <c r="B20" s="134" t="e">
        <v>#N/A</v>
      </c>
      <c r="C20"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672F-2DCF-4D36-B5EC-7F605986F464}">
  <sheetPr codeName="Sheet20"/>
  <dimension ref="A1:B3"/>
  <sheetViews>
    <sheetView workbookViewId="0">
      <selection activeCell="A3" sqref="A3"/>
    </sheetView>
  </sheetViews>
  <sheetFormatPr defaultRowHeight="15"/>
  <cols>
    <col min="1" max="1" width="13.140625" bestFit="1" customWidth="1"/>
    <col min="2" max="2" width="16.28515625" bestFit="1" customWidth="1"/>
    <col min="3" max="3" width="10.7109375" bestFit="1" customWidth="1"/>
    <col min="4" max="10" width="5.5703125" bestFit="1" customWidth="1"/>
    <col min="11" max="14" width="10.28515625" bestFit="1" customWidth="1"/>
    <col min="15" max="19" width="10" bestFit="1" customWidth="1"/>
    <col min="20" max="23" width="9.5703125" bestFit="1" customWidth="1"/>
    <col min="24" max="27" width="10" bestFit="1" customWidth="1"/>
    <col min="28" max="31" width="10.140625" bestFit="1" customWidth="1"/>
    <col min="32" max="36" width="9.85546875" bestFit="1" customWidth="1"/>
    <col min="37" max="40" width="10.42578125" bestFit="1" customWidth="1"/>
    <col min="41" max="44" width="9.7109375" bestFit="1" customWidth="1"/>
    <col min="50" max="53" width="10.140625" bestFit="1" customWidth="1"/>
    <col min="54" max="58" width="10" bestFit="1" customWidth="1"/>
    <col min="59" max="62" width="9.7109375" bestFit="1" customWidth="1"/>
    <col min="63" max="66" width="10.28515625" bestFit="1" customWidth="1"/>
    <col min="67" max="71" width="10" bestFit="1" customWidth="1"/>
    <col min="72" max="75" width="9.5703125" bestFit="1" customWidth="1"/>
    <col min="76" max="79" width="10" bestFit="1" customWidth="1"/>
    <col min="80" max="84" width="10.140625" bestFit="1" customWidth="1"/>
    <col min="85" max="88" width="9.85546875" bestFit="1" customWidth="1"/>
    <col min="89" max="92" width="10.42578125" bestFit="1" customWidth="1"/>
    <col min="93" max="97" width="9.7109375" bestFit="1" customWidth="1"/>
    <col min="102" max="105" width="10.140625" bestFit="1" customWidth="1"/>
    <col min="106" max="110" width="10" bestFit="1" customWidth="1"/>
    <col min="111" max="114" width="9.7109375" bestFit="1" customWidth="1"/>
    <col min="115" max="118" width="10.28515625" bestFit="1" customWidth="1"/>
    <col min="119" max="123" width="10" bestFit="1" customWidth="1"/>
    <col min="124" max="127" width="9.5703125" bestFit="1" customWidth="1"/>
    <col min="128" max="131" width="10" bestFit="1" customWidth="1"/>
    <col min="132" max="136" width="10.140625" bestFit="1" customWidth="1"/>
    <col min="137" max="140" width="9.85546875" bestFit="1" customWidth="1"/>
    <col min="141" max="144" width="10.42578125" bestFit="1" customWidth="1"/>
    <col min="145" max="149" width="9.7109375" bestFit="1" customWidth="1"/>
    <col min="154" max="158" width="10.140625" bestFit="1" customWidth="1"/>
    <col min="159" max="162" width="10" bestFit="1" customWidth="1"/>
    <col min="163" max="166" width="9.7109375" bestFit="1" customWidth="1"/>
    <col min="167" max="171" width="10.28515625" bestFit="1" customWidth="1"/>
    <col min="172" max="175" width="10" bestFit="1" customWidth="1"/>
    <col min="176" max="179" width="9.5703125" bestFit="1" customWidth="1"/>
    <col min="180" max="184" width="10" bestFit="1" customWidth="1"/>
    <col min="185" max="188" width="10.140625" bestFit="1" customWidth="1"/>
    <col min="189" max="192" width="9.85546875" bestFit="1" customWidth="1"/>
    <col min="193" max="197" width="10.42578125" bestFit="1" customWidth="1"/>
    <col min="198" max="201" width="9.7109375" bestFit="1" customWidth="1"/>
    <col min="206" max="210" width="10.140625" bestFit="1" customWidth="1"/>
    <col min="211" max="214" width="10" bestFit="1" customWidth="1"/>
    <col min="215" max="219" width="9.7109375" bestFit="1" customWidth="1"/>
    <col min="220" max="223" width="10.28515625" bestFit="1" customWidth="1"/>
    <col min="224" max="227" width="10" bestFit="1" customWidth="1"/>
    <col min="228" max="232" width="9.5703125" bestFit="1" customWidth="1"/>
    <col min="233" max="236" width="10" bestFit="1" customWidth="1"/>
    <col min="237" max="240" width="10.140625" bestFit="1" customWidth="1"/>
    <col min="241" max="244" width="9.85546875" bestFit="1" customWidth="1"/>
    <col min="245" max="249" width="10.42578125" bestFit="1" customWidth="1"/>
    <col min="250" max="253" width="9.7109375" bestFit="1" customWidth="1"/>
    <col min="259" max="262" width="10.140625" bestFit="1" customWidth="1"/>
    <col min="263" max="266" width="10" bestFit="1" customWidth="1"/>
    <col min="267" max="271" width="9.7109375" bestFit="1" customWidth="1"/>
    <col min="272" max="275" width="10.28515625" bestFit="1" customWidth="1"/>
    <col min="276" max="279" width="10" bestFit="1" customWidth="1"/>
    <col min="280" max="284" width="9.5703125" bestFit="1" customWidth="1"/>
    <col min="285" max="288" width="10" bestFit="1" customWidth="1"/>
    <col min="289" max="292" width="10.140625" bestFit="1" customWidth="1"/>
    <col min="293" max="297" width="9.85546875" bestFit="1" customWidth="1"/>
    <col min="298" max="301" width="10.42578125" bestFit="1" customWidth="1"/>
    <col min="302" max="305" width="9.7109375" bestFit="1" customWidth="1"/>
    <col min="311" max="314" width="10.140625" bestFit="1" customWidth="1"/>
    <col min="315" max="318" width="10" bestFit="1" customWidth="1"/>
    <col min="319" max="323" width="9.7109375" bestFit="1" customWidth="1"/>
    <col min="324" max="327" width="10.28515625" bestFit="1" customWidth="1"/>
    <col min="328" max="332" width="10" bestFit="1" customWidth="1"/>
    <col min="333" max="336" width="9.5703125" bestFit="1" customWidth="1"/>
    <col min="337" max="340" width="10" bestFit="1" customWidth="1"/>
    <col min="341" max="344" width="10.140625" bestFit="1" customWidth="1"/>
    <col min="345" max="349" width="9.85546875" bestFit="1" customWidth="1"/>
    <col min="350" max="353" width="10.42578125" bestFit="1" customWidth="1"/>
    <col min="354" max="357" width="9.7109375" bestFit="1" customWidth="1"/>
    <col min="363" max="366" width="10.140625" bestFit="1" customWidth="1"/>
    <col min="367" max="371" width="10" bestFit="1" customWidth="1"/>
  </cols>
  <sheetData>
    <row r="1" spans="1:2">
      <c r="A1" s="10" t="s">
        <v>562</v>
      </c>
      <c r="B1" s="395" t="s">
        <v>24</v>
      </c>
    </row>
    <row r="2" spans="1:2">
      <c r="A2" s="10" t="s">
        <v>88</v>
      </c>
      <c r="B2" s="396" t="s">
        <v>564</v>
      </c>
    </row>
    <row r="3" spans="1:2">
      <c r="A3" s="133" t="s">
        <v>563</v>
      </c>
      <c r="B3" s="397">
        <v>189</v>
      </c>
    </row>
  </sheetData>
  <pageMargins left="0.7" right="0.7" top="0.75" bottom="0.75" header="0.3" footer="0.3"/>
  <pageSetup orientation="portrait" horizontalDpi="4294967293" verticalDpi="4294967293"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9974-7C2F-4333-A4B8-52FEA53514F9}">
  <sheetPr codeName="Sheet16"/>
  <dimension ref="A1:C20"/>
  <sheetViews>
    <sheetView showGridLines="0" topLeftCell="A2" workbookViewId="0">
      <selection activeCell="D14" sqref="D14"/>
    </sheetView>
  </sheetViews>
  <sheetFormatPr defaultRowHeight="15"/>
  <cols>
    <col min="1" max="1" width="13.140625" bestFit="1" customWidth="1"/>
    <col min="2" max="2" width="14.140625" bestFit="1" customWidth="1"/>
    <col min="3" max="3" width="18.7109375" bestFit="1" customWidth="1"/>
  </cols>
  <sheetData>
    <row r="1" spans="1:3">
      <c r="A1" s="9"/>
      <c r="B1" s="10" t="s">
        <v>89</v>
      </c>
      <c r="C1" s="12"/>
    </row>
    <row r="2" spans="1:3">
      <c r="A2" s="10" t="s">
        <v>88</v>
      </c>
      <c r="B2" s="9" t="s">
        <v>91</v>
      </c>
      <c r="C2" s="15" t="s">
        <v>92</v>
      </c>
    </row>
    <row r="3" spans="1:3">
      <c r="A3" s="14" t="s">
        <v>23</v>
      </c>
      <c r="B3" s="131"/>
      <c r="C3" s="424"/>
    </row>
    <row r="4" spans="1:3">
      <c r="A4" s="130">
        <v>44277</v>
      </c>
      <c r="B4" s="132" t="e">
        <v>#N/A</v>
      </c>
      <c r="C4" s="425" t="e">
        <v>#N/A</v>
      </c>
    </row>
    <row r="5" spans="1:3">
      <c r="A5" s="420" t="s">
        <v>12</v>
      </c>
      <c r="B5" s="132"/>
      <c r="C5" s="425"/>
    </row>
    <row r="6" spans="1:3">
      <c r="A6" s="130">
        <v>44284</v>
      </c>
      <c r="B6" s="132" t="e">
        <v>#N/A</v>
      </c>
      <c r="C6" s="425" t="e">
        <v>#N/A</v>
      </c>
    </row>
    <row r="7" spans="1:3">
      <c r="A7" s="130">
        <v>44291</v>
      </c>
      <c r="B7" s="132" t="e">
        <v>#N/A</v>
      </c>
      <c r="C7" s="425" t="e">
        <v>#N/A</v>
      </c>
    </row>
    <row r="8" spans="1:3">
      <c r="A8" s="130">
        <v>44298</v>
      </c>
      <c r="B8" s="132" t="e">
        <v>#N/A</v>
      </c>
      <c r="C8" s="425" t="e">
        <v>#N/A</v>
      </c>
    </row>
    <row r="9" spans="1:3">
      <c r="A9" s="130">
        <v>44305</v>
      </c>
      <c r="B9" s="132" t="e">
        <v>#N/A</v>
      </c>
      <c r="C9" s="425" t="e">
        <v>#N/A</v>
      </c>
    </row>
    <row r="10" spans="1:3">
      <c r="A10" s="420" t="s">
        <v>11</v>
      </c>
      <c r="B10" s="132"/>
      <c r="C10" s="425"/>
    </row>
    <row r="11" spans="1:3">
      <c r="A11" s="130">
        <v>44312</v>
      </c>
      <c r="B11" s="132" t="e">
        <v>#N/A</v>
      </c>
      <c r="C11" s="425" t="e">
        <v>#N/A</v>
      </c>
    </row>
    <row r="12" spans="1:3">
      <c r="A12" s="130">
        <v>44319</v>
      </c>
      <c r="B12" s="132" t="e">
        <v>#N/A</v>
      </c>
      <c r="C12" s="425" t="e">
        <v>#N/A</v>
      </c>
    </row>
    <row r="13" spans="1:3">
      <c r="A13" s="130">
        <v>44326</v>
      </c>
      <c r="B13" s="132" t="e">
        <v>#N/A</v>
      </c>
      <c r="C13" s="425" t="e">
        <v>#N/A</v>
      </c>
    </row>
    <row r="14" spans="1:3">
      <c r="A14" s="130">
        <v>44333</v>
      </c>
      <c r="B14" s="132" t="e">
        <v>#N/A</v>
      </c>
      <c r="C14" s="425" t="e">
        <v>#N/A</v>
      </c>
    </row>
    <row r="15" spans="1:3">
      <c r="A15" s="420" t="s">
        <v>1</v>
      </c>
      <c r="B15" s="132"/>
      <c r="C15" s="425"/>
    </row>
    <row r="16" spans="1:3">
      <c r="A16" s="130">
        <v>44340</v>
      </c>
      <c r="B16" s="132" t="e">
        <v>#N/A</v>
      </c>
      <c r="C16" s="425" t="e">
        <v>#N/A</v>
      </c>
    </row>
    <row r="17" spans="1:3">
      <c r="A17" s="130">
        <v>44347</v>
      </c>
      <c r="B17" s="132" t="e">
        <v>#N/A</v>
      </c>
      <c r="C17" s="425" t="e">
        <v>#N/A</v>
      </c>
    </row>
    <row r="18" spans="1:3">
      <c r="A18" s="420" t="s">
        <v>2</v>
      </c>
      <c r="B18" s="132"/>
      <c r="C18" s="425"/>
    </row>
    <row r="19" spans="1:3">
      <c r="A19" s="130">
        <v>44354</v>
      </c>
      <c r="B19" s="132" t="e">
        <v>#N/A</v>
      </c>
      <c r="C19" s="425" t="e">
        <v>#N/A</v>
      </c>
    </row>
    <row r="20" spans="1:3">
      <c r="A20" s="133" t="s">
        <v>432</v>
      </c>
      <c r="B20" s="134" t="e">
        <v>#N/A</v>
      </c>
      <c r="C20" s="135" t="e">
        <v>#N/A</v>
      </c>
    </row>
  </sheetData>
  <pageMargins left="0.7" right="0.7" top="0.75" bottom="0.75" header="0.3" footer="0.3"/>
  <pageSetup orientation="portrait" horizontalDpi="4294967293" verticalDpi="4294967293"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40512-2B3B-4715-A13B-9F80F04583CF}">
  <sheetPr codeName="Sheet15"/>
  <dimension ref="A1:C20"/>
  <sheetViews>
    <sheetView showGridLines="0" workbookViewId="0">
      <selection activeCell="D14" sqref="D14"/>
    </sheetView>
  </sheetViews>
  <sheetFormatPr defaultRowHeight="15"/>
  <cols>
    <col min="1" max="1" width="13.140625" bestFit="1" customWidth="1"/>
    <col min="2" max="2" width="10.85546875" bestFit="1" customWidth="1"/>
    <col min="3" max="3" width="20.7109375" bestFit="1" customWidth="1"/>
    <col min="4" max="4" width="15.42578125" bestFit="1" customWidth="1"/>
  </cols>
  <sheetData>
    <row r="1" spans="1:3">
      <c r="A1" s="9"/>
      <c r="B1" s="10" t="s">
        <v>89</v>
      </c>
      <c r="C1" s="12"/>
    </row>
    <row r="2" spans="1:3">
      <c r="A2" s="10" t="s">
        <v>88</v>
      </c>
      <c r="B2" s="9" t="s">
        <v>90</v>
      </c>
      <c r="C2" s="15" t="s">
        <v>333</v>
      </c>
    </row>
    <row r="3" spans="1:3">
      <c r="A3" s="14" t="s">
        <v>23</v>
      </c>
      <c r="B3" s="18"/>
      <c r="C3" s="16"/>
    </row>
    <row r="4" spans="1:3">
      <c r="A4" s="130">
        <v>44277</v>
      </c>
      <c r="B4" s="19" t="e">
        <v>#N/A</v>
      </c>
      <c r="C4" s="17" t="e">
        <v>#N/A</v>
      </c>
    </row>
    <row r="5" spans="1:3">
      <c r="A5" s="420"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420"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420" t="s">
        <v>1</v>
      </c>
      <c r="B15" s="19"/>
      <c r="C15" s="17"/>
    </row>
    <row r="16" spans="1:3">
      <c r="A16" s="130">
        <v>44340</v>
      </c>
      <c r="B16" s="19" t="e">
        <v>#N/A</v>
      </c>
      <c r="C16" s="17" t="e">
        <v>#N/A</v>
      </c>
    </row>
    <row r="17" spans="1:3">
      <c r="A17" s="130">
        <v>44347</v>
      </c>
      <c r="B17" s="19" t="e">
        <v>#N/A</v>
      </c>
      <c r="C17" s="17" t="e">
        <v>#N/A</v>
      </c>
    </row>
    <row r="18" spans="1:3">
      <c r="A18" s="420" t="s">
        <v>2</v>
      </c>
      <c r="B18" s="19"/>
      <c r="C18" s="17"/>
    </row>
    <row r="19" spans="1:3">
      <c r="A19" s="130">
        <v>44354</v>
      </c>
      <c r="B19" s="19" t="e">
        <v>#N/A</v>
      </c>
      <c r="C19" s="17" t="e">
        <v>#N/A</v>
      </c>
    </row>
    <row r="20" spans="1:3">
      <c r="A20" s="133" t="s">
        <v>432</v>
      </c>
      <c r="B20" s="121" t="e">
        <v>#N/A</v>
      </c>
      <c r="C20" s="125" t="e">
        <v>#N/A</v>
      </c>
    </row>
  </sheetData>
  <pageMargins left="0.7" right="0.7" top="0.75" bottom="0.75" header="0.3" footer="0.3"/>
  <pageSetup orientation="portrait" horizontalDpi="4294967293" verticalDpi="4294967293"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4E20E-89AE-4A92-886C-64968B753430}">
  <sheetPr codeName="Sheet17"/>
  <dimension ref="A1:C20"/>
  <sheetViews>
    <sheetView showGridLines="0" workbookViewId="0">
      <selection activeCell="C5" sqref="C5"/>
    </sheetView>
  </sheetViews>
  <sheetFormatPr defaultRowHeight="15"/>
  <cols>
    <col min="1" max="1" width="13.140625" bestFit="1" customWidth="1"/>
    <col min="2" max="2" width="10" bestFit="1" customWidth="1"/>
    <col min="3" max="3" width="14.5703125" bestFit="1" customWidth="1"/>
  </cols>
  <sheetData>
    <row r="1" spans="1:3">
      <c r="A1" s="9"/>
      <c r="B1" s="10" t="s">
        <v>89</v>
      </c>
      <c r="C1" s="12"/>
    </row>
    <row r="2" spans="1:3">
      <c r="A2" s="10" t="s">
        <v>88</v>
      </c>
      <c r="B2" s="9" t="s">
        <v>94</v>
      </c>
      <c r="C2" s="15" t="s">
        <v>335</v>
      </c>
    </row>
    <row r="3" spans="1:3">
      <c r="A3" s="14" t="s">
        <v>23</v>
      </c>
      <c r="B3" s="18"/>
      <c r="C3" s="16"/>
    </row>
    <row r="4" spans="1:3">
      <c r="A4" s="130">
        <v>44277</v>
      </c>
      <c r="B4" s="19" t="e">
        <v>#N/A</v>
      </c>
      <c r="C4" s="17" t="e">
        <v>#N/A</v>
      </c>
    </row>
    <row r="5" spans="1:3">
      <c r="A5" s="420"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420"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420" t="s">
        <v>1</v>
      </c>
      <c r="B15" s="19"/>
      <c r="C15" s="17"/>
    </row>
    <row r="16" spans="1:3">
      <c r="A16" s="130">
        <v>44340</v>
      </c>
      <c r="B16" s="19" t="e">
        <v>#N/A</v>
      </c>
      <c r="C16" s="17" t="e">
        <v>#N/A</v>
      </c>
    </row>
    <row r="17" spans="1:3">
      <c r="A17" s="130">
        <v>44347</v>
      </c>
      <c r="B17" s="19" t="e">
        <v>#N/A</v>
      </c>
      <c r="C17" s="17" t="e">
        <v>#N/A</v>
      </c>
    </row>
    <row r="18" spans="1:3">
      <c r="A18" s="420" t="s">
        <v>2</v>
      </c>
      <c r="B18" s="19"/>
      <c r="C18" s="17"/>
    </row>
    <row r="19" spans="1:3">
      <c r="A19" s="130">
        <v>44354</v>
      </c>
      <c r="B19" s="19" t="e">
        <v>#N/A</v>
      </c>
      <c r="C19" s="17" t="e">
        <v>#N/A</v>
      </c>
    </row>
    <row r="20" spans="1:3">
      <c r="A20" s="133" t="s">
        <v>432</v>
      </c>
      <c r="B20" s="121" t="e">
        <v>#N/A</v>
      </c>
      <c r="C20" s="125" t="e">
        <v>#N/A</v>
      </c>
    </row>
  </sheetData>
  <pageMargins left="0.7" right="0.7" top="0.75" bottom="0.75" header="0.3" footer="0.3"/>
  <pageSetup orientation="portrait" horizontalDpi="4294967293" verticalDpi="4294967293"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030B-C3EE-4207-88D9-35F6C9D32D70}">
  <sheetPr codeName="Sheet18"/>
  <dimension ref="A1:C20"/>
  <sheetViews>
    <sheetView showGridLines="0" workbookViewId="0">
      <selection activeCell="A2" sqref="A2"/>
    </sheetView>
  </sheetViews>
  <sheetFormatPr defaultRowHeight="15"/>
  <cols>
    <col min="1" max="1" width="13.140625" bestFit="1" customWidth="1"/>
    <col min="2" max="2" width="13.42578125" bestFit="1" customWidth="1"/>
    <col min="3" max="3" width="18" bestFit="1" customWidth="1"/>
  </cols>
  <sheetData>
    <row r="1" spans="1:3">
      <c r="A1" s="9"/>
      <c r="B1" s="10" t="s">
        <v>89</v>
      </c>
      <c r="C1" s="12"/>
    </row>
    <row r="2" spans="1:3">
      <c r="A2" s="10" t="s">
        <v>88</v>
      </c>
      <c r="B2" s="9" t="s">
        <v>336</v>
      </c>
      <c r="C2" s="15" t="s">
        <v>337</v>
      </c>
    </row>
    <row r="3" spans="1:3">
      <c r="A3" s="14" t="s">
        <v>23</v>
      </c>
      <c r="B3" s="18"/>
      <c r="C3" s="16"/>
    </row>
    <row r="4" spans="1:3">
      <c r="A4" s="130">
        <v>44277</v>
      </c>
      <c r="B4" s="19" t="e">
        <v>#N/A</v>
      </c>
      <c r="C4" s="17" t="e">
        <v>#N/A</v>
      </c>
    </row>
    <row r="5" spans="1:3">
      <c r="A5" s="420"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420"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420" t="s">
        <v>1</v>
      </c>
      <c r="B15" s="19"/>
      <c r="C15" s="17"/>
    </row>
    <row r="16" spans="1:3">
      <c r="A16" s="130">
        <v>44340</v>
      </c>
      <c r="B16" s="19" t="e">
        <v>#N/A</v>
      </c>
      <c r="C16" s="17" t="e">
        <v>#N/A</v>
      </c>
    </row>
    <row r="17" spans="1:3">
      <c r="A17" s="130">
        <v>44347</v>
      </c>
      <c r="B17" s="19" t="e">
        <v>#N/A</v>
      </c>
      <c r="C17" s="17" t="e">
        <v>#N/A</v>
      </c>
    </row>
    <row r="18" spans="1:3">
      <c r="A18" s="420" t="s">
        <v>2</v>
      </c>
      <c r="B18" s="19"/>
      <c r="C18" s="17"/>
    </row>
    <row r="19" spans="1:3">
      <c r="A19" s="130">
        <v>44354</v>
      </c>
      <c r="B19" s="19" t="e">
        <v>#N/A</v>
      </c>
      <c r="C19" s="17" t="e">
        <v>#N/A</v>
      </c>
    </row>
    <row r="20" spans="1:3">
      <c r="A20" s="133" t="s">
        <v>432</v>
      </c>
      <c r="B20" s="121" t="e">
        <v>#N/A</v>
      </c>
      <c r="C20" s="125" t="e">
        <v>#N/A</v>
      </c>
    </row>
  </sheetData>
  <pageMargins left="0.7" right="0.7" top="0.75" bottom="0.75" header="0.3" footer="0.3"/>
  <pageSetup orientation="portrait" horizontalDpi="4294967293" verticalDpi="4294967293"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325FFDE6-1C04-4DB4-BCE1-D5EAC3E7C3B1}">
  <ds:schemaRefs/>
</ds:datastoreItem>
</file>

<file path=customXml/itemProps2.xml><?xml version="1.0" encoding="utf-8"?>
<ds:datastoreItem xmlns:ds="http://schemas.openxmlformats.org/officeDocument/2006/customXml" ds:itemID="{0E308580-7540-479A-99F8-CCEADE1E6B21}">
  <ds:schemaRefs/>
</ds:datastoreItem>
</file>

<file path=customXml/itemProps3.xml><?xml version="1.0" encoding="utf-8"?>
<ds:datastoreItem xmlns:ds="http://schemas.openxmlformats.org/officeDocument/2006/customXml" ds:itemID="{F15AC547-D1C1-4205-AA5F-A8BA013F4CF9}">
  <ds:schemaRefs/>
</ds:datastoreItem>
</file>

<file path=customXml/itemProps4.xml><?xml version="1.0" encoding="utf-8"?>
<ds:datastoreItem xmlns:ds="http://schemas.openxmlformats.org/officeDocument/2006/customXml" ds:itemID="{18137E43-BF00-426B-913A-365A2DDB6BB5}">
  <ds:schemaRefs/>
</ds:datastoreItem>
</file>

<file path=customXml/itemProps5.xml><?xml version="1.0" encoding="utf-8"?>
<ds:datastoreItem xmlns:ds="http://schemas.openxmlformats.org/officeDocument/2006/customXml" ds:itemID="{D1D51DD0-78B4-45ED-895F-0771036C4BE5}">
  <ds:schemaRefs/>
</ds:datastoreItem>
</file>

<file path=customXml/itemProps6.xml><?xml version="1.0" encoding="utf-8"?>
<ds:datastoreItem xmlns:ds="http://schemas.openxmlformats.org/officeDocument/2006/customXml" ds:itemID="{4EC66F17-54D0-41AC-BEFB-35B67985500D}">
  <ds:schemaRefs/>
</ds:datastoreItem>
</file>

<file path=customXml/itemProps7.xml><?xml version="1.0" encoding="utf-8"?>
<ds:datastoreItem xmlns:ds="http://schemas.openxmlformats.org/officeDocument/2006/customXml" ds:itemID="{C09731F6-600F-4554-A47A-0AA84C692DCA}">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DFAC5037-CD97-4EFF-B9E0-031CCFF12FC6}">
  <ds:schemaRefs/>
</ds:datastoreItem>
</file>

<file path=customXml/itemProps9.xml><?xml version="1.0" encoding="utf-8"?>
<ds:datastoreItem xmlns:ds="http://schemas.openxmlformats.org/officeDocument/2006/customXml" ds:itemID="{A5BB64A0-0DE3-4C42-8B02-1F6BB0DB398A}">
  <ds:schemaRefs/>
</ds:datastoreItem>
</file>

<file path=customXml/itemProps10.xml><?xml version="1.0" encoding="utf-8"?>
<ds:datastoreItem xmlns:ds="http://schemas.openxmlformats.org/officeDocument/2006/customXml" ds:itemID="{0D1978DB-C2D3-4F7D-BC85-A2AE1489F626}">
  <ds:schemaRefs/>
</ds:datastoreItem>
</file>

<file path=customXml/itemProps11.xml><?xml version="1.0" encoding="utf-8"?>
<ds:datastoreItem xmlns:ds="http://schemas.openxmlformats.org/officeDocument/2006/customXml" ds:itemID="{9C4170DE-82FD-4660-97FF-B7E554691CF5}">
  <ds:schemaRefs>
    <ds:schemaRef ds:uri="http://www.w3.org/2001/XMLSchema"/>
    <ds:schemaRef ds:uri="http://microsoft.data.visualization.Client.Excel/1.0"/>
  </ds:schemaRefs>
</ds:datastoreItem>
</file>

<file path=customXml/itemProps12.xml><?xml version="1.0" encoding="utf-8"?>
<ds:datastoreItem xmlns:ds="http://schemas.openxmlformats.org/officeDocument/2006/customXml" ds:itemID="{9ADCB92C-9CEB-4570-AAA4-1C697F48440D}">
  <ds:schemaRefs>
    <ds:schemaRef ds:uri="http://www.w3.org/2001/XMLSchema"/>
    <ds:schemaRef ds:uri="http://microsoft.data.visualization.Client.Excel.PState/1.0"/>
  </ds:schemaRefs>
</ds:datastoreItem>
</file>

<file path=customXml/itemProps13.xml><?xml version="1.0" encoding="utf-8"?>
<ds:datastoreItem xmlns:ds="http://schemas.openxmlformats.org/officeDocument/2006/customXml" ds:itemID="{18159AF0-5FB4-4C05-8758-3F87F81D2B29}">
  <ds:schemaRefs/>
</ds:datastoreItem>
</file>

<file path=customXml/itemProps14.xml><?xml version="1.0" encoding="utf-8"?>
<ds:datastoreItem xmlns:ds="http://schemas.openxmlformats.org/officeDocument/2006/customXml" ds:itemID="{CA03BF5E-9554-4513-902B-7DC355D6FE54}">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B196212C-87F6-444D-88B2-E4271F619971}">
  <ds:schemaRefs/>
</ds:datastoreItem>
</file>

<file path=customXml/itemProps16.xml><?xml version="1.0" encoding="utf-8"?>
<ds:datastoreItem xmlns:ds="http://schemas.openxmlformats.org/officeDocument/2006/customXml" ds:itemID="{2A5A1E1D-372B-4EC7-A981-B47AAAC48BAA}">
  <ds:schemaRefs/>
</ds:datastoreItem>
</file>

<file path=customXml/itemProps17.xml><?xml version="1.0" encoding="utf-8"?>
<ds:datastoreItem xmlns:ds="http://schemas.openxmlformats.org/officeDocument/2006/customXml" ds:itemID="{CCDB24AF-BA14-4853-ABF8-54F68DC80D3D}">
  <ds:schemaRefs/>
</ds:datastoreItem>
</file>

<file path=customXml/itemProps18.xml><?xml version="1.0" encoding="utf-8"?>
<ds:datastoreItem xmlns:ds="http://schemas.openxmlformats.org/officeDocument/2006/customXml" ds:itemID="{64401356-08E0-49C3-8BF6-28C972F55038}">
  <ds:schemaRefs/>
</ds:datastoreItem>
</file>

<file path=customXml/itemProps19.xml><?xml version="1.0" encoding="utf-8"?>
<ds:datastoreItem xmlns:ds="http://schemas.openxmlformats.org/officeDocument/2006/customXml" ds:itemID="{39303E75-256A-49E6-B072-4ADB542BD617}">
  <ds:schemaRefs/>
</ds:datastoreItem>
</file>

<file path=customXml/itemProps20.xml><?xml version="1.0" encoding="utf-8"?>
<ds:datastoreItem xmlns:ds="http://schemas.openxmlformats.org/officeDocument/2006/customXml" ds:itemID="{EDC0818B-BB55-4E24-BEF6-E8BB102C8D2C}">
  <ds:schemaRefs/>
</ds:datastoreItem>
</file>

<file path=customXml/itemProps21.xml><?xml version="1.0" encoding="utf-8"?>
<ds:datastoreItem xmlns:ds="http://schemas.openxmlformats.org/officeDocument/2006/customXml" ds:itemID="{557A4F9E-4238-40F7-9462-7E79B64465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103</vt:i4>
      </vt:variant>
    </vt:vector>
  </HeadingPairs>
  <TitlesOfParts>
    <vt:vector size="111" baseType="lpstr">
      <vt:lpstr>Events</vt:lpstr>
      <vt:lpstr>Setup</vt:lpstr>
      <vt:lpstr>Calendar</vt:lpstr>
      <vt:lpstr>Targets</vt:lpstr>
      <vt:lpstr>Weight</vt:lpstr>
      <vt:lpstr>Load</vt:lpstr>
      <vt:lpstr>Dashboard</vt:lpstr>
      <vt:lpstr>Analytics</vt:lpstr>
      <vt:lpstr>Actual_BMI</vt:lpstr>
      <vt:lpstr>Actual_Week</vt:lpstr>
      <vt:lpstr>Actual_Weight</vt:lpstr>
      <vt:lpstr>ActualBMILimit</vt:lpstr>
      <vt:lpstr>ActualHeight</vt:lpstr>
      <vt:lpstr>AddDate</vt:lpstr>
      <vt:lpstr>Advanced_Setup</vt:lpstr>
      <vt:lpstr>Advanced_Setup_Range_End</vt:lpstr>
      <vt:lpstr>Advanced_Setup_Range_Start</vt:lpstr>
      <vt:lpstr>Analytics1Field1</vt:lpstr>
      <vt:lpstr>Analytics1Field2</vt:lpstr>
      <vt:lpstr>Analytics2Field1</vt:lpstr>
      <vt:lpstr>Analytics2Field2</vt:lpstr>
      <vt:lpstr>Analytics3Field1</vt:lpstr>
      <vt:lpstr>Analytics3Field2</vt:lpstr>
      <vt:lpstr>Analytics4Field1</vt:lpstr>
      <vt:lpstr>Analytics4Field2</vt:lpstr>
      <vt:lpstr>APIList</vt:lpstr>
      <vt:lpstr>APISearch</vt:lpstr>
      <vt:lpstr>Available_Annual_Hours</vt:lpstr>
      <vt:lpstr>BMI_max</vt:lpstr>
      <vt:lpstr>BMI_min</vt:lpstr>
      <vt:lpstr>Bottom10Icon</vt:lpstr>
      <vt:lpstr>CalChartAnchor</vt:lpstr>
      <vt:lpstr>CalChartCell</vt:lpstr>
      <vt:lpstr>CalendarChartNeedReset</vt:lpstr>
      <vt:lpstr>CalendarFirstRow</vt:lpstr>
      <vt:lpstr>CalendarTime</vt:lpstr>
      <vt:lpstr>ChartPlanTime</vt:lpstr>
      <vt:lpstr>ConditionalRulesTime</vt:lpstr>
      <vt:lpstr>CountdownTxt</vt:lpstr>
      <vt:lpstr>DashboardChartNeedReset</vt:lpstr>
      <vt:lpstr>DashboardNeedRefresh</vt:lpstr>
      <vt:lpstr>DaysPerWeek</vt:lpstr>
      <vt:lpstr>Dst_Label</vt:lpstr>
      <vt:lpstr>EventsDashboardQueryNeedRefresh</vt:lpstr>
      <vt:lpstr>EventsTableBottom</vt:lpstr>
      <vt:lpstr>EventsTableTop</vt:lpstr>
      <vt:lpstr>EventsTime</vt:lpstr>
      <vt:lpstr>EventType</vt:lpstr>
      <vt:lpstr>EventTypeList</vt:lpstr>
      <vt:lpstr>FavEventsQueryNeedRefresh</vt:lpstr>
      <vt:lpstr>FirstWeek</vt:lpstr>
      <vt:lpstr>FolderIcon</vt:lpstr>
      <vt:lpstr>HeightPrimary</vt:lpstr>
      <vt:lpstr>HeightSecondary</vt:lpstr>
      <vt:lpstr>HeightUnit</vt:lpstr>
      <vt:lpstr>HoursPerDay</vt:lpstr>
      <vt:lpstr>Last_Weight_Update</vt:lpstr>
      <vt:lpstr>Last_Weight_Week</vt:lpstr>
      <vt:lpstr>LastWeek</vt:lpstr>
      <vt:lpstr>MinPerDay</vt:lpstr>
      <vt:lpstr>NewWeight</vt:lpstr>
      <vt:lpstr>NewWeightUnit</vt:lpstr>
      <vt:lpstr>Period_Weight</vt:lpstr>
      <vt:lpstr>PivotAnalyticsNeedRefresh</vt:lpstr>
      <vt:lpstr>PivotPlanNeedRefresh</vt:lpstr>
      <vt:lpstr>PivotPlanTime</vt:lpstr>
      <vt:lpstr>PivotTablesTime</vt:lpstr>
      <vt:lpstr>RaceDay</vt:lpstr>
      <vt:lpstr>RaceMonth</vt:lpstr>
      <vt:lpstr>RaceYear</vt:lpstr>
      <vt:lpstr>radius</vt:lpstr>
      <vt:lpstr>Season</vt:lpstr>
      <vt:lpstr>SeasonList</vt:lpstr>
      <vt:lpstr>SeasonSearch</vt:lpstr>
      <vt:lpstr>Tables!SeasonTable</vt:lpstr>
      <vt:lpstr>Tables!SetupIcon</vt:lpstr>
      <vt:lpstr>SolverTarget</vt:lpstr>
      <vt:lpstr>SolverTime</vt:lpstr>
      <vt:lpstr>SpeedChartAnchor</vt:lpstr>
      <vt:lpstr>StartDay</vt:lpstr>
      <vt:lpstr>StartMonth</vt:lpstr>
      <vt:lpstr>StartYear</vt:lpstr>
      <vt:lpstr>Tables!StateAbbreviation</vt:lpstr>
      <vt:lpstr>StateNames</vt:lpstr>
      <vt:lpstr>StateSearch</vt:lpstr>
      <vt:lpstr>TableCheckTime</vt:lpstr>
      <vt:lpstr>TargetsChartNeedReset</vt:lpstr>
      <vt:lpstr>TargetsNeedRefresh</vt:lpstr>
      <vt:lpstr>TargetsTableFirstRow</vt:lpstr>
      <vt:lpstr>Time_Label</vt:lpstr>
      <vt:lpstr>TodayDate</vt:lpstr>
      <vt:lpstr>Top10Icon</vt:lpstr>
      <vt:lpstr>Total_Weeks_Max</vt:lpstr>
      <vt:lpstr>Total_Weeks_Min</vt:lpstr>
      <vt:lpstr>Total_Weeks_Planned</vt:lpstr>
      <vt:lpstr>TotalTime</vt:lpstr>
      <vt:lpstr>Tables!UCIPATHFILE</vt:lpstr>
      <vt:lpstr>UploadFolder</vt:lpstr>
      <vt:lpstr>UploadQueryFields</vt:lpstr>
      <vt:lpstr>Weeks_Available</vt:lpstr>
      <vt:lpstr>Weeks_Max</vt:lpstr>
      <vt:lpstr>Weeks_Min</vt:lpstr>
      <vt:lpstr>Weeks_To_Race</vt:lpstr>
      <vt:lpstr>WeeksGaugeAnchor</vt:lpstr>
      <vt:lpstr>WeeksToRaceTxt</vt:lpstr>
      <vt:lpstr>WeightChartAnchor</vt:lpstr>
      <vt:lpstr>WeightDashboardChartNeedReset</vt:lpstr>
      <vt:lpstr>WeightTargetChartNeedReset</vt:lpstr>
      <vt:lpstr>WeightUnit</vt:lpstr>
      <vt:lpstr>WeightUnitList</vt:lpstr>
      <vt:lpstr>WeightUnitSetup</vt:lpstr>
    </vt:vector>
  </TitlesOfParts>
  <Company>STATrider</Company>
  <LinksUpToDate>false</LinksUpToDate>
  <SharedDoc>false</SharedDoc>
  <HyperlinkBase>https://statrider.com/</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STATrider</dc:title>
  <dc:subject>Cycling Training</dc:subject>
  <dc:creator>STATrider</dc:creator>
  <cp:keywords>Cycling; Training; Planning</cp:keywords>
  <cp:revision>1</cp:revision>
  <dcterms:created xsi:type="dcterms:W3CDTF">2020-03-07T16:15:18Z</dcterms:created>
  <dcterms:modified xsi:type="dcterms:W3CDTF">2021-03-23T00:43:41Z</dcterms:modified>
  <cp:category>Sports</cp:category>
  <cp:version>2020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STATrider</vt:lpwstr>
  </property>
  <property fmtid="{D5CDD505-2E9C-101B-9397-08002B2CF9AE}" pid="3" name="Project">
    <vt:lpwstr>STATrider2020</vt:lpwstr>
  </property>
  <property fmtid="{D5CDD505-2E9C-101B-9397-08002B2CF9AE}" pid="4" name="Publisher">
    <vt:lpwstr>STATrider</vt:lpwstr>
  </property>
  <property fmtid="{D5CDD505-2E9C-101B-9397-08002B2CF9AE}" pid="5" name="Source">
    <vt:lpwstr>http://www.statrider.com</vt:lpwstr>
  </property>
</Properties>
</file>